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01_US_DVCA" sheetId="2" r:id="rId6"/>
    <sheet state="visible" name="S02_US_QI" sheetId="3" r:id="rId7"/>
    <sheet state="visible" name="S03a_US_ICI" sheetId="4" r:id="rId8"/>
    <sheet state="visible" name="S04a_US_STCG" sheetId="5" r:id="rId9"/>
  </sheets>
  <definedNames/>
  <calcPr/>
</workbook>
</file>

<file path=xl/sharedStrings.xml><?xml version="1.0" encoding="utf-8"?>
<sst xmlns="http://schemas.openxmlformats.org/spreadsheetml/2006/main" count="12366" uniqueCount="1548">
  <si>
    <t>NO.</t>
  </si>
  <si>
    <t>YEAR2025</t>
  </si>
  <si>
    <t>DVCA_DVD, USD</t>
  </si>
  <si>
    <t>DVCA_DVD, KRW</t>
  </si>
  <si>
    <t>DVCA_DVD_TAX, USD</t>
  </si>
  <si>
    <t>DVCA_DVD_TAX, KRW</t>
  </si>
  <si>
    <t>QI_DVD,USD</t>
  </si>
  <si>
    <t>QI_DVD,KRW</t>
  </si>
  <si>
    <t>QI_RTN, USD</t>
  </si>
  <si>
    <t>QI_RTN, KRW</t>
  </si>
  <si>
    <t>QI_DVD_TAX,USD</t>
  </si>
  <si>
    <t>QI_DVD_TAX,KRW</t>
  </si>
  <si>
    <t>QI_RTN_TAX, USD</t>
  </si>
  <si>
    <t>QI_RTN_TAX, KRW</t>
  </si>
  <si>
    <t>ICI_DVD,USD</t>
  </si>
  <si>
    <t>ICI_DVD,KRW</t>
  </si>
  <si>
    <t>ICI_STCG,USD</t>
  </si>
  <si>
    <t>ICI_STCG,KRW</t>
  </si>
  <si>
    <t>ICI_ROC,USD</t>
  </si>
  <si>
    <t>ICI_ROC,KRW</t>
  </si>
  <si>
    <t>ICI_DVD_TAX,USD</t>
  </si>
  <si>
    <t>ICI_DVD_TAX,KRW</t>
  </si>
  <si>
    <t>ICI_STCG_TAX,USD</t>
  </si>
  <si>
    <t>ICI_STCG_TAX,KRW</t>
  </si>
  <si>
    <t>ICI_ROC_TAX,USD</t>
  </si>
  <si>
    <t>ICI_ROC_TAX,KRW</t>
  </si>
  <si>
    <t>S01</t>
  </si>
  <si>
    <t>US_DVCA</t>
  </si>
  <si>
    <t>S02A</t>
  </si>
  <si>
    <t>US_QI_CANCEL</t>
  </si>
  <si>
    <t>S02B</t>
  </si>
  <si>
    <t>US_QI_RECLASS</t>
  </si>
  <si>
    <t>S03</t>
  </si>
  <si>
    <t>US_ICI_CANCEL</t>
  </si>
  <si>
    <t>S03A</t>
  </si>
  <si>
    <t>US_ICI_RECLASS</t>
  </si>
  <si>
    <t>S04</t>
  </si>
  <si>
    <t>US_STCG_CANCEL</t>
  </si>
  <si>
    <t>S04A</t>
  </si>
  <si>
    <t>US_STCG_RECLASS</t>
  </si>
  <si>
    <t>S05</t>
  </si>
  <si>
    <t>KR_Basis Tracking(TBD)</t>
  </si>
  <si>
    <t>SUM</t>
  </si>
  <si>
    <t>확정신고</t>
  </si>
  <si>
    <t>국외배당소득 A</t>
  </si>
  <si>
    <t>국외자본이득 B</t>
  </si>
  <si>
    <t>국외자본반환 C</t>
  </si>
  <si>
    <t>국외배당소득세액 D</t>
  </si>
  <si>
    <t>국외자본이득세액, 14% E</t>
  </si>
  <si>
    <t>국외자본반환세액 F</t>
  </si>
  <si>
    <t>기초자료</t>
  </si>
  <si>
    <t>소득합계 A+B</t>
  </si>
  <si>
    <t>기납외국세액 D</t>
  </si>
  <si>
    <t>기납국내세액</t>
  </si>
  <si>
    <t>환급요청액, 추정</t>
  </si>
  <si>
    <t>DVCA</t>
  </si>
  <si>
    <t>QI</t>
  </si>
  <si>
    <t>ICI</t>
  </si>
  <si>
    <t>국외배당소득, KRW</t>
  </si>
  <si>
    <t>국외납부세액, KRW</t>
  </si>
  <si>
    <t>최종납부세액
원화(KRW)</t>
  </si>
  <si>
    <t>환급세액
원화(KRW)</t>
  </si>
  <si>
    <t>배당소득
(KRW)</t>
  </si>
  <si>
    <t>자본이득
국내과표,KRW</t>
  </si>
  <si>
    <t>자본반환
(KRW)</t>
  </si>
  <si>
    <t>배당소득세액
(KRW)</t>
  </si>
  <si>
    <t>자본이득세액,KRW</t>
  </si>
  <si>
    <t>자본반환세액
(KRW)</t>
  </si>
  <si>
    <t>SS합계</t>
  </si>
  <si>
    <t>ME합계</t>
  </si>
  <si>
    <t>TS합계</t>
  </si>
  <si>
    <t>소계3</t>
  </si>
  <si>
    <r>
      <rPr>
        <rFont val="맑은고딕"/>
        <b/>
        <color rgb="FFFFFFFF"/>
        <sz val="9.0"/>
      </rPr>
      <t>3</t>
    </r>
    <r>
      <rPr>
        <rFont val="Noto Sans CJK SC"/>
        <b/>
        <color rgb="FFFFFFFF"/>
        <sz val="9.0"/>
      </rPr>
      <t>사 해외주식 외국납부세액 원시자료 — 삼성증권</t>
    </r>
    <r>
      <rPr>
        <rFont val="맑은고딕"/>
        <b/>
        <color rgb="FFFFFFFF"/>
        <sz val="9.0"/>
      </rPr>
      <t>(5</t>
    </r>
    <r>
      <rPr>
        <rFont val="Noto Sans CJK SC"/>
        <b/>
        <color rgb="FFFFFFFF"/>
        <sz val="9.0"/>
      </rPr>
      <t>행</t>
    </r>
    <r>
      <rPr>
        <rFont val="맑은고딕"/>
        <b/>
        <color rgb="FFFFFFFF"/>
        <sz val="9.0"/>
      </rPr>
      <t xml:space="preserve">) / </t>
    </r>
    <r>
      <rPr>
        <rFont val="Noto Sans CJK SC"/>
        <b/>
        <color rgb="FFFFFFFF"/>
        <sz val="9.0"/>
      </rPr>
      <t>미래에셋증권</t>
    </r>
    <r>
      <rPr>
        <rFont val="맑은고딕"/>
        <b/>
        <color rgb="FFFFFFFF"/>
        <sz val="9.0"/>
      </rPr>
      <t>(147</t>
    </r>
    <r>
      <rPr>
        <rFont val="Noto Sans CJK SC"/>
        <b/>
        <color rgb="FFFFFFFF"/>
        <sz val="9.0"/>
      </rPr>
      <t>행</t>
    </r>
    <r>
      <rPr>
        <rFont val="맑은고딕"/>
        <b/>
        <color rgb="FFFFFFFF"/>
        <sz val="9.0"/>
      </rPr>
      <t xml:space="preserve">) / </t>
    </r>
    <r>
      <rPr>
        <rFont val="Noto Sans CJK SC"/>
        <b/>
        <color rgb="FFFFFFFF"/>
        <sz val="9.0"/>
      </rPr>
      <t>토스증권</t>
    </r>
    <r>
      <rPr>
        <rFont val="맑은고딕"/>
        <b/>
        <color rgb="FFFFFFFF"/>
        <sz val="9.0"/>
      </rPr>
      <t>(47</t>
    </r>
    <r>
      <rPr>
        <rFont val="Noto Sans CJK SC"/>
        <b/>
        <color rgb="FFFFFFFF"/>
        <sz val="9.0"/>
      </rPr>
      <t>행</t>
    </r>
    <r>
      <rPr>
        <rFont val="맑은고딕"/>
        <b/>
        <color rgb="FFFFFFFF"/>
        <sz val="9.0"/>
      </rPr>
      <t xml:space="preserve">)  |  </t>
    </r>
    <r>
      <rPr>
        <rFont val="Noto Sans CJK SC"/>
        <b/>
        <color rgb="FFFFFFFF"/>
        <sz val="9.0"/>
      </rPr>
      <t xml:space="preserve">총 </t>
    </r>
    <r>
      <rPr>
        <rFont val="맑은고딕"/>
        <b/>
        <color rgb="FFFFFFFF"/>
        <sz val="9.0"/>
      </rPr>
      <t>199</t>
    </r>
    <r>
      <rPr>
        <rFont val="Noto Sans CJK SC"/>
        <b/>
        <color rgb="FFFFFFFF"/>
        <sz val="9.0"/>
      </rPr>
      <t xml:space="preserve">행  </t>
    </r>
    <r>
      <rPr>
        <rFont val="맑은고딕"/>
        <b/>
        <color rgb="FFFFFFFF"/>
        <sz val="9.0"/>
      </rPr>
      <t xml:space="preserve">|  </t>
    </r>
    <r>
      <rPr>
        <rFont val="Noto Sans CJK SC"/>
        <b/>
        <color rgb="FFFFFFFF"/>
        <sz val="9.0"/>
      </rPr>
      <t>출처</t>
    </r>
    <r>
      <rPr>
        <rFont val="맑은고딕"/>
        <b/>
        <color rgb="FFFFFFFF"/>
        <sz val="9.0"/>
      </rPr>
      <t xml:space="preserve">: </t>
    </r>
    <r>
      <rPr>
        <rFont val="Noto Sans CJK SC"/>
        <b/>
        <color rgb="FFFFFFFF"/>
        <sz val="9.0"/>
      </rPr>
      <t xml:space="preserve">각사 외국납부세액 영수증 </t>
    </r>
    <r>
      <rPr>
        <rFont val="맑은고딕"/>
        <b/>
        <color rgb="FFFFFFFF"/>
        <sz val="9.0"/>
      </rPr>
      <t xml:space="preserve">2025 </t>
    </r>
    <r>
      <rPr>
        <rFont val="Noto Sans CJK SC"/>
        <b/>
        <color rgb="FFFFFFFF"/>
        <sz val="9.0"/>
      </rPr>
      <t xml:space="preserve">원본  </t>
    </r>
    <r>
      <rPr>
        <rFont val="맑은고딕"/>
        <b/>
        <color rgb="FFFFFFFF"/>
        <sz val="9.0"/>
      </rPr>
      <t>|  2025</t>
    </r>
    <r>
      <rPr>
        <rFont val="Noto Sans CJK SC"/>
        <b/>
        <color rgb="FFFFFFFF"/>
        <sz val="9.0"/>
      </rPr>
      <t>귀속</t>
    </r>
  </si>
  <si>
    <t>#</t>
  </si>
  <si>
    <t>증권사</t>
  </si>
  <si>
    <t>계좌번호</t>
  </si>
  <si>
    <t>국내
지급일</t>
  </si>
  <si>
    <t>현지
징수일</t>
  </si>
  <si>
    <t>ISIN</t>
  </si>
  <si>
    <t>종목
코드</t>
  </si>
  <si>
    <t>종목명</t>
  </si>
  <si>
    <t>소득
구분</t>
  </si>
  <si>
    <t>통화</t>
  </si>
  <si>
    <r>
      <rPr>
        <rFont val="Noto Sans CJK SC"/>
        <b/>
        <color rgb="FFFFFFFF"/>
        <sz val="9.0"/>
      </rPr>
      <t>국외원천소득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</si>
  <si>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국외원천소득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</si>
  <si>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외국납부세액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</si>
  <si>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외국납부세액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</si>
  <si>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환급세액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</si>
  <si>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환급세액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</si>
  <si>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최종납부세액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</si>
  <si>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최종납부세액
원화</t>
    </r>
    <r>
      <rPr>
        <rFont val="맑은고딕"/>
        <b/>
        <color rgb="FFFFFFFF"/>
        <sz val="9.0"/>
      </rPr>
      <t>(KRW)</t>
    </r>
  </si>
  <si>
    <t>적용
환율</t>
  </si>
  <si>
    <r>
      <rPr>
        <rFont val="Noto Sans CJK SC"/>
        <b/>
        <color rgb="FFFFFFFF"/>
        <sz val="9.0"/>
      </rPr>
      <t>원천
세율</t>
    </r>
    <r>
      <rPr>
        <rFont val="맑은고딕"/>
        <b/>
        <color rgb="FFFFFFFF"/>
        <sz val="9.0"/>
      </rPr>
      <t>%</t>
    </r>
  </si>
  <si>
    <t>국가</t>
  </si>
  <si>
    <t>비고</t>
  </si>
  <si>
    <t>국내기납세액
증권사재징수</t>
  </si>
  <si>
    <t>US_유효</t>
  </si>
  <si>
    <t>KR_재징수율</t>
  </si>
  <si>
    <t>KR_재징수액</t>
  </si>
  <si>
    <t>삼성증권</t>
  </si>
  <si>
    <t>7099929193-01</t>
  </si>
  <si>
    <t>2025-07-29</t>
  </si>
  <si>
    <t>US88636J5276</t>
  </si>
  <si>
    <t>ULTY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</si>
  <si>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</si>
  <si>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배당소득</t>
  </si>
  <si>
    <t>USD</t>
  </si>
  <si>
    <t>US</t>
  </si>
  <si>
    <t>2025-08-05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</si>
  <si>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</si>
  <si>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2025-08-11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</si>
  <si>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</si>
  <si>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2025-08-18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</si>
  <si>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</si>
  <si>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2025-09-08</t>
  </si>
  <si>
    <t>US74347G4405</t>
  </si>
  <si>
    <t>BITO</t>
  </si>
  <si>
    <t>PROSHARES BITCOIN ETF</t>
  </si>
  <si>
    <t>미래에셋증권</t>
  </si>
  <si>
    <t>584-2176-0816-0</t>
  </si>
  <si>
    <t>2025-01-02</t>
  </si>
  <si>
    <t>2024-12-31</t>
  </si>
  <si>
    <t>2025-01-03</t>
  </si>
  <si>
    <t>AVGX</t>
  </si>
  <si>
    <t>DEFIANCE DAILY TARGET 2X LONG AVGO ETF</t>
  </si>
  <si>
    <t>2025-02-03</t>
  </si>
  <si>
    <t>2025-01-31</t>
  </si>
  <si>
    <t>NVDY</t>
  </si>
  <si>
    <t>TIDAL TRUST II YIELDMAX NVDA OPTION INCOME STRATEGY ETF</t>
  </si>
  <si>
    <t>2025-02-07</t>
  </si>
  <si>
    <t>2025-02-12</t>
  </si>
  <si>
    <t>CONY</t>
  </si>
  <si>
    <t>TIDAL TRUST II YIELDMAX COIN OPTION INCOME STRATEGY ETF</t>
  </si>
  <si>
    <t>2025-02-19</t>
  </si>
  <si>
    <t>2025-02-14</t>
  </si>
  <si>
    <t>MSTY</t>
  </si>
  <si>
    <t>TIDAL TRUST II YIELDMAX MSTR OPTION INCOME STRATEGY ETF</t>
  </si>
  <si>
    <t>2025-02-24</t>
  </si>
  <si>
    <t>2025-02-21</t>
  </si>
  <si>
    <t>TSLY</t>
  </si>
  <si>
    <t>TIDAL TRUST II YIELDMAX TSLA OPTION INCOME ETF</t>
  </si>
  <si>
    <t>2025-03-04</t>
  </si>
  <si>
    <t>2025-02-28</t>
  </si>
  <si>
    <t>FBY</t>
  </si>
  <si>
    <t>TIDAL TRUST II YIELDMAX META OPTION INCOME ETF</t>
  </si>
  <si>
    <t>2025-03-07</t>
  </si>
  <si>
    <t>2025-03-11</t>
  </si>
  <si>
    <t>2025-03-12</t>
  </si>
  <si>
    <t>A475350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</si>
  <si>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</si>
  <si>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KRW</t>
  </si>
  <si>
    <t>KR</t>
  </si>
  <si>
    <t>2025-03-18</t>
  </si>
  <si>
    <t>2025-03-14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</si>
  <si>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</si>
  <si>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2025-03-24</t>
  </si>
  <si>
    <t>2025-03-21</t>
  </si>
  <si>
    <t>TIDAL TRUST II YIELDMAX TSLA OPTION INCOME STRATEGY ETF</t>
  </si>
  <si>
    <t>2025-03-31</t>
  </si>
  <si>
    <t>2025-03-28</t>
  </si>
  <si>
    <t>YIELDMAX META OPTION INCOME STRATEGY ETF</t>
  </si>
  <si>
    <t>2025-04-01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</si>
  <si>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</si>
  <si>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2025-04-03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</si>
  <si>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</si>
  <si>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2025-04-08</t>
  </si>
  <si>
    <t>2025-04-04</t>
  </si>
  <si>
    <t>YIELDMAX COIN OPTION INCOME STRATEGY ETF</t>
  </si>
  <si>
    <t>2025-04-09</t>
  </si>
  <si>
    <t>2025-04-07</t>
  </si>
  <si>
    <t>2025-04-15</t>
  </si>
  <si>
    <t>2025-04-11</t>
  </si>
  <si>
    <t>YIELDMAX MSTR OPTION INCOME STRATEGY ETF</t>
  </si>
  <si>
    <t>RJF</t>
  </si>
  <si>
    <t>레이먼드 제임스 파이낸셜</t>
  </si>
  <si>
    <t>2025-04-17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</si>
  <si>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</si>
  <si>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</si>
  <si>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2025-04-23</t>
  </si>
  <si>
    <t>2025-04-21</t>
  </si>
  <si>
    <t>YIELDMAX TSLA OPTION INCOME STRATEGY ETF</t>
  </si>
  <si>
    <t>2025-04-25</t>
  </si>
  <si>
    <t>2025-04-24</t>
  </si>
  <si>
    <t>CRM</t>
  </si>
  <si>
    <t>세일스포스</t>
  </si>
  <si>
    <t>2025-04-29</t>
  </si>
  <si>
    <t>YIELDMAX NVDA OPTION INCOME STRATEGY ETF</t>
  </si>
  <si>
    <t>2025-05-07</t>
  </si>
  <si>
    <t>2025-05-02</t>
  </si>
  <si>
    <t>2025-05-12</t>
  </si>
  <si>
    <t>2025-05-09</t>
  </si>
  <si>
    <t>2025-05-13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</si>
  <si>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</si>
  <si>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2025-05-19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</si>
  <si>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</si>
  <si>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2025-05-20</t>
  </si>
  <si>
    <t>2025-05-16</t>
  </si>
  <si>
    <t>2025-05-23</t>
  </si>
  <si>
    <t>2025-05-26</t>
  </si>
  <si>
    <t>2025-06-04</t>
  </si>
  <si>
    <t>2025-05-30</t>
  </si>
  <si>
    <t>2025-06-10</t>
  </si>
  <si>
    <t>2025-06-06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</si>
  <si>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</si>
  <si>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2025-06-12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</si>
  <si>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</si>
  <si>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2025-06-16</t>
  </si>
  <si>
    <t>2025-06-13</t>
  </si>
  <si>
    <t>PFE</t>
  </si>
  <si>
    <t>화이자</t>
  </si>
  <si>
    <t>UHS</t>
  </si>
  <si>
    <t>유니버셜 헬스 서비스</t>
  </si>
  <si>
    <t>2025-06-17</t>
  </si>
  <si>
    <t>2025-06-23</t>
  </si>
  <si>
    <t>2025-06-25</t>
  </si>
  <si>
    <t>2025-06-24</t>
  </si>
  <si>
    <t>UNH</t>
  </si>
  <si>
    <t>유나이티드헬스 그룹</t>
  </si>
  <si>
    <t>2025-07-01</t>
  </si>
  <si>
    <t>2025-06-27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</si>
  <si>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</si>
  <si>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2025-07-03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</si>
  <si>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</si>
  <si>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2025-07-07</t>
  </si>
  <si>
    <t>SMCY</t>
  </si>
  <si>
    <t>YIELDMAX SMCI OPTION INCOME STRATEGY ETF</t>
  </si>
  <si>
    <t>2025-07-08</t>
  </si>
  <si>
    <t>2025-07-09</t>
  </si>
  <si>
    <t>MRK</t>
  </si>
  <si>
    <t>머크</t>
  </si>
  <si>
    <t>2025-07-11</t>
  </si>
  <si>
    <t>2025-07-10</t>
  </si>
  <si>
    <t>2025-07-14</t>
  </si>
  <si>
    <t>2025-07-16</t>
  </si>
  <si>
    <t>2025-07-15</t>
  </si>
  <si>
    <t>2025-07-17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</si>
  <si>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</si>
  <si>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2025-07-21</t>
  </si>
  <si>
    <t>2025-07-18</t>
  </si>
  <si>
    <t>YIELDMAX ULTRA OPTION INCOME STRATEGY ETF</t>
  </si>
  <si>
    <t>2025-07-28</t>
  </si>
  <si>
    <t>2025-07-25</t>
  </si>
  <si>
    <t>2025-08-01</t>
  </si>
  <si>
    <t>2025-08-08</t>
  </si>
  <si>
    <t>2025-08-15</t>
  </si>
  <si>
    <t>2025-08-26</t>
  </si>
  <si>
    <t>2025-08-22</t>
  </si>
  <si>
    <t>2025-09-01</t>
  </si>
  <si>
    <t>2025-08-29</t>
  </si>
  <si>
    <t>2025-09-05</t>
  </si>
  <si>
    <t>2025-09-11</t>
  </si>
  <si>
    <t>MSFT</t>
  </si>
  <si>
    <t>마이크로소프트</t>
  </si>
  <si>
    <t>2025-09-15</t>
  </si>
  <si>
    <t>2025-09-12</t>
  </si>
  <si>
    <t>2025-09-23</t>
  </si>
  <si>
    <t>2025-09-19</t>
  </si>
  <si>
    <t>2025-09-25</t>
  </si>
  <si>
    <t>2025-09-29</t>
  </si>
  <si>
    <t>2025-09-26</t>
  </si>
  <si>
    <t>2025-10-10</t>
  </si>
  <si>
    <t>2025-10-02</t>
  </si>
  <si>
    <t>NVDA</t>
  </si>
  <si>
    <t>엔비디아</t>
  </si>
  <si>
    <t>2025-10-13</t>
  </si>
  <si>
    <t>2025-10-09</t>
  </si>
  <si>
    <t>TSM</t>
  </si>
  <si>
    <t>TSMC(ADR)</t>
  </si>
  <si>
    <t>2025-10-15</t>
  </si>
  <si>
    <t>A491010</t>
  </si>
  <si>
    <r>
      <rPr>
        <rFont val="Noto Sans CJK SC"/>
        <color theme="1"/>
        <sz val="9.0"/>
      </rPr>
      <t>미래에셋</t>
    </r>
    <r>
      <rPr>
        <rFont val="맑은고딕"/>
        <color theme="1"/>
        <sz val="9.0"/>
      </rPr>
      <t>TIGER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전략인프라액티브증권상장지수투자신탁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</si>
  <si>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A456600</t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</si>
  <si>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</si>
  <si>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2025-10-16</t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</si>
  <si>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</si>
  <si>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2025-11-10</t>
  </si>
  <si>
    <t>2025-11-07</t>
  </si>
  <si>
    <t>2025-11-14</t>
  </si>
  <si>
    <t>2025-11-13</t>
  </si>
  <si>
    <t>CHPY</t>
  </si>
  <si>
    <t>YIELDMAX SEMICONDUCTOR PORTFOLIO OPTION INCOME ETF</t>
  </si>
  <si>
    <t>GPTY</t>
  </si>
  <si>
    <t>YIELDMAX AI &amp; TECH PORTFOLIO OPTION INCOME ETF</t>
  </si>
  <si>
    <t>2025-11-17</t>
  </si>
  <si>
    <t>HOOY</t>
  </si>
  <si>
    <t>YIELDMAX HOOD OPTION INCOME STRATEGY ETF</t>
  </si>
  <si>
    <t>2025-11-27</t>
  </si>
  <si>
    <t>2025-11-26</t>
  </si>
  <si>
    <t>BITX</t>
  </si>
  <si>
    <t>VOLATILITY SHARES BITCOIN STRATEGY 2X ETF</t>
  </si>
  <si>
    <t>2025-12-08</t>
  </si>
  <si>
    <t>2025-12-05</t>
  </si>
  <si>
    <t>2025-12-10</t>
  </si>
  <si>
    <t>LLY</t>
  </si>
  <si>
    <t>일라이 릴리</t>
  </si>
  <si>
    <t>2025-12-26</t>
  </si>
  <si>
    <t>CRWU</t>
  </si>
  <si>
    <t>T-REX CRWV DAILY 2X ETF</t>
  </si>
  <si>
    <t>2026-04-16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</si>
  <si>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</si>
  <si>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</si>
  <si>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TIDAL TRUST II YIELDMAX COIN OPTION INCOME ETF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</si>
  <si>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</si>
  <si>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</si>
  <si>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</si>
  <si>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</si>
  <si>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</si>
  <si>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2026-04-17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</si>
  <si>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</si>
  <si>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</si>
  <si>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</si>
  <si>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</si>
  <si>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</si>
  <si>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</si>
  <si>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</si>
  <si>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</si>
  <si>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</si>
  <si>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</si>
  <si>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</si>
  <si>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</si>
  <si>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</si>
  <si>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</si>
  <si>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</si>
  <si>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</si>
  <si>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</si>
  <si>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</si>
  <si>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</si>
  <si>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</si>
  <si>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</si>
  <si>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</si>
  <si>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</si>
  <si>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</si>
  <si>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</si>
  <si>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</si>
  <si>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2026-04-20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</si>
  <si>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</si>
  <si>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</si>
  <si>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</si>
  <si>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</si>
  <si>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</si>
  <si>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</si>
  <si>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</si>
  <si>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</si>
  <si>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</si>
  <si>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</si>
  <si>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</si>
  <si>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</si>
  <si>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</si>
  <si>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</si>
  <si>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</si>
  <si>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</si>
  <si>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</si>
  <si>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</si>
  <si>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</si>
  <si>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</si>
  <si>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2026-04-21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</si>
  <si>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</si>
  <si>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</si>
  <si>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</si>
  <si>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토스증권</t>
  </si>
  <si>
    <t>172-01-064087</t>
  </si>
  <si>
    <t>2025-01-22</t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</si>
  <si>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</si>
  <si>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</si>
  <si>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</si>
  <si>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2025-02-11</t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</si>
  <si>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</si>
  <si>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t>2025-02-17</t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</si>
  <si>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</si>
  <si>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</si>
  <si>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2025-03-05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</si>
  <si>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</si>
  <si>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</si>
  <si>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</si>
  <si>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</si>
  <si>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</si>
  <si>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</si>
  <si>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TQQQ</t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</si>
  <si>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</si>
  <si>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t>TSLL</t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</si>
  <si>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</si>
  <si>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</si>
  <si>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</si>
  <si>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</si>
  <si>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</si>
  <si>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2025-04-30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</si>
  <si>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</si>
  <si>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</si>
  <si>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</si>
  <si>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</si>
  <si>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2025-05-28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</si>
  <si>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</si>
  <si>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</si>
  <si>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</si>
  <si>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</si>
  <si>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</si>
  <si>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</si>
  <si>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</si>
  <si>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</si>
  <si>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</si>
  <si>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t>2025-07-02</t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</si>
  <si>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</si>
  <si>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</si>
  <si>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</si>
  <si>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</si>
  <si>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</si>
  <si>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</si>
  <si>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</si>
  <si>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</si>
  <si>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</si>
  <si>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</si>
  <si>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</si>
  <si>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</si>
  <si>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2025-09-16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</si>
  <si>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</si>
  <si>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</si>
  <si>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</si>
  <si>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2025-12-16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</si>
  <si>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</si>
  <si>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b/>
        <color theme="1"/>
        <sz val="9.0"/>
      </rPr>
      <t>SS</t>
    </r>
    <r>
      <rPr>
        <rFont val="Noto Sans CJK SC"/>
        <b/>
        <color theme="1"/>
        <sz val="9.0"/>
      </rPr>
      <t>합계</t>
    </r>
    <r>
      <rPr>
        <rFont val="맑은고딕"/>
        <b/>
        <color theme="1"/>
        <sz val="9.0"/>
      </rPr>
      <t>(</t>
    </r>
    <r>
      <rPr>
        <rFont val="Noto Sans CJK SC"/>
        <b/>
        <color theme="1"/>
        <sz val="9.0"/>
      </rPr>
      <t>삼성</t>
    </r>
    <r>
      <rPr>
        <rFont val="맑은고딕"/>
        <b/>
        <color theme="1"/>
        <sz val="9.0"/>
      </rPr>
      <t>)</t>
    </r>
  </si>
  <si>
    <r>
      <rPr>
        <rFont val="맑은고딕"/>
        <b/>
        <color theme="1"/>
        <sz val="9.0"/>
      </rPr>
      <t>ME</t>
    </r>
    <r>
      <rPr>
        <rFont val="Noto Sans CJK SC"/>
        <b/>
        <color theme="1"/>
        <sz val="9.0"/>
      </rPr>
      <t>합계</t>
    </r>
    <r>
      <rPr>
        <rFont val="맑은고딕"/>
        <b/>
        <color theme="1"/>
        <sz val="9.0"/>
      </rPr>
      <t>(</t>
    </r>
    <r>
      <rPr>
        <rFont val="Noto Sans CJK SC"/>
        <b/>
        <color theme="1"/>
        <sz val="9.0"/>
      </rPr>
      <t>미래에셋</t>
    </r>
    <r>
      <rPr>
        <rFont val="맑은고딕"/>
        <b/>
        <color theme="1"/>
        <sz val="9.0"/>
      </rPr>
      <t>)</t>
    </r>
  </si>
  <si>
    <r>
      <rPr>
        <rFont val="맑은고딕"/>
        <b/>
        <color theme="1"/>
        <sz val="9.0"/>
      </rPr>
      <t>TS</t>
    </r>
    <r>
      <rPr>
        <rFont val="Noto Sans CJK SC"/>
        <b/>
        <color theme="1"/>
        <sz val="9.0"/>
      </rPr>
      <t>합계</t>
    </r>
    <r>
      <rPr>
        <rFont val="맑은고딕"/>
        <b/>
        <color theme="1"/>
        <sz val="9.0"/>
      </rPr>
      <t>(</t>
    </r>
    <r>
      <rPr>
        <rFont val="Noto Sans CJK SC"/>
        <b/>
        <color theme="1"/>
        <sz val="9.0"/>
      </rPr>
      <t>토스</t>
    </r>
    <r>
      <rPr>
        <rFont val="맑은고딕"/>
        <b/>
        <color theme="1"/>
        <sz val="9.0"/>
      </rPr>
      <t>)</t>
    </r>
  </si>
  <si>
    <t>소계</t>
  </si>
  <si>
    <t>TOTAL</t>
  </si>
  <si>
    <r>
      <rPr>
        <rFont val="맑은고딕"/>
        <b/>
        <color rgb="FFFFFFFF"/>
        <sz val="9.0"/>
      </rPr>
      <t>3</t>
    </r>
    <r>
      <rPr>
        <rFont val="Noto Sans CJK SC"/>
        <b/>
        <color rgb="FFFFFFFF"/>
        <sz val="9.0"/>
      </rPr>
      <t>사 해외주식 외국납부세액 원시자료 — 삼성증권</t>
    </r>
    <r>
      <rPr>
        <rFont val="맑은고딕"/>
        <b/>
        <color rgb="FFFFFFFF"/>
        <sz val="9.0"/>
      </rPr>
      <t>(5</t>
    </r>
    <r>
      <rPr>
        <rFont val="Noto Sans CJK SC"/>
        <b/>
        <color rgb="FFFFFFFF"/>
        <sz val="9.0"/>
      </rPr>
      <t>행</t>
    </r>
    <r>
      <rPr>
        <rFont val="맑은고딕"/>
        <b/>
        <color rgb="FFFFFFFF"/>
        <sz val="9.0"/>
      </rPr>
      <t>)/</t>
    </r>
    <r>
      <rPr>
        <rFont val="Noto Sans CJK SC"/>
        <b/>
        <color rgb="FFFFFFFF"/>
        <sz val="9.0"/>
      </rPr>
      <t>미래에셋증권</t>
    </r>
    <r>
      <rPr>
        <rFont val="맑은고딕"/>
        <b/>
        <color rgb="FFFFFFFF"/>
        <sz val="9.0"/>
      </rPr>
      <t>/</t>
    </r>
    <r>
      <rPr>
        <rFont val="Noto Sans CJK SC"/>
        <b/>
        <color rgb="FFFFFFFF"/>
        <sz val="9.0"/>
      </rPr>
      <t xml:space="preserve">토스증권 </t>
    </r>
    <r>
      <rPr>
        <rFont val="맑은고딕"/>
        <b/>
        <color rgb="FFFFFFFF"/>
        <sz val="9.0"/>
      </rPr>
      <t>| 2025</t>
    </r>
    <r>
      <rPr>
        <rFont val="Noto Sans CJK SC"/>
        <b/>
        <color rgb="FFFFFFFF"/>
        <sz val="9.0"/>
      </rPr>
      <t xml:space="preserve">귀속 </t>
    </r>
    <r>
      <rPr>
        <rFont val="맑은고딕"/>
        <b/>
        <color rgb="FFFFFFFF"/>
        <sz val="9.0"/>
      </rPr>
      <t>QI</t>
    </r>
    <r>
      <rPr>
        <rFont val="Noto Sans CJK SC"/>
        <b/>
        <color rgb="FFFFFFFF"/>
        <sz val="9.0"/>
      </rPr>
      <t xml:space="preserve">재분류 </t>
    </r>
    <r>
      <rPr>
        <rFont val="맑은고딕"/>
        <b/>
        <color rgb="FFFFFFFF"/>
        <sz val="9.0"/>
      </rPr>
      <t xml:space="preserve">| QI CANCEL → QI RECLASS </t>
    </r>
    <r>
      <rPr>
        <rFont val="Noto Sans CJK SC"/>
        <b/>
        <color rgb="FFFFFFFF"/>
        <sz val="9.0"/>
      </rPr>
      <t xml:space="preserve">순 </t>
    </r>
    <r>
      <rPr>
        <rFont val="맑은고딕"/>
        <b/>
        <color rgb="FFFFFFFF"/>
        <sz val="9.0"/>
      </rPr>
      <t xml:space="preserve">| </t>
    </r>
    <r>
      <rPr>
        <rFont val="Noto Sans CJK SC"/>
        <b/>
        <color rgb="FFFFFFFF"/>
        <sz val="9.0"/>
      </rPr>
      <t>불변원장 룰 준수</t>
    </r>
  </si>
  <si>
    <r>
      <rPr>
        <rFont val="Noto Sans CJK SC"/>
        <b/>
        <color rgb="FFFFFFFF"/>
        <sz val="9.0"/>
      </rPr>
      <t>국외원천소득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</si>
  <si>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국외원천소득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</si>
  <si>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외국납부세액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</si>
  <si>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외국납부세액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</si>
  <si>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환급세액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</si>
  <si>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환급세액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</si>
  <si>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최종납부세액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</si>
  <si>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최종납부세액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</si>
  <si>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원천
세율</t>
    </r>
    <r>
      <rPr>
        <rFont val="맑은고딕"/>
        <b/>
        <color rgb="FFFFFFFF"/>
        <sz val="9.0"/>
      </rPr>
      <t>%</t>
    </r>
  </si>
  <si>
    <t>1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</si>
  <si>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</si>
  <si>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C1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</si>
  <si>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</si>
  <si>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R1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</si>
  <si>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</si>
  <si>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</si>
  <si>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</si>
  <si>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</si>
  <si>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C2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</si>
  <si>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</si>
  <si>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R2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</si>
  <si>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</si>
  <si>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</si>
  <si>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</si>
  <si>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</si>
  <si>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C3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</si>
  <si>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</si>
  <si>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R3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</si>
  <si>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</si>
  <si>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</si>
  <si>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</si>
  <si>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</si>
  <si>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C4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</si>
  <si>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</si>
  <si>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t>R4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</si>
  <si>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</si>
  <si>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</si>
  <si>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5</t>
  </si>
  <si>
    <t>C5</t>
  </si>
  <si>
    <t>R5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</si>
  <si>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</si>
  <si>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</si>
  <si>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</si>
  <si>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</si>
  <si>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</si>
  <si>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</si>
  <si>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</t>
  </si>
  <si>
    <t>C6</t>
  </si>
  <si>
    <t>R6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</si>
  <si>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</si>
  <si>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</t>
  </si>
  <si>
    <t>C7</t>
  </si>
  <si>
    <t>R7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</si>
  <si>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</si>
  <si>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8</t>
  </si>
  <si>
    <t>C8</t>
  </si>
  <si>
    <t>R8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</si>
  <si>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</si>
  <si>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9</t>
  </si>
  <si>
    <t>C9</t>
  </si>
  <si>
    <t>R9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</si>
  <si>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</si>
  <si>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10</t>
  </si>
  <si>
    <t>C10</t>
  </si>
  <si>
    <t>R10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</si>
  <si>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</si>
  <si>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11</t>
  </si>
  <si>
    <t>C11</t>
  </si>
  <si>
    <t>R11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</si>
  <si>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</si>
  <si>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S12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</si>
  <si>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</si>
  <si>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13</t>
  </si>
  <si>
    <t>C13</t>
  </si>
  <si>
    <t>R13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</si>
  <si>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</si>
  <si>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S14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</si>
  <si>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</si>
  <si>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15</t>
  </si>
  <si>
    <t>C15</t>
  </si>
  <si>
    <t>R15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</si>
  <si>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</si>
  <si>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16</t>
  </si>
  <si>
    <t>C16</t>
  </si>
  <si>
    <t>R16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</si>
  <si>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</si>
  <si>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17</t>
  </si>
  <si>
    <t>C17</t>
  </si>
  <si>
    <t>R17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</si>
  <si>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</si>
  <si>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S18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</si>
  <si>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</si>
  <si>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S19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</si>
  <si>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</si>
  <si>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20</t>
  </si>
  <si>
    <t>C20</t>
  </si>
  <si>
    <t>R20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</si>
  <si>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</si>
  <si>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21</t>
  </si>
  <si>
    <t>C21</t>
  </si>
  <si>
    <t>R21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</si>
  <si>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</si>
  <si>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22</t>
  </si>
  <si>
    <t>C22</t>
  </si>
  <si>
    <t>R22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</si>
  <si>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</si>
  <si>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S23</t>
  </si>
  <si>
    <t>S25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</si>
  <si>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</si>
  <si>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26</t>
  </si>
  <si>
    <t>C26</t>
  </si>
  <si>
    <t>R26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</si>
  <si>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</si>
  <si>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S27</t>
  </si>
  <si>
    <t>28</t>
  </si>
  <si>
    <t>C28</t>
  </si>
  <si>
    <t>R28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</si>
  <si>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</si>
  <si>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29</t>
  </si>
  <si>
    <t>C29</t>
  </si>
  <si>
    <t>R29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</si>
  <si>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</si>
  <si>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30</t>
  </si>
  <si>
    <t>C30</t>
  </si>
  <si>
    <t>R30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</si>
  <si>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</si>
  <si>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31</t>
  </si>
  <si>
    <t>C31</t>
  </si>
  <si>
    <t>R31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</si>
  <si>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</si>
  <si>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32</t>
  </si>
  <si>
    <t>C32</t>
  </si>
  <si>
    <t>R32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</si>
  <si>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</si>
  <si>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S33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</si>
  <si>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</si>
  <si>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S34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</si>
  <si>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</si>
  <si>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35</t>
  </si>
  <si>
    <t>C35</t>
  </si>
  <si>
    <t>R35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</si>
  <si>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</si>
  <si>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36</t>
  </si>
  <si>
    <t>C36</t>
  </si>
  <si>
    <t>R36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</si>
  <si>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</si>
  <si>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37</t>
  </si>
  <si>
    <t>C37</t>
  </si>
  <si>
    <t>R37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</si>
  <si>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</si>
  <si>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38</t>
  </si>
  <si>
    <t>C38</t>
  </si>
  <si>
    <t>R38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</si>
  <si>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</si>
  <si>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39</t>
  </si>
  <si>
    <t>C39</t>
  </si>
  <si>
    <t>R39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</si>
  <si>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</si>
  <si>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40</t>
  </si>
  <si>
    <t>C40</t>
  </si>
  <si>
    <t>R40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</si>
  <si>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</si>
  <si>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S41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</si>
  <si>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</si>
  <si>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S42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</si>
  <si>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</si>
  <si>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S43</t>
  </si>
  <si>
    <t>S44</t>
  </si>
  <si>
    <t>45</t>
  </si>
  <si>
    <t>C45</t>
  </si>
  <si>
    <t>R45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</si>
  <si>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</si>
  <si>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46</t>
  </si>
  <si>
    <t>C46</t>
  </si>
  <si>
    <t>R46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</si>
  <si>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</si>
  <si>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47</t>
  </si>
  <si>
    <t>C47</t>
  </si>
  <si>
    <t>R47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</si>
  <si>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</si>
  <si>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S48</t>
  </si>
  <si>
    <t>49</t>
  </si>
  <si>
    <t>C49</t>
  </si>
  <si>
    <t>R49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</si>
  <si>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</si>
  <si>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S50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</si>
  <si>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</si>
  <si>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S51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</si>
  <si>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</si>
  <si>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52</t>
  </si>
  <si>
    <t>C52</t>
  </si>
  <si>
    <t>R52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</si>
  <si>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</si>
  <si>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53</t>
  </si>
  <si>
    <t>C53</t>
  </si>
  <si>
    <t>R53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</si>
  <si>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</si>
  <si>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54</t>
  </si>
  <si>
    <t>C54</t>
  </si>
  <si>
    <t>R54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</si>
  <si>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</si>
  <si>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S55</t>
  </si>
  <si>
    <t>S56</t>
  </si>
  <si>
    <t>57</t>
  </si>
  <si>
    <t>C57</t>
  </si>
  <si>
    <t>R57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</si>
  <si>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</si>
  <si>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S58</t>
  </si>
  <si>
    <t>S59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</si>
  <si>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</si>
  <si>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60</t>
  </si>
  <si>
    <t>C60</t>
  </si>
  <si>
    <t>R60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</si>
  <si>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</si>
  <si>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61</t>
  </si>
  <si>
    <t>C61</t>
  </si>
  <si>
    <t>R61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</si>
  <si>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</si>
  <si>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62</t>
  </si>
  <si>
    <t>C62</t>
  </si>
  <si>
    <t>R62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</si>
  <si>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</si>
  <si>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63</t>
  </si>
  <si>
    <t>C63</t>
  </si>
  <si>
    <t>R63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</si>
  <si>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</si>
  <si>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64</t>
  </si>
  <si>
    <t>C64</t>
  </si>
  <si>
    <t>R64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</si>
  <si>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</si>
  <si>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65</t>
  </si>
  <si>
    <t>C65</t>
  </si>
  <si>
    <t>R65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</si>
  <si>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</si>
  <si>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66</t>
  </si>
  <si>
    <t>C66</t>
  </si>
  <si>
    <t>R66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</si>
  <si>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</si>
  <si>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67</t>
  </si>
  <si>
    <t>C67</t>
  </si>
  <si>
    <t>R67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</si>
  <si>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</si>
  <si>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68</t>
  </si>
  <si>
    <t>C68</t>
  </si>
  <si>
    <t>R68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</si>
  <si>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</si>
  <si>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69</t>
  </si>
  <si>
    <t>C69</t>
  </si>
  <si>
    <t>R69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</si>
  <si>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</si>
  <si>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70</t>
  </si>
  <si>
    <t>C70</t>
  </si>
  <si>
    <t>R70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</si>
  <si>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</si>
  <si>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71</t>
  </si>
  <si>
    <t>C71</t>
  </si>
  <si>
    <t>R71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</si>
  <si>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</si>
  <si>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72</t>
  </si>
  <si>
    <t>C72</t>
  </si>
  <si>
    <t>R72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</si>
  <si>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</si>
  <si>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73</t>
  </si>
  <si>
    <t>C73</t>
  </si>
  <si>
    <t>R73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</si>
  <si>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</si>
  <si>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S74</t>
  </si>
  <si>
    <t>75</t>
  </si>
  <si>
    <t>C75</t>
  </si>
  <si>
    <t>R75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</si>
  <si>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</si>
  <si>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76</t>
  </si>
  <si>
    <t>C76</t>
  </si>
  <si>
    <t>R76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</si>
  <si>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</si>
  <si>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S77</t>
  </si>
  <si>
    <t>78</t>
  </si>
  <si>
    <t>C78</t>
  </si>
  <si>
    <t>R78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</si>
  <si>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</si>
  <si>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S79</t>
  </si>
  <si>
    <t>S80</t>
  </si>
  <si>
    <t>S81</t>
  </si>
  <si>
    <r>
      <rPr>
        <rFont val="Noto Sans CJK SC"/>
        <color theme="1"/>
        <sz val="9.0"/>
      </rPr>
      <t>미래에셋</t>
    </r>
    <r>
      <rPr>
        <rFont val="맑은고딕"/>
        <color theme="1"/>
        <sz val="9.0"/>
      </rPr>
      <t>TIGER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전략인프라액티브증권상장지수투자신탁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</si>
  <si>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S82</t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</si>
  <si>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</si>
  <si>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S83</t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</si>
  <si>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</si>
  <si>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t>84</t>
  </si>
  <si>
    <t>C84</t>
  </si>
  <si>
    <t>R84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</si>
  <si>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</si>
  <si>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85</t>
  </si>
  <si>
    <t>C85</t>
  </si>
  <si>
    <t>R85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</si>
  <si>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</si>
  <si>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S86</t>
  </si>
  <si>
    <t>S87</t>
  </si>
  <si>
    <t>S88</t>
  </si>
  <si>
    <t>89</t>
  </si>
  <si>
    <t>C89</t>
  </si>
  <si>
    <t>R89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</si>
  <si>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</si>
  <si>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S90</t>
  </si>
  <si>
    <t>S91</t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</si>
  <si>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</si>
  <si>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</si>
  <si>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</si>
  <si>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</si>
  <si>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</si>
  <si>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</si>
  <si>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</si>
  <si>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</si>
  <si>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</si>
  <si>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</si>
  <si>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</si>
  <si>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</si>
  <si>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</si>
  <si>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</si>
  <si>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</si>
  <si>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</si>
  <si>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</si>
  <si>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</si>
  <si>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</si>
  <si>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</si>
  <si>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</si>
  <si>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</si>
  <si>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</si>
  <si>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</si>
  <si>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</si>
  <si>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</si>
  <si>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</si>
  <si>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</si>
  <si>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</si>
  <si>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</si>
  <si>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</si>
  <si>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</si>
  <si>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</si>
  <si>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</si>
  <si>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</si>
  <si>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</si>
  <si>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</si>
  <si>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S11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</si>
  <si>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</si>
  <si>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t>12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</si>
  <si>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</si>
  <si>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C12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</si>
  <si>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</si>
  <si>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R12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</si>
  <si>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</si>
  <si>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</si>
  <si>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</si>
  <si>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</si>
  <si>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</si>
  <si>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</si>
  <si>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</si>
  <si>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</si>
  <si>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</si>
  <si>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</si>
  <si>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</si>
  <si>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</si>
  <si>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</si>
  <si>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</si>
  <si>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</si>
  <si>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</si>
  <si>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</si>
  <si>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</si>
  <si>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</si>
  <si>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18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</si>
  <si>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</si>
  <si>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C18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</si>
  <si>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</si>
  <si>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R18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</si>
  <si>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</si>
  <si>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</si>
  <si>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</si>
  <si>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</si>
  <si>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</si>
  <si>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</si>
  <si>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</si>
  <si>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</si>
  <si>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</si>
  <si>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</si>
  <si>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</si>
  <si>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</si>
  <si>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</si>
  <si>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</si>
  <si>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</si>
  <si>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23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</si>
  <si>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</si>
  <si>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C23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</si>
  <si>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</si>
  <si>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t>R23</t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</si>
  <si>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</si>
  <si>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</si>
  <si>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S24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</si>
  <si>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</si>
  <si>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t>25</t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</si>
  <si>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</si>
  <si>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t>C25</t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</si>
  <si>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</si>
  <si>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t>R25</t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</si>
  <si>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</si>
  <si>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</si>
  <si>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</si>
  <si>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</si>
  <si>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</si>
  <si>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</si>
  <si>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27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</si>
  <si>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</si>
  <si>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C27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</si>
  <si>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</si>
  <si>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R27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</si>
  <si>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</si>
  <si>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</si>
  <si>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</si>
  <si>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</si>
  <si>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</si>
  <si>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</si>
  <si>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S29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</si>
  <si>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</si>
  <si>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</si>
  <si>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</si>
  <si>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</si>
  <si>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</si>
  <si>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</si>
  <si>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</si>
  <si>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</si>
  <si>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</si>
  <si>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S32</t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</si>
  <si>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</si>
  <si>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t>33</t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</si>
  <si>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</si>
  <si>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t>C33</t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</si>
  <si>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</si>
  <si>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t>R33</t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</si>
  <si>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</si>
  <si>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</si>
  <si>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34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</si>
  <si>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</si>
  <si>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C34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</si>
  <si>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</si>
  <si>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t>R34</t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</si>
  <si>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</si>
  <si>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</si>
  <si>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</si>
  <si>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</si>
  <si>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</si>
  <si>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</si>
  <si>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</si>
  <si>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</si>
  <si>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</si>
  <si>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</si>
  <si>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</si>
  <si>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</si>
  <si>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</si>
  <si>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</si>
  <si>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</si>
  <si>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</si>
  <si>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</si>
  <si>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</si>
  <si>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</si>
  <si>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</si>
  <si>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</si>
  <si>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</si>
  <si>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</si>
  <si>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</si>
  <si>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</si>
  <si>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</si>
  <si>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41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</si>
  <si>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</si>
  <si>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C41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</si>
  <si>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</si>
  <si>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R41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</si>
  <si>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</si>
  <si>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</si>
  <si>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42</t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</si>
  <si>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</si>
  <si>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t>C42</t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</si>
  <si>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</si>
  <si>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t>R42</t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</si>
  <si>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</si>
  <si>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</si>
  <si>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43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</si>
  <si>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</si>
  <si>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C43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</si>
  <si>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</si>
  <si>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R43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</si>
  <si>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</si>
  <si>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</si>
  <si>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44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</si>
  <si>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</si>
  <si>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C44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</si>
  <si>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</si>
  <si>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t>R44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</si>
  <si>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</si>
  <si>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</si>
  <si>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</si>
  <si>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</si>
  <si>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</si>
  <si>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</si>
  <si>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</si>
  <si>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</si>
  <si>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</si>
  <si>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</si>
  <si>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S47</t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</si>
  <si>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</si>
  <si>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1</t>
    </r>
  </si>
  <si>
    <r>
      <rPr>
        <rFont val="맑은고딕"/>
        <b/>
        <color theme="1"/>
        <sz val="9.0"/>
      </rPr>
      <t>SS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</si>
  <si>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ME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</si>
  <si>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TS</t>
    </r>
    <r>
      <rPr>
        <rFont val="Noto Sans CJK SC"/>
        <b/>
        <color theme="1"/>
        <sz val="9.0"/>
      </rPr>
      <t>합계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</si>
  <si>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2</t>
    </r>
  </si>
  <si>
    <r>
      <rPr>
        <rFont val="맑은고딕"/>
        <color theme="1"/>
        <sz val="9.0"/>
      </rPr>
      <t>QI</t>
    </r>
    <r>
      <rPr>
        <rFont val="Noto Sans CJK SC"/>
        <color theme="1"/>
        <sz val="9.0"/>
      </rPr>
      <t>재분류세액</t>
    </r>
    <r>
      <rPr>
        <rFont val="맑은고딕"/>
        <color theme="1"/>
        <sz val="9.0"/>
      </rPr>
      <t>/</t>
    </r>
    <r>
      <rPr>
        <rFont val="Noto Sans CJK SC"/>
        <color theme="1"/>
        <sz val="9.0"/>
      </rPr>
      <t>최종납부세액</t>
    </r>
  </si>
  <si>
    <r>
      <rPr>
        <rFont val="Noto Sans CJK SC"/>
        <b/>
        <color rgb="FFFFFFFF"/>
        <sz val="9.0"/>
      </rPr>
      <t xml:space="preserve">증권사 </t>
    </r>
    <r>
      <rPr>
        <rFont val="맑은고딕"/>
        <b/>
        <color rgb="FFFFFFFF"/>
        <sz val="9.0"/>
      </rPr>
      <t>QI</t>
    </r>
    <r>
      <rPr>
        <rFont val="Noto Sans CJK SC"/>
        <b/>
        <color rgb="FFFFFFFF"/>
        <sz val="9.0"/>
      </rPr>
      <t>체계 재분류 결과표</t>
    </r>
  </si>
  <si>
    <t>발행사 ICI 데이터 기반 역산 검증 결과표(배당수령주수 확정 후 ICI DATA 연산) | 특허 10-2026-0084983</t>
  </si>
  <si>
    <r>
      <rPr>
        <rFont val="Noto Sans CJK SC"/>
        <b/>
        <color rgb="FFFFFFFF"/>
        <sz val="9.0"/>
      </rPr>
      <t>국외원천소득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</si>
  <si>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국외원천소득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</si>
  <si>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외국납부세액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</si>
  <si>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외국납부세액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</si>
  <si>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환급세액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</si>
  <si>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환급세액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</si>
  <si>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최종납부세액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</si>
  <si>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최종납부세액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</si>
  <si>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원천
세율</t>
    </r>
    <r>
      <rPr>
        <rFont val="맑은고딕"/>
        <b/>
        <color rgb="FFFFFFFF"/>
        <sz val="9.0"/>
      </rPr>
      <t>%</t>
    </r>
  </si>
  <si>
    <r>
      <rPr>
        <rFont val="맑은고딕"/>
        <b/>
        <color rgb="FFFFFFFF"/>
        <sz val="9.0"/>
      </rPr>
      <t>ICI
Total/</t>
    </r>
    <r>
      <rPr>
        <rFont val="Noto Sans CJK SC"/>
        <b/>
        <color rgb="FFFFFFFF"/>
        <sz val="9.0"/>
      </rPr>
      <t xml:space="preserve">주
</t>
    </r>
    <r>
      <rPr>
        <rFont val="맑은고딕"/>
        <b/>
        <color rgb="FFFFFFFF"/>
        <sz val="9.0"/>
      </rPr>
      <t>(USD)</t>
    </r>
  </si>
  <si>
    <r>
      <rPr>
        <rFont val="맑은고딕"/>
        <b/>
        <color rgb="FFFFFFFF"/>
        <sz val="9.0"/>
      </rPr>
      <t>ICI
Box1a/</t>
    </r>
    <r>
      <rPr>
        <rFont val="Noto Sans CJK SC"/>
        <b/>
        <color rgb="FFFFFFFF"/>
        <sz val="9.0"/>
      </rPr>
      <t xml:space="preserve">주
</t>
    </r>
    <r>
      <rPr>
        <rFont val="맑은고딕"/>
        <b/>
        <color rgb="FFFFFFFF"/>
        <sz val="9.0"/>
      </rPr>
      <t>(USD)</t>
    </r>
  </si>
  <si>
    <r>
      <rPr>
        <rFont val="맑은고딕"/>
        <b/>
        <color rgb="FFFFFFFF"/>
        <sz val="9.0"/>
      </rPr>
      <t>ICI
Box3/</t>
    </r>
    <r>
      <rPr>
        <rFont val="Noto Sans CJK SC"/>
        <b/>
        <color rgb="FFFFFFFF"/>
        <sz val="9.0"/>
      </rPr>
      <t xml:space="preserve">주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</si>
  <si>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배당수령주수
</t>
    </r>
    <r>
      <rPr>
        <rFont val="맑은고딕"/>
        <b/>
        <color rgb="FFFFFFFF"/>
        <sz val="9.0"/>
      </rPr>
      <t>REF_QTY
(ROUND)</t>
    </r>
  </si>
  <si>
    <r>
      <rPr>
        <rFont val="Noto Sans CJK SC"/>
        <b/>
        <color rgb="FFFFFFFF"/>
        <sz val="9.0"/>
      </rPr>
      <t xml:space="preserve">분배금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</si>
  <si>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분배금
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</si>
  <si>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 xml:space="preserve">배당소득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</si>
  <si>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배당소득
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</si>
  <si>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 xml:space="preserve">자본반환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</si>
  <si>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자본반환
</t>
    </r>
    <r>
      <rPr>
        <rFont val="맑은고딕"/>
        <b/>
        <color rgb="FFFFFFFF"/>
        <sz val="9.0"/>
      </rPr>
      <t>(KRW)</t>
    </r>
  </si>
  <si>
    <r>
      <rPr>
        <rFont val="맑은고딕"/>
        <b/>
        <color rgb="FFFFFFFF"/>
        <sz val="9.0"/>
      </rPr>
      <t>DVCA</t>
    </r>
    <r>
      <rPr>
        <rFont val="Noto Sans CJK SC"/>
        <b/>
        <color rgb="FFFFFFFF"/>
        <sz val="9.0"/>
      </rPr>
      <t xml:space="preserve">원천징수납세
</t>
    </r>
    <r>
      <rPr>
        <rFont val="맑은고딕"/>
        <b/>
        <color rgb="FFFFFFFF"/>
        <sz val="9.0"/>
      </rPr>
      <t>(USD)</t>
    </r>
  </si>
  <si>
    <r>
      <rPr>
        <rFont val="맑은고딕"/>
        <b/>
        <color rgb="FFFFFFFF"/>
        <sz val="9.0"/>
      </rPr>
      <t>DVCA</t>
    </r>
    <r>
      <rPr>
        <rFont val="Noto Sans CJK SC"/>
        <b/>
        <color rgb="FFFFFFFF"/>
        <sz val="9.0"/>
      </rPr>
      <t xml:space="preserve">원천징수납세
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</si>
  <si>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 xml:space="preserve">재분류배당소득세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</si>
  <si>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재분류배당소득세
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</si>
  <si>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 xml:space="preserve">자본반환세액환급
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</si>
  <si>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 xml:space="preserve">자본반환세액환급
</t>
    </r>
    <r>
      <rPr>
        <rFont val="맑은고딕"/>
        <b/>
        <color rgb="FFFFFFFF"/>
        <sz val="9.0"/>
      </rPr>
      <t>(KRW)</t>
    </r>
  </si>
  <si>
    <t>대비
(QI/ICI)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</si>
  <si>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</si>
  <si>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</si>
  <si>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</si>
  <si>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</si>
  <si>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</si>
  <si>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</si>
  <si>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</si>
  <si>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</si>
  <si>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</si>
  <si>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</si>
  <si>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</si>
  <si>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</si>
  <si>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</si>
  <si>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</si>
  <si>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</si>
  <si>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</si>
  <si>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</si>
  <si>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STCG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</si>
  <si>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</si>
  <si>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</si>
  <si>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</si>
  <si>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</si>
  <si>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</si>
  <si>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</si>
  <si>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</si>
  <si>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</si>
  <si>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</si>
  <si>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</si>
  <si>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</si>
  <si>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</si>
  <si>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</si>
  <si>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</si>
  <si>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</si>
  <si>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</si>
  <si>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</si>
  <si>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</si>
  <si>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</si>
  <si>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</si>
  <si>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</si>
  <si>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</si>
  <si>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</si>
  <si>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</si>
  <si>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</si>
  <si>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</si>
  <si>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</si>
  <si>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</si>
  <si>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</si>
  <si>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</si>
  <si>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</si>
  <si>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</si>
  <si>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</si>
  <si>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</si>
  <si>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</si>
  <si>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</si>
  <si>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</si>
  <si>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</si>
  <si>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</si>
  <si>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</si>
  <si>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</si>
  <si>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</si>
  <si>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</si>
  <si>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</si>
  <si>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</si>
  <si>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</si>
  <si>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</si>
  <si>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</si>
  <si>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</si>
  <si>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</si>
  <si>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</si>
  <si>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</si>
  <si>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</si>
  <si>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</si>
  <si>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</si>
  <si>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</si>
  <si>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</si>
  <si>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</si>
  <si>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</si>
  <si>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</si>
  <si>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</si>
  <si>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</si>
  <si>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</si>
  <si>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</si>
  <si>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</si>
  <si>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</si>
  <si>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>미래에셋</t>
    </r>
    <r>
      <rPr>
        <rFont val="맑은고딕"/>
        <color theme="1"/>
        <sz val="9.0"/>
      </rPr>
      <t>TIGER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전략인프라액티브증권상장지수투자신탁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</si>
  <si>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</si>
  <si>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</si>
  <si>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</si>
  <si>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</si>
  <si>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소액 자릿수 오차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</si>
  <si>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</si>
  <si>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</si>
  <si>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</si>
  <si>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</si>
  <si>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</si>
  <si>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</si>
  <si>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</si>
  <si>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</si>
  <si>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</si>
  <si>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</si>
  <si>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</si>
  <si>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</si>
  <si>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</si>
  <si>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</si>
  <si>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</si>
  <si>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</si>
  <si>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</si>
  <si>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</si>
  <si>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</si>
  <si>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</si>
  <si>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</si>
  <si>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</si>
  <si>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</si>
  <si>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</si>
  <si>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</si>
  <si>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</si>
  <si>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</si>
  <si>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</si>
  <si>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</si>
  <si>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</si>
  <si>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</si>
  <si>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</si>
  <si>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</si>
  <si>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</si>
  <si>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</si>
  <si>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</si>
  <si>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</si>
  <si>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</si>
  <si>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</si>
  <si>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</si>
  <si>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</si>
  <si>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</si>
  <si>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</si>
  <si>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</si>
  <si>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</si>
  <si>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</si>
  <si>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</si>
  <si>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</si>
  <si>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</si>
  <si>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</si>
  <si>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</si>
  <si>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</si>
  <si>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</si>
  <si>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</si>
  <si>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</si>
  <si>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</si>
  <si>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</si>
  <si>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</si>
  <si>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</si>
  <si>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</si>
  <si>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</si>
  <si>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</si>
  <si>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</si>
  <si>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</si>
  <si>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</si>
  <si>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</si>
  <si>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</si>
  <si>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</si>
  <si>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</si>
  <si>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</si>
  <si>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</si>
  <si>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</si>
  <si>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</si>
  <si>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</si>
  <si>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</si>
  <si>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</si>
  <si>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</si>
  <si>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</si>
  <si>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</si>
  <si>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</si>
  <si>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</si>
  <si>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</si>
  <si>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</si>
  <si>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</si>
  <si>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</si>
  <si>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</si>
  <si>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</si>
  <si>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</si>
  <si>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</si>
  <si>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</si>
  <si>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</si>
  <si>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</si>
  <si>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</si>
  <si>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</si>
  <si>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</si>
  <si>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</si>
  <si>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</si>
  <si>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</si>
  <si>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</si>
  <si>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</si>
  <si>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</si>
  <si>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</si>
  <si>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</si>
  <si>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</si>
  <si>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</si>
  <si>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</si>
  <si>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</si>
  <si>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</si>
  <si>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</si>
  <si>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</si>
  <si>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</si>
  <si>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</si>
  <si>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</si>
  <si>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</si>
  <si>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</si>
  <si>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</si>
  <si>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</si>
  <si>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</si>
  <si>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</si>
  <si>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</si>
  <si>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</si>
  <si>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</si>
  <si>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</si>
  <si>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</si>
  <si>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</si>
  <si>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</si>
  <si>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</si>
  <si>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</si>
  <si>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</si>
  <si>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</si>
  <si>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</si>
  <si>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</si>
  <si>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</si>
  <si>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</si>
  <si>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</si>
  <si>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</si>
  <si>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</si>
  <si>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</si>
  <si>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</si>
  <si>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</si>
  <si>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</si>
  <si>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</si>
  <si>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</si>
  <si>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</si>
  <si>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</si>
  <si>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</si>
  <si>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</si>
  <si>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</si>
  <si>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</si>
  <si>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</si>
  <si>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</si>
  <si>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</si>
  <si>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</si>
  <si>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</si>
  <si>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</si>
  <si>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</si>
  <si>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</si>
  <si>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</si>
  <si>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</si>
  <si>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</si>
  <si>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</si>
  <si>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</si>
  <si>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</si>
  <si>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</si>
  <si>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</si>
  <si>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1</t>
    </r>
  </si>
  <si>
    <r>
      <rPr>
        <rFont val="맑은고딕"/>
        <b/>
        <color theme="1"/>
        <sz val="9.0"/>
      </rPr>
      <t>SS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</si>
  <si>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ME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</si>
  <si>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TS</t>
    </r>
    <r>
      <rPr>
        <rFont val="Noto Sans CJK SC"/>
        <b/>
        <color theme="1"/>
        <sz val="9.0"/>
      </rPr>
      <t>합계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</si>
  <si>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2</t>
    </r>
  </si>
  <si>
    <t>QI_재분류외국납부세액/QI_재분류_최종납부세액</t>
  </si>
  <si>
    <r>
      <rPr>
        <rFont val="Calibri"/>
        <b/>
        <color rgb="FFFF0000"/>
        <sz val="9.0"/>
      </rPr>
      <t>QI_</t>
    </r>
    <r>
      <rPr>
        <rFont val="Arial"/>
        <b/>
        <color rgb="FFFF0000"/>
        <sz val="9.0"/>
      </rPr>
      <t>재분류</t>
    </r>
    <r>
      <rPr>
        <rFont val="Calibri"/>
        <b/>
        <color rgb="FFFF0000"/>
        <sz val="9.0"/>
      </rPr>
      <t>_</t>
    </r>
    <r>
      <rPr>
        <rFont val="Arial"/>
        <b/>
        <color rgb="FFFF0000"/>
        <sz val="9.0"/>
      </rPr>
      <t>국외원천소득</t>
    </r>
    <r>
      <rPr>
        <rFont val="Calibri"/>
        <b/>
        <color rgb="FFFF0000"/>
        <sz val="9.0"/>
      </rPr>
      <t>/ICI_국외</t>
    </r>
    <r>
      <rPr>
        <rFont val="Arial"/>
        <b/>
        <color rgb="FFFF0000"/>
        <sz val="9.0"/>
      </rPr>
      <t>배당소득</t>
    </r>
  </si>
  <si>
    <r>
      <rPr>
        <rFont val="Noto Sans CJK SC"/>
        <b/>
        <color rgb="FFFFFFFF"/>
        <sz val="9.0"/>
      </rPr>
      <t xml:space="preserve">증권사 </t>
    </r>
    <r>
      <rPr>
        <rFont val="맑은고딕"/>
        <b/>
        <color rgb="FFFFFFFF"/>
        <sz val="9.0"/>
      </rPr>
      <t>QI</t>
    </r>
    <r>
      <rPr>
        <rFont val="Noto Sans CJK SC"/>
        <b/>
        <color rgb="FFFFFFFF"/>
        <sz val="9.0"/>
      </rPr>
      <t>체계 재분류 결과표</t>
    </r>
  </si>
  <si>
    <r>
      <rPr>
        <rFont val="Noto Sans CJK SC"/>
        <b/>
        <color rgb="FFFFFFFF"/>
        <sz val="9.0"/>
      </rPr>
      <t>국외원천소득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</si>
  <si>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국외원천소득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</si>
  <si>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외국납부세액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</si>
  <si>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외국납부세액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</si>
  <si>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환급세액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</si>
  <si>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환급세액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</si>
  <si>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최종납부세액
외화</t>
    </r>
    <r>
      <rPr>
        <rFont val="맑은고딕"/>
        <b/>
        <color rgb="FFFFFFFF"/>
        <sz val="9.0"/>
      </rPr>
      <t>(USD)</t>
    </r>
  </si>
  <si>
    <r>
      <rPr>
        <rFont val="Noto Sans CJK SC"/>
        <b/>
        <color rgb="FFFFFFFF"/>
        <sz val="9.0"/>
      </rPr>
      <t>최종납부세액
원화</t>
    </r>
    <r>
      <rPr>
        <rFont val="맑은고딕"/>
        <b/>
        <color rgb="FFFFFFFF"/>
        <sz val="9.0"/>
      </rPr>
      <t>(KRW)</t>
    </r>
  </si>
  <si>
    <r>
      <rPr>
        <rFont val="Noto Sans CJK SC"/>
        <b/>
        <color rgb="FFFFFFFF"/>
        <sz val="9.0"/>
      </rPr>
      <t>원천
세율</t>
    </r>
    <r>
      <rPr>
        <rFont val="맑은고딕"/>
        <b/>
        <color rgb="FFFFFFFF"/>
        <sz val="9.0"/>
      </rPr>
      <t>%</t>
    </r>
  </si>
  <si>
    <r>
      <rPr>
        <rFont val="Malgun Gothic"/>
        <b/>
        <color rgb="FFFFFFFF"/>
        <sz val="9.0"/>
      </rPr>
      <t>ICI
Total/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</si>
  <si>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Box1a/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</si>
  <si>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r>
      <rPr>
        <rFont val="Malgun Gothic"/>
        <b/>
        <color rgb="FFFFFFFF"/>
        <sz val="9.0"/>
      </rPr>
      <t>ICI
Box3/</t>
    </r>
    <r>
      <rPr>
        <rFont val="Noto Sans CJK SC"/>
        <b/>
        <color rgb="FFFFFFFF"/>
        <sz val="9.0"/>
      </rPr>
      <t xml:space="preserve">주
</t>
    </r>
    <r>
      <rPr>
        <rFont val="Malgun Gothic"/>
        <b/>
        <color rgb="FFFFFFFF"/>
        <sz val="9.0"/>
      </rPr>
      <t>(USD)</t>
    </r>
  </si>
  <si>
    <t>배당수령주수
REF_QTY
(ROUND)</t>
  </si>
  <si>
    <t>분배금
(USD)</t>
  </si>
  <si>
    <t>분배금
(KRW)</t>
  </si>
  <si>
    <t>배당소득
(USD)</t>
  </si>
  <si>
    <t>자본이득
(USD)</t>
  </si>
  <si>
    <t>자본이득
(KRW)</t>
  </si>
  <si>
    <t>자본반환
(USD)</t>
  </si>
  <si>
    <t>DVCA원천징수납세
(USD)</t>
  </si>
  <si>
    <t>DVCA원천징수납세
(KRW)</t>
  </si>
  <si>
    <t>재분류배당소득세
(USD)</t>
  </si>
  <si>
    <t>재분류배당소득세
(KRW)</t>
  </si>
  <si>
    <t>자본이득세
(USD)</t>
  </si>
  <si>
    <t>자본이득세
(KRW)</t>
  </si>
  <si>
    <t>자본반환세액환급
(USD)</t>
  </si>
  <si>
    <t>자본반환세액환급
(KRW)</t>
  </si>
  <si>
    <t>자본이득
국내과표
(KRW)</t>
  </si>
  <si>
    <t>자본이득
국내세액
(KRW)</t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</si>
  <si>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</si>
  <si>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</si>
  <si>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</si>
  <si>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</si>
  <si>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</si>
  <si>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</si>
  <si>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</si>
  <si>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</si>
  <si>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</si>
  <si>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</si>
  <si>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</si>
  <si>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</si>
  <si>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</si>
  <si>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</si>
  <si>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 xml:space="preserve">YieldMax </t>
    </r>
    <r>
      <rPr>
        <rFont val="Noto Sans CJK SC"/>
        <color theme="1"/>
        <sz val="9.0"/>
      </rPr>
      <t xml:space="preserve">울트라 옵션인컴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</si>
  <si>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</si>
  <si>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STCG,§871(k)(2)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</si>
  <si>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</si>
  <si>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E5</t>
  </si>
  <si>
    <t>G5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</si>
  <si>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</si>
  <si>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E1</t>
  </si>
  <si>
    <t>G1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</si>
  <si>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</si>
  <si>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</si>
  <si>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E4</t>
  </si>
  <si>
    <t>G4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</si>
  <si>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</si>
  <si>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</si>
  <si>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</si>
  <si>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</si>
  <si>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</si>
  <si>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</si>
  <si>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E10</t>
  </si>
  <si>
    <t>G10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</si>
  <si>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</si>
  <si>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</si>
  <si>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</si>
  <si>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</si>
  <si>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</si>
  <si>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</si>
  <si>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</si>
  <si>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</si>
  <si>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</si>
  <si>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</si>
  <si>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</si>
  <si>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E21</t>
  </si>
  <si>
    <t>G21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</si>
  <si>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</si>
  <si>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</si>
  <si>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</si>
  <si>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</si>
  <si>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</si>
  <si>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</si>
  <si>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E30</t>
  </si>
  <si>
    <t>G30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</si>
  <si>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</si>
  <si>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</si>
  <si>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</si>
  <si>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</si>
  <si>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</si>
  <si>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</si>
  <si>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</si>
  <si>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</si>
  <si>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</si>
  <si>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</si>
  <si>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E40</t>
  </si>
  <si>
    <t>G40</t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</si>
  <si>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</si>
  <si>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</si>
  <si>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</si>
  <si>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</si>
  <si>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</si>
  <si>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</si>
  <si>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</si>
  <si>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</si>
  <si>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</si>
  <si>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</si>
  <si>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</si>
  <si>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E54</t>
  </si>
  <si>
    <t>G54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</si>
  <si>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</si>
  <si>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 xml:space="preserve">KB RISE </t>
    </r>
    <r>
      <rPr>
        <rFont val="Noto Sans CJK SC"/>
        <color theme="1"/>
        <sz val="9.0"/>
      </rPr>
      <t>비크서포트폴리오</t>
    </r>
    <r>
      <rPr>
        <rFont val="맑은고딕"/>
        <color theme="1"/>
        <sz val="9.0"/>
      </rPr>
      <t>TOP10</t>
    </r>
    <r>
      <rPr>
        <rFont val="Noto Sans CJK SC"/>
        <color theme="1"/>
        <sz val="9.0"/>
      </rPr>
      <t>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</si>
  <si>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</si>
  <si>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</si>
  <si>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</si>
  <si>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</si>
  <si>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</si>
  <si>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</si>
  <si>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</si>
  <si>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</si>
  <si>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</si>
  <si>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</si>
  <si>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</si>
  <si>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</si>
  <si>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</si>
  <si>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</si>
  <si>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E73</t>
  </si>
  <si>
    <t>G73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</si>
  <si>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</si>
  <si>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</si>
  <si>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</si>
  <si>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>미래에셋</t>
    </r>
    <r>
      <rPr>
        <rFont val="맑은고딕"/>
        <color theme="1"/>
        <sz val="9.0"/>
      </rPr>
      <t>TIGER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전략인프라액티브증권상장지수투자신탁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</si>
  <si>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</si>
  <si>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Noto Sans CJK SC"/>
        <color theme="1"/>
        <sz val="9.0"/>
      </rPr>
      <t xml:space="preserve">타임폴리오 </t>
    </r>
    <r>
      <rPr>
        <rFont val="맑은고딕"/>
        <color theme="1"/>
        <sz val="9.0"/>
      </rPr>
      <t xml:space="preserve">TIMEFOLIO </t>
    </r>
    <r>
      <rPr>
        <rFont val="Noto Sans CJK SC"/>
        <color theme="1"/>
        <sz val="9.0"/>
      </rPr>
      <t>글로벌</t>
    </r>
    <r>
      <rPr>
        <rFont val="맑은고딕"/>
        <color theme="1"/>
        <sz val="9.0"/>
      </rPr>
      <t>AI</t>
    </r>
    <r>
      <rPr>
        <rFont val="Noto Sans CJK SC"/>
        <color theme="1"/>
        <sz val="9.0"/>
      </rPr>
      <t>인공지능액티브증권상장지수투자신탁</t>
    </r>
    <r>
      <rPr>
        <rFont val="맑은고딕"/>
        <color theme="1"/>
        <sz val="9.0"/>
      </rPr>
      <t>(</t>
    </r>
    <r>
      <rPr>
        <rFont val="Noto Sans CJK SC"/>
        <color theme="1"/>
        <sz val="9.0"/>
      </rPr>
      <t>주식</t>
    </r>
    <r>
      <rPr>
        <rFont val="맑은고딕"/>
        <color theme="1"/>
        <sz val="9.0"/>
      </rPr>
      <t>)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</si>
  <si>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</si>
  <si>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E84</t>
  </si>
  <si>
    <t>G84</t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</si>
  <si>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</si>
  <si>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</si>
  <si>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E89</t>
  </si>
  <si>
    <t>G89</t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</si>
  <si>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</si>
  <si>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</si>
  <si>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</si>
  <si>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</si>
  <si>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</si>
  <si>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</si>
  <si>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</si>
  <si>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</si>
  <si>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</si>
  <si>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</si>
  <si>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</si>
  <si>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</si>
  <si>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</si>
  <si>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</si>
  <si>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</si>
  <si>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마이크로스트래티지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</si>
  <si>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</si>
  <si>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</si>
  <si>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</si>
  <si>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</si>
  <si>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</si>
  <si>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</si>
  <si>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</si>
  <si>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</si>
  <si>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</si>
  <si>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</si>
  <si>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</si>
  <si>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</si>
  <si>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</si>
  <si>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</si>
  <si>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</si>
  <si>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</si>
  <si>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</si>
  <si>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</si>
  <si>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</si>
  <si>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</si>
  <si>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</si>
  <si>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</si>
  <si>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</si>
  <si>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</si>
  <si>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</si>
  <si>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</si>
  <si>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</si>
  <si>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</si>
  <si>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</si>
  <si>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</si>
  <si>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E13</t>
  </si>
  <si>
    <t>G13</t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</si>
  <si>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</si>
  <si>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</si>
  <si>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</si>
  <si>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</si>
  <si>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</si>
  <si>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</si>
  <si>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</si>
  <si>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</si>
  <si>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</si>
  <si>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</si>
  <si>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</si>
  <si>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</si>
  <si>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</si>
  <si>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</si>
  <si>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</si>
  <si>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</si>
  <si>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</si>
  <si>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</si>
  <si>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</si>
  <si>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</si>
  <si>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</si>
  <si>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</si>
  <si>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</si>
  <si>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</si>
  <si>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</si>
  <si>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</si>
  <si>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</si>
  <si>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</si>
  <si>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</si>
  <si>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</si>
  <si>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</si>
  <si>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</si>
  <si>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</si>
  <si>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</si>
  <si>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</si>
  <si>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</si>
  <si>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</si>
  <si>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</si>
  <si>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</si>
  <si>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</si>
  <si>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</si>
  <si>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</si>
  <si>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</si>
  <si>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</si>
  <si>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</si>
  <si>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</si>
  <si>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</si>
  <si>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</si>
  <si>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</si>
  <si>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엔비디아 옵션배당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</si>
  <si>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</si>
  <si>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</si>
  <si>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</si>
  <si>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</si>
  <si>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코인베이스 옵션 배당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</si>
  <si>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</si>
  <si>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</si>
  <si>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</si>
  <si>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</t>
    </r>
    <r>
      <rPr>
        <rFont val="맑은고딕"/>
        <color theme="1"/>
        <sz val="9.0"/>
      </rPr>
      <t>QQQ 3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</si>
  <si>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</si>
  <si>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E31</t>
  </si>
  <si>
    <t>G31</t>
  </si>
  <si>
    <r>
      <rPr>
        <rFont val="Noto Sans CJK SC"/>
        <color theme="1"/>
        <sz val="9.0"/>
      </rPr>
      <t xml:space="preserve">디렉시온 테슬라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</si>
  <si>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</si>
  <si>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</si>
  <si>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스트래티지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</si>
  <si>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</si>
  <si>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</si>
  <si>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</si>
  <si>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테슬라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</si>
  <si>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</si>
  <si>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</si>
  <si>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</si>
  <si>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</si>
  <si>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</si>
  <si>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</si>
  <si>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</si>
  <si>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</si>
  <si>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</si>
  <si>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</si>
  <si>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</si>
  <si>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</si>
  <si>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</si>
  <si>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</si>
  <si>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</si>
  <si>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</si>
  <si>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</si>
  <si>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</si>
  <si>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</si>
  <si>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</si>
  <si>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</si>
  <si>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</si>
  <si>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</si>
  <si>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</si>
  <si>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</si>
  <si>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</si>
  <si>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</si>
  <si>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</si>
  <si>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</si>
  <si>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</si>
  <si>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</si>
  <si>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프로셰어즈 비트코인 선물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</si>
  <si>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</si>
  <si>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t>E42</t>
  </si>
  <si>
    <t>G42</t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</si>
  <si>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</si>
  <si>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</si>
  <si>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</si>
  <si>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</si>
  <si>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</si>
  <si>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</si>
  <si>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</si>
  <si>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</si>
  <si>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</si>
  <si>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</si>
  <si>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</si>
  <si>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</si>
  <si>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</si>
  <si>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</si>
  <si>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Noto Sans CJK SC"/>
        <color theme="1"/>
        <sz val="9.0"/>
      </rPr>
      <t xml:space="preserve">일드맥스 울트라 옵션 인컴 전략 </t>
    </r>
    <r>
      <rPr>
        <rFont val="맑은고딕"/>
        <color theme="1"/>
        <sz val="9.0"/>
      </rPr>
      <t>ETF</t>
    </r>
  </si>
  <si>
    <r>
      <rPr>
        <rFont val="맑은고딕"/>
        <color theme="1"/>
        <sz val="9.0"/>
      </rPr>
      <t>QI Cancel</t>
    </r>
    <r>
      <rPr>
        <rFont val="Noto Sans CJK SC"/>
        <color theme="1"/>
        <sz val="9.0"/>
      </rPr>
      <t>환급</t>
    </r>
  </si>
  <si>
    <r>
      <rPr>
        <rFont val="Noto Sans CJK SC"/>
        <color theme="1"/>
        <sz val="9.0"/>
      </rPr>
      <t xml:space="preserve">비트코인 전략 </t>
    </r>
    <r>
      <rPr>
        <rFont val="맑은고딕"/>
        <color theme="1"/>
        <sz val="9.0"/>
      </rPr>
      <t>2</t>
    </r>
    <r>
      <rPr>
        <rFont val="Noto Sans CJK SC"/>
        <color theme="1"/>
        <sz val="9.0"/>
      </rPr>
      <t xml:space="preserve">배 </t>
    </r>
    <r>
      <rPr>
        <rFont val="맑은고딕"/>
        <color theme="1"/>
        <sz val="9.0"/>
      </rPr>
      <t>ETF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</si>
  <si>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1</t>
    </r>
  </si>
  <si>
    <r>
      <rPr>
        <rFont val="맑은고딕"/>
        <b/>
        <color theme="1"/>
        <sz val="9.0"/>
      </rPr>
      <t>SS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</si>
  <si>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ME</t>
    </r>
    <r>
      <rPr>
        <rFont val="Noto Sans CJK SC"/>
        <b/>
        <color theme="1"/>
        <sz val="9.0"/>
      </rPr>
      <t>합계</t>
    </r>
  </si>
  <si>
    <r>
      <rPr>
        <rFont val="맑은고딕"/>
        <b/>
        <color theme="1"/>
        <sz val="9.0"/>
      </rPr>
      <t>TS</t>
    </r>
    <r>
      <rPr>
        <rFont val="Noto Sans CJK SC"/>
        <b/>
        <color theme="1"/>
        <sz val="9.0"/>
      </rPr>
      <t>합계</t>
    </r>
  </si>
  <si>
    <r>
      <rPr>
        <rFont val="Noto Sans CJK SC"/>
        <b/>
        <color theme="1"/>
        <sz val="9.0"/>
      </rPr>
      <t>소계</t>
    </r>
    <r>
      <rPr>
        <rFont val="맑은고딕"/>
        <b/>
        <color theme="1"/>
        <sz val="9.0"/>
      </rPr>
      <t>2</t>
    </r>
  </si>
  <si>
    <r>
      <rPr>
        <rFont val="Calibri"/>
        <b/>
        <color rgb="FFFF0000"/>
        <sz val="9.0"/>
      </rPr>
      <t>QI_</t>
    </r>
    <r>
      <rPr>
        <rFont val="Arial"/>
        <b/>
        <color rgb="FFFF0000"/>
        <sz val="9.0"/>
      </rPr>
      <t>재분류</t>
    </r>
    <r>
      <rPr>
        <rFont val="Calibri"/>
        <b/>
        <color rgb="FFFF0000"/>
        <sz val="9.0"/>
      </rPr>
      <t>_</t>
    </r>
    <r>
      <rPr>
        <rFont val="Arial"/>
        <b/>
        <color rgb="FFFF0000"/>
        <sz val="9.0"/>
      </rPr>
      <t>국외원천소득</t>
    </r>
    <r>
      <rPr>
        <rFont val="Calibri"/>
        <b/>
        <color rgb="FFFF0000"/>
        <sz val="9.0"/>
      </rPr>
      <t>/ICI_국외</t>
    </r>
    <r>
      <rPr>
        <rFont val="Arial"/>
        <b/>
        <color rgb="FFFF0000"/>
        <sz val="9.0"/>
      </rPr>
      <t>배당소득</t>
    </r>
  </si>
  <si>
    <t>국외배당국내확정과표</t>
  </si>
  <si>
    <t>국외배당국내확정세액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</si>
</sst>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0000"/>
    <numFmt numFmtId="165" formatCode="0.000%"/>
    <numFmt numFmtId="166" formatCode="#,##0.00;\(#,##0.00\);\-"/>
    <numFmt numFmtId="167" formatCode="#,##0;\(#,##0\);\-"/>
    <numFmt numFmtId="168" formatCode="#,##0.0"/>
    <numFmt numFmtId="169" formatCode="0.000000"/>
    <numFmt numFmtId="170" formatCode="#,##0.0000"/>
    <numFmt numFmtId="171" formatCode="#,##0.00_);\(#,##0.00\)"/>
  </numFmts>
  <fonts count="38">
    <font>
      <sz val="11.0"/>
      <color theme="1"/>
      <name val="Calibri"/>
      <scheme val="minor"/>
    </font>
    <font>
      <b/>
      <sz val="8.0"/>
      <color theme="1"/>
      <name val="Calibri"/>
      <scheme val="minor"/>
    </font>
    <font>
      <sz val="8.0"/>
      <color theme="1"/>
      <name val="Calibri"/>
      <scheme val="minor"/>
    </font>
    <font>
      <b/>
      <sz val="8.0"/>
      <color rgb="FF980000"/>
      <name val="Calibri"/>
      <scheme val="minor"/>
    </font>
    <font>
      <sz val="11.0"/>
      <color theme="1"/>
      <name val="Calibri"/>
    </font>
    <font>
      <sz val="9.0"/>
      <color rgb="FF980000"/>
      <name val="Malgun Gothic"/>
    </font>
    <font>
      <color theme="1"/>
      <name val="Calibri"/>
      <scheme val="minor"/>
    </font>
    <font>
      <sz val="9.0"/>
      <color rgb="FF006600"/>
      <name val="Malgun Gothic"/>
    </font>
    <font>
      <b/>
      <sz val="9.0"/>
      <color rgb="FF0000AA"/>
      <name val="Malgun Gothic"/>
    </font>
    <font>
      <sz val="9.0"/>
      <color theme="1"/>
      <name val="Arial"/>
    </font>
    <font>
      <sz val="9.0"/>
      <color theme="1"/>
      <name val="Calibri"/>
    </font>
    <font>
      <b/>
      <sz val="9.0"/>
      <color theme="1"/>
      <name val="Malgun Gothic"/>
    </font>
    <font>
      <b/>
      <sz val="9.0"/>
      <color rgb="FF880088"/>
      <name val="Malgun Gothic"/>
    </font>
    <font>
      <b/>
      <sz val="9.0"/>
      <color rgb="FF006600"/>
      <name val="Malgun Gothic"/>
    </font>
    <font>
      <b/>
      <sz val="9.0"/>
      <color rgb="FFFFFFFF"/>
      <name val="맑은고딕"/>
    </font>
    <font/>
    <font>
      <b/>
      <sz val="9.0"/>
      <color rgb="FFFFFFFF"/>
      <name val="Noto Sans"/>
    </font>
    <font>
      <sz val="9.0"/>
      <color theme="1"/>
      <name val="맑은고딕"/>
    </font>
    <font>
      <sz val="9.0"/>
      <color theme="1"/>
      <name val="Noto Sans"/>
    </font>
    <font>
      <sz val="9.0"/>
      <color rgb="FF000000"/>
      <name val="맑은고딕"/>
    </font>
    <font>
      <b/>
      <sz val="9.0"/>
      <color theme="1"/>
      <name val="맑은고딕"/>
    </font>
    <font>
      <b/>
      <sz val="9.0"/>
      <color theme="1"/>
      <name val="Noto Sans"/>
    </font>
    <font>
      <b/>
      <sz val="9.0"/>
      <color rgb="FF000000"/>
      <name val="맑은고딕"/>
    </font>
    <font>
      <b/>
      <sz val="9.0"/>
      <color rgb="FFFFFFFF"/>
      <name val="Arial"/>
    </font>
    <font>
      <color theme="1"/>
      <name val="Calibri"/>
    </font>
    <font>
      <sz val="9.0"/>
      <color rgb="FF980000"/>
      <name val="맑은고딕"/>
    </font>
    <font>
      <color rgb="FF980000"/>
      <name val="Calibri"/>
    </font>
    <font>
      <b/>
      <sz val="9.0"/>
      <color rgb="FFFF0000"/>
      <name val="Malgun Gothic"/>
    </font>
    <font>
      <sz val="9.0"/>
      <color theme="1"/>
      <name val="Malgun Gothic"/>
    </font>
    <font>
      <b/>
      <sz val="9.0"/>
      <color rgb="FFFF0000"/>
      <name val="Calibri"/>
    </font>
    <font>
      <b/>
      <sz val="11.0"/>
      <color rgb="FFFF0000"/>
      <name val="Calibri"/>
    </font>
    <font>
      <b/>
      <color rgb="FFFF0000"/>
      <name val="Calibri"/>
    </font>
    <font>
      <b/>
      <sz val="9.0"/>
      <color rgb="FFFFFFFF"/>
      <name val="Malgun Gothic"/>
    </font>
    <font>
      <sz val="9.0"/>
      <color rgb="FF980000"/>
      <name val="Calibri"/>
    </font>
    <font>
      <b/>
      <sz val="9.0"/>
      <color rgb="FF980000"/>
      <name val="Malgun Gothic"/>
    </font>
    <font>
      <sz val="9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theme="1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8F4FF"/>
        <bgColor rgb="FFE8F4FF"/>
      </patternFill>
    </fill>
    <fill>
      <patternFill patternType="solid">
        <fgColor rgb="FFFFE8FF"/>
        <bgColor rgb="FFFFE8FF"/>
      </patternFill>
    </fill>
    <fill>
      <patternFill patternType="solid">
        <fgColor rgb="FFE8FFE8"/>
        <bgColor rgb="FFE8FFE8"/>
      </patternFill>
    </fill>
    <fill>
      <patternFill patternType="solid">
        <fgColor rgb="FFCCC0D9"/>
        <bgColor rgb="FFCCC0D9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2F5FA"/>
        <bgColor rgb="FFF2F5FA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1B3A6B"/>
        <bgColor rgb="FF1B3A6B"/>
      </patternFill>
    </fill>
    <fill>
      <patternFill patternType="solid">
        <fgColor rgb="FFB6D7A8"/>
        <bgColor rgb="FFB6D7A8"/>
      </patternFill>
    </fill>
    <fill>
      <patternFill patternType="solid">
        <fgColor rgb="FF2E5090"/>
        <bgColor rgb="FF2E509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BD4B4"/>
        <bgColor rgb="FFFBD4B4"/>
      </patternFill>
    </fill>
    <fill>
      <patternFill patternType="solid">
        <fgColor rgb="FF274E13"/>
        <bgColor rgb="FF274E13"/>
      </patternFill>
    </fill>
    <fill>
      <patternFill patternType="solid">
        <fgColor rgb="FF4C1130"/>
        <bgColor rgb="FF4C1130"/>
      </patternFill>
    </fill>
    <fill>
      <patternFill patternType="solid">
        <fgColor rgb="FFEAD1DC"/>
        <bgColor rgb="FFEAD1DC"/>
      </patternFill>
    </fill>
  </fills>
  <borders count="72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980000"/>
      </left>
      <top style="thick">
        <color rgb="FF000000"/>
      </top>
      <bottom style="thick">
        <color rgb="FF000000"/>
      </bottom>
    </border>
    <border>
      <right style="thick">
        <color rgb="FF980000"/>
      </right>
      <top style="thick">
        <color rgb="FF000000"/>
      </top>
      <bottom style="thick">
        <color rgb="FF000000"/>
      </bottom>
    </border>
    <border>
      <right style="thin">
        <color rgb="FF980000"/>
      </right>
      <top style="thick">
        <color rgb="FF000000"/>
      </top>
      <bottom style="thick">
        <color rgb="FF000000"/>
      </bottom>
    </border>
    <border>
      <left style="thin">
        <color rgb="FF980000"/>
      </left>
      <top style="thick">
        <color rgb="FF000000"/>
      </top>
      <bottom style="thick">
        <color rgb="FF000000"/>
      </bottom>
    </border>
    <border>
      <left style="thick">
        <color rgb="FF00FF00"/>
      </left>
      <top style="thick">
        <color rgb="FF000000"/>
      </top>
      <bottom style="thick">
        <color rgb="FF000000"/>
      </bottom>
    </border>
    <border>
      <right style="thick">
        <color rgb="FF00FF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980000"/>
      </left>
    </border>
    <border>
      <right style="thick">
        <color rgb="FF980000"/>
      </right>
    </border>
    <border>
      <left style="thick">
        <color rgb="FF00FF00"/>
      </left>
    </border>
    <border>
      <right style="thick">
        <color rgb="FF00FF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2E5090"/>
      </left>
      <right style="thin">
        <color rgb="FF2E5090"/>
      </right>
      <bottom style="thin">
        <color rgb="FF2E5090"/>
      </bottom>
    </border>
    <border>
      <left style="thin">
        <color rgb="FF2E5090"/>
      </left>
      <bottom style="thin">
        <color rgb="FF2E5090"/>
      </bottom>
    </border>
    <border>
      <left style="thick">
        <color rgb="FF000000"/>
      </left>
      <right style="thin">
        <color rgb="FF2E5090"/>
      </right>
      <top style="thick">
        <color rgb="FF000000"/>
      </top>
      <bottom style="thin">
        <color rgb="FF2E5090"/>
      </bottom>
    </border>
    <border>
      <left style="thin">
        <color rgb="FF2E5090"/>
      </left>
      <right style="thick">
        <color rgb="FF000000"/>
      </right>
      <top style="thick">
        <color rgb="FF000000"/>
      </top>
      <bottom style="thin">
        <color rgb="FF2E5090"/>
      </bottom>
    </border>
    <border>
      <right style="thin">
        <color rgb="FF2E5090"/>
      </right>
      <bottom/>
    </border>
    <border>
      <left style="thin">
        <color rgb="FF2E5090"/>
      </left>
      <right style="thin">
        <color rgb="FF2E5090"/>
      </right>
      <bottom/>
    </border>
    <border>
      <left/>
      <right style="thin">
        <color rgb="FF2E5090"/>
      </right>
      <bottom/>
    </border>
    <border>
      <left/>
      <right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medium">
        <color rgb="FF000000"/>
      </left>
      <right style="thin">
        <color rgb="FF888888"/>
      </right>
    </border>
    <border>
      <left style="thin">
        <color rgb="FF888888"/>
      </left>
      <right style="medium">
        <color rgb="FF000000"/>
      </right>
    </border>
    <border>
      <left/>
      <right style="thin">
        <color rgb="FF888888"/>
      </right>
    </border>
    <border>
      <left style="thin">
        <color rgb="FF888888"/>
      </lef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left style="thick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medium">
        <color rgb="FF000000"/>
      </left>
      <right style="thick">
        <color rgb="FF000000"/>
      </right>
      <top style="thin">
        <color rgb="FF888888"/>
      </top>
      <bottom style="thin">
        <color rgb="FF888888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ck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15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4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1" fillId="2" fontId="1" numFmtId="4" xfId="0" applyAlignment="1" applyBorder="1" applyFill="1" applyFont="1" applyNumberFormat="1">
      <alignment readingOrder="0" shrinkToFit="0" wrapText="1"/>
    </xf>
    <xf borderId="2" fillId="2" fontId="1" numFmtId="4" xfId="0" applyAlignment="1" applyBorder="1" applyFont="1" applyNumberFormat="1">
      <alignment readingOrder="0" shrinkToFit="0" wrapText="1"/>
    </xf>
    <xf borderId="3" fillId="3" fontId="1" numFmtId="4" xfId="0" applyAlignment="1" applyBorder="1" applyFill="1" applyFont="1" applyNumberFormat="1">
      <alignment readingOrder="0" shrinkToFit="0" wrapText="1"/>
    </xf>
    <xf borderId="4" fillId="3" fontId="1" numFmtId="3" xfId="0" applyAlignment="1" applyBorder="1" applyFont="1" applyNumberFormat="1">
      <alignment readingOrder="0" shrinkToFit="0" wrapText="1"/>
    </xf>
    <xf borderId="4" fillId="3" fontId="1" numFmtId="4" xfId="0" applyAlignment="1" applyBorder="1" applyFont="1" applyNumberFormat="1">
      <alignment readingOrder="0" shrinkToFit="0" wrapText="1"/>
    </xf>
    <xf borderId="5" fillId="3" fontId="1" numFmtId="3" xfId="0" applyAlignment="1" applyBorder="1" applyFont="1" applyNumberFormat="1">
      <alignment readingOrder="0" shrinkToFit="0" wrapText="1"/>
    </xf>
    <xf borderId="6" fillId="4" fontId="1" numFmtId="4" xfId="0" applyAlignment="1" applyBorder="1" applyFill="1" applyFont="1" applyNumberFormat="1">
      <alignment readingOrder="0" shrinkToFit="0" wrapText="1"/>
    </xf>
    <xf borderId="7" fillId="4" fontId="1" numFmtId="3" xfId="0" applyAlignment="1" applyBorder="1" applyFont="1" applyNumberFormat="1">
      <alignment readingOrder="0" shrinkToFit="0" wrapText="1"/>
    </xf>
    <xf borderId="8" fillId="4" fontId="1" numFmtId="4" xfId="0" applyAlignment="1" applyBorder="1" applyFont="1" applyNumberFormat="1">
      <alignment readingOrder="0" shrinkToFit="0" wrapText="1"/>
    </xf>
    <xf borderId="9" fillId="4" fontId="1" numFmtId="3" xfId="0" applyAlignment="1" applyBorder="1" applyFont="1" applyNumberFormat="1">
      <alignment readingOrder="0" shrinkToFit="0" wrapText="1"/>
    </xf>
    <xf borderId="10" fillId="4" fontId="1" numFmtId="4" xfId="0" applyAlignment="1" applyBorder="1" applyFont="1" applyNumberFormat="1">
      <alignment readingOrder="0" shrinkToFit="0" wrapText="1"/>
    </xf>
    <xf borderId="11" fillId="4" fontId="1" numFmtId="3" xfId="0" applyAlignment="1" applyBorder="1" applyFont="1" applyNumberFormat="1">
      <alignment readingOrder="0" shrinkToFit="0" wrapText="1"/>
    </xf>
    <xf borderId="12" fillId="4" fontId="1" numFmtId="3" xfId="0" applyAlignment="1" applyBorder="1" applyFont="1" applyNumberFormat="1">
      <alignment readingOrder="0" shrinkToFit="0" wrapText="1"/>
    </xf>
    <xf borderId="6" fillId="5" fontId="1" numFmtId="4" xfId="0" applyAlignment="1" applyBorder="1" applyFill="1" applyFont="1" applyNumberFormat="1">
      <alignment readingOrder="0" shrinkToFit="0" wrapText="1"/>
    </xf>
    <xf borderId="7" fillId="5" fontId="1" numFmtId="3" xfId="0" applyAlignment="1" applyBorder="1" applyFont="1" applyNumberFormat="1">
      <alignment readingOrder="0" shrinkToFit="0" wrapText="1"/>
    </xf>
    <xf borderId="12" fillId="5" fontId="1" numFmtId="4" xfId="0" applyAlignment="1" applyBorder="1" applyFont="1" applyNumberFormat="1">
      <alignment readingOrder="0" shrinkToFit="0" wrapText="1"/>
    </xf>
    <xf borderId="12" fillId="5" fontId="1" numFmtId="3" xfId="0" applyAlignment="1" applyBorder="1" applyFont="1" applyNumberFormat="1">
      <alignment readingOrder="0" shrinkToFit="0" wrapText="1"/>
    </xf>
    <xf borderId="10" fillId="5" fontId="1" numFmtId="4" xfId="0" applyAlignment="1" applyBorder="1" applyFont="1" applyNumberFormat="1">
      <alignment readingOrder="0" shrinkToFit="0" wrapText="1"/>
    </xf>
    <xf borderId="11" fillId="5" fontId="1" numFmtId="3" xfId="0" applyAlignment="1" applyBorder="1" applyFont="1" applyNumberFormat="1">
      <alignment readingOrder="0" shrinkToFit="0" wrapText="1"/>
    </xf>
    <xf borderId="2" fillId="5" fontId="1" numFmtId="3" xfId="0" applyAlignment="1" applyBorder="1" applyFont="1" applyNumberFormat="1">
      <alignment readingOrder="0" shrinkToFit="0" wrapText="1"/>
    </xf>
    <xf borderId="13" fillId="0" fontId="1" numFmtId="4" xfId="0" applyAlignment="1" applyBorder="1" applyFont="1" applyNumberFormat="1">
      <alignment readingOrder="0"/>
    </xf>
    <xf borderId="14" fillId="0" fontId="1" numFmtId="4" xfId="0" applyAlignment="1" applyBorder="1" applyFont="1" applyNumberFormat="1">
      <alignment readingOrder="0"/>
    </xf>
    <xf borderId="15" fillId="0" fontId="1" numFmtId="4" xfId="0" applyAlignment="1" applyBorder="1" applyFont="1" applyNumberFormat="1">
      <alignment shrinkToFit="0" wrapText="1"/>
    </xf>
    <xf borderId="16" fillId="0" fontId="1" numFmtId="3" xfId="0" applyAlignment="1" applyBorder="1" applyFont="1" applyNumberFormat="1">
      <alignment shrinkToFit="0" wrapText="1"/>
    </xf>
    <xf borderId="17" fillId="0" fontId="1" numFmtId="4" xfId="0" applyAlignment="1" applyBorder="1" applyFont="1" applyNumberFormat="1">
      <alignment shrinkToFit="0" wrapText="1"/>
    </xf>
    <xf borderId="18" fillId="0" fontId="1" numFmtId="3" xfId="0" applyAlignment="1" applyBorder="1" applyFont="1" applyNumberFormat="1">
      <alignment shrinkToFit="0" wrapText="1"/>
    </xf>
    <xf borderId="14" fillId="0" fontId="1" numFmtId="3" xfId="0" applyAlignment="1" applyBorder="1" applyFont="1" applyNumberFormat="1">
      <alignment shrinkToFit="0" wrapText="1"/>
    </xf>
    <xf borderId="13" fillId="2" fontId="1" numFmtId="4" xfId="0" applyAlignment="1" applyBorder="1" applyFont="1" applyNumberFormat="1">
      <alignment readingOrder="0"/>
    </xf>
    <xf borderId="14" fillId="2" fontId="1" numFmtId="4" xfId="0" applyAlignment="1" applyBorder="1" applyFont="1" applyNumberFormat="1">
      <alignment readingOrder="0"/>
    </xf>
    <xf borderId="0" fillId="2" fontId="1" numFmtId="4" xfId="0" applyAlignment="1" applyFont="1" applyNumberFormat="1">
      <alignment shrinkToFit="0" wrapText="1"/>
    </xf>
    <xf borderId="0" fillId="2" fontId="1" numFmtId="3" xfId="0" applyAlignment="1" applyFont="1" applyNumberFormat="1">
      <alignment shrinkToFit="0" wrapText="1"/>
    </xf>
    <xf borderId="15" fillId="2" fontId="1" numFmtId="4" xfId="0" applyAlignment="1" applyBorder="1" applyFont="1" applyNumberFormat="1">
      <alignment shrinkToFit="0" wrapText="1"/>
    </xf>
    <xf borderId="16" fillId="2" fontId="1" numFmtId="3" xfId="0" applyAlignment="1" applyBorder="1" applyFont="1" applyNumberFormat="1">
      <alignment shrinkToFit="0" wrapText="1"/>
    </xf>
    <xf borderId="17" fillId="2" fontId="1" numFmtId="4" xfId="0" applyAlignment="1" applyBorder="1" applyFont="1" applyNumberFormat="1">
      <alignment shrinkToFit="0" wrapText="1"/>
    </xf>
    <xf borderId="18" fillId="2" fontId="1" numFmtId="3" xfId="0" applyAlignment="1" applyBorder="1" applyFont="1" applyNumberFormat="1">
      <alignment shrinkToFit="0" wrapText="1"/>
    </xf>
    <xf borderId="15" fillId="2" fontId="2" numFmtId="0" xfId="0" applyAlignment="1" applyBorder="1" applyFont="1">
      <alignment shrinkToFit="0" wrapText="1"/>
    </xf>
    <xf borderId="16" fillId="2" fontId="2" numFmtId="3" xfId="0" applyAlignment="1" applyBorder="1" applyFont="1" applyNumberFormat="1">
      <alignment shrinkToFit="0" wrapText="1"/>
    </xf>
    <xf borderId="17" fillId="2" fontId="2" numFmtId="0" xfId="0" applyAlignment="1" applyBorder="1" applyFont="1">
      <alignment shrinkToFit="0" wrapText="1"/>
    </xf>
    <xf borderId="18" fillId="2" fontId="2" numFmtId="3" xfId="0" applyAlignment="1" applyBorder="1" applyFont="1" applyNumberFormat="1">
      <alignment shrinkToFit="0" wrapText="1"/>
    </xf>
    <xf borderId="14" fillId="2" fontId="1" numFmtId="3" xfId="0" applyAlignment="1" applyBorder="1" applyFont="1" applyNumberFormat="1">
      <alignment shrinkToFit="0" wrapText="1"/>
    </xf>
    <xf borderId="17" fillId="0" fontId="3" numFmtId="4" xfId="0" applyAlignment="1" applyBorder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14" fillId="0" fontId="3" numFmtId="3" xfId="0" applyAlignment="1" applyBorder="1" applyFont="1" applyNumberFormat="1">
      <alignment shrinkToFit="0" wrapText="1"/>
    </xf>
    <xf borderId="0" fillId="2" fontId="1" numFmtId="4" xfId="0" applyAlignment="1" applyFont="1" applyNumberFormat="1">
      <alignment readingOrder="0" shrinkToFit="0" wrapText="1"/>
    </xf>
    <xf borderId="0" fillId="2" fontId="3" numFmtId="4" xfId="0" applyAlignment="1" applyFont="1" applyNumberFormat="1">
      <alignment shrinkToFit="0" wrapText="1"/>
    </xf>
    <xf borderId="14" fillId="2" fontId="3" numFmtId="3" xfId="0" applyAlignment="1" applyBorder="1" applyFont="1" applyNumberFormat="1">
      <alignment shrinkToFit="0" wrapText="1"/>
    </xf>
    <xf borderId="1" fillId="6" fontId="1" numFmtId="4" xfId="0" applyAlignment="1" applyBorder="1" applyFill="1" applyFont="1" applyNumberFormat="1">
      <alignment readingOrder="0"/>
    </xf>
    <xf borderId="2" fillId="6" fontId="1" numFmtId="4" xfId="0" applyBorder="1" applyFont="1" applyNumberFormat="1"/>
    <xf borderId="12" fillId="3" fontId="1" numFmtId="4" xfId="0" applyAlignment="1" applyBorder="1" applyFont="1" applyNumberFormat="1">
      <alignment shrinkToFit="0" wrapText="1"/>
    </xf>
    <xf borderId="12" fillId="3" fontId="1" numFmtId="3" xfId="0" applyAlignment="1" applyBorder="1" applyFont="1" applyNumberFormat="1">
      <alignment shrinkToFit="0" wrapText="1"/>
    </xf>
    <xf borderId="6" fillId="4" fontId="1" numFmtId="4" xfId="0" applyAlignment="1" applyBorder="1" applyFont="1" applyNumberFormat="1">
      <alignment shrinkToFit="0" wrapText="1"/>
    </xf>
    <xf borderId="7" fillId="4" fontId="1" numFmtId="3" xfId="0" applyAlignment="1" applyBorder="1" applyFont="1" applyNumberFormat="1">
      <alignment shrinkToFit="0" wrapText="1"/>
    </xf>
    <xf borderId="12" fillId="4" fontId="1" numFmtId="4" xfId="0" applyAlignment="1" applyBorder="1" applyFont="1" applyNumberFormat="1">
      <alignment shrinkToFit="0" wrapText="1"/>
    </xf>
    <xf borderId="12" fillId="4" fontId="1" numFmtId="3" xfId="0" applyAlignment="1" applyBorder="1" applyFont="1" applyNumberFormat="1">
      <alignment shrinkToFit="0" wrapText="1"/>
    </xf>
    <xf borderId="10" fillId="4" fontId="1" numFmtId="4" xfId="0" applyAlignment="1" applyBorder="1" applyFont="1" applyNumberFormat="1">
      <alignment shrinkToFit="0" wrapText="1"/>
    </xf>
    <xf borderId="11" fillId="4" fontId="1" numFmtId="3" xfId="0" applyAlignment="1" applyBorder="1" applyFont="1" applyNumberFormat="1">
      <alignment shrinkToFit="0" wrapText="1"/>
    </xf>
    <xf borderId="10" fillId="4" fontId="3" numFmtId="4" xfId="0" applyAlignment="1" applyBorder="1" applyFont="1" applyNumberFormat="1">
      <alignment shrinkToFit="0" wrapText="1"/>
    </xf>
    <xf borderId="12" fillId="4" fontId="3" numFmtId="3" xfId="0" applyAlignment="1" applyBorder="1" applyFont="1" applyNumberFormat="1">
      <alignment shrinkToFit="0" wrapText="1"/>
    </xf>
    <xf borderId="6" fillId="5" fontId="1" numFmtId="4" xfId="0" applyAlignment="1" applyBorder="1" applyFont="1" applyNumberFormat="1">
      <alignment shrinkToFit="0" wrapText="1"/>
    </xf>
    <xf borderId="7" fillId="5" fontId="1" numFmtId="3" xfId="0" applyAlignment="1" applyBorder="1" applyFont="1" applyNumberFormat="1">
      <alignment shrinkToFit="0" wrapText="1"/>
    </xf>
    <xf borderId="12" fillId="5" fontId="1" numFmtId="4" xfId="0" applyAlignment="1" applyBorder="1" applyFont="1" applyNumberFormat="1">
      <alignment shrinkToFit="0" wrapText="1"/>
    </xf>
    <xf borderId="12" fillId="5" fontId="1" numFmtId="3" xfId="0" applyAlignment="1" applyBorder="1" applyFont="1" applyNumberFormat="1">
      <alignment shrinkToFit="0" wrapText="1"/>
    </xf>
    <xf borderId="10" fillId="5" fontId="1" numFmtId="4" xfId="0" applyAlignment="1" applyBorder="1" applyFont="1" applyNumberFormat="1">
      <alignment shrinkToFit="0" wrapText="1"/>
    </xf>
    <xf borderId="11" fillId="5" fontId="1" numFmtId="3" xfId="0" applyAlignment="1" applyBorder="1" applyFont="1" applyNumberFormat="1">
      <alignment shrinkToFit="0" wrapText="1"/>
    </xf>
    <xf borderId="12" fillId="5" fontId="3" numFmtId="4" xfId="0" applyAlignment="1" applyBorder="1" applyFont="1" applyNumberFormat="1">
      <alignment shrinkToFit="0" wrapText="1"/>
    </xf>
    <xf borderId="2" fillId="5" fontId="3" numFmtId="3" xfId="0" applyAlignment="1" applyBorder="1" applyFont="1" applyNumberFormat="1">
      <alignment shrinkToFit="0" wrapText="1"/>
    </xf>
    <xf borderId="19" fillId="0" fontId="1" numFmtId="3" xfId="0" applyAlignment="1" applyBorder="1" applyFont="1" applyNumberFormat="1">
      <alignment readingOrder="0" shrinkToFit="0" wrapText="1"/>
    </xf>
    <xf borderId="3" fillId="0" fontId="1" numFmtId="3" xfId="0" applyAlignment="1" applyBorder="1" applyFont="1" applyNumberFormat="1">
      <alignment readingOrder="0" shrinkToFit="0" wrapText="1"/>
    </xf>
    <xf borderId="4" fillId="0" fontId="1" numFmtId="4" xfId="0" applyAlignment="1" applyBorder="1" applyFont="1" applyNumberFormat="1">
      <alignment shrinkToFit="0" wrapText="1"/>
    </xf>
    <xf borderId="4" fillId="0" fontId="1" numFmtId="3" xfId="0" applyAlignment="1" applyBorder="1" applyFont="1" applyNumberFormat="1">
      <alignment readingOrder="0" shrinkToFit="0" wrapText="1"/>
    </xf>
    <xf borderId="20" fillId="0" fontId="1" numFmtId="3" xfId="0" applyAlignment="1" applyBorder="1" applyFont="1" applyNumberFormat="1">
      <alignment readingOrder="0" shrinkToFit="0" wrapText="1"/>
    </xf>
    <xf borderId="21" fillId="0" fontId="1" numFmtId="3" xfId="0" applyAlignment="1" applyBorder="1" applyFont="1" applyNumberFormat="1">
      <alignment readingOrder="0" shrinkToFit="0" wrapText="1"/>
    </xf>
    <xf borderId="22" fillId="0" fontId="1" numFmtId="3" xfId="0" applyAlignment="1" applyBorder="1" applyFont="1" applyNumberFormat="1">
      <alignment shrinkToFit="0" wrapText="1"/>
    </xf>
    <xf borderId="23" fillId="0" fontId="1" numFmtId="4" xfId="0" applyAlignment="1" applyBorder="1" applyFont="1" applyNumberFormat="1">
      <alignment shrinkToFit="0" wrapText="1"/>
    </xf>
    <xf borderId="23" fillId="0" fontId="1" numFmtId="3" xfId="0" applyAlignment="1" applyBorder="1" applyFont="1" applyNumberFormat="1">
      <alignment shrinkToFit="0" wrapText="1"/>
    </xf>
    <xf borderId="24" fillId="0" fontId="1" numFmtId="3" xfId="0" applyAlignment="1" applyBorder="1" applyFont="1" applyNumberFormat="1">
      <alignment shrinkToFit="0" wrapText="1"/>
    </xf>
    <xf borderId="25" fillId="0" fontId="1" numFmtId="3" xfId="0" applyAlignment="1" applyBorder="1" applyFont="1" applyNumberFormat="1">
      <alignment readingOrder="0" shrinkToFit="0" wrapText="1"/>
    </xf>
    <xf borderId="26" fillId="7" fontId="1" numFmtId="3" xfId="0" applyAlignment="1" applyBorder="1" applyFill="1" applyFont="1" applyNumberFormat="1">
      <alignment shrinkToFit="0" wrapText="1"/>
    </xf>
    <xf borderId="27" fillId="0" fontId="1" numFmtId="4" xfId="0" applyAlignment="1" applyBorder="1" applyFont="1" applyNumberFormat="1">
      <alignment shrinkToFit="0" wrapText="1"/>
    </xf>
    <xf borderId="27" fillId="0" fontId="1" numFmtId="3" xfId="0" applyAlignment="1" applyBorder="1" applyFont="1" applyNumberFormat="1">
      <alignment shrinkToFit="0" wrapText="1"/>
    </xf>
    <xf borderId="28" fillId="0" fontId="1" numFmtId="3" xfId="0" applyAlignment="1" applyBorder="1" applyFont="1" applyNumberFormat="1">
      <alignment shrinkToFit="0" wrapText="1"/>
    </xf>
    <xf borderId="26" fillId="0" fontId="1" numFmtId="3" xfId="0" applyAlignment="1" applyBorder="1" applyFont="1" applyNumberFormat="1">
      <alignment shrinkToFit="0" wrapText="1"/>
    </xf>
    <xf borderId="27" fillId="8" fontId="1" numFmtId="3" xfId="0" applyAlignment="1" applyBorder="1" applyFill="1" applyFont="1" applyNumberFormat="1">
      <alignment shrinkToFit="0" wrapText="1"/>
    </xf>
    <xf borderId="29" fillId="0" fontId="1" numFmtId="3" xfId="0" applyAlignment="1" applyBorder="1" applyFont="1" applyNumberFormat="1">
      <alignment readingOrder="0" shrinkToFit="0" wrapText="1"/>
    </xf>
    <xf borderId="30" fillId="0" fontId="1" numFmtId="3" xfId="0" applyAlignment="1" applyBorder="1" applyFont="1" applyNumberFormat="1">
      <alignment shrinkToFit="0" wrapText="1"/>
    </xf>
    <xf borderId="31" fillId="0" fontId="1" numFmtId="4" xfId="0" applyAlignment="1" applyBorder="1" applyFont="1" applyNumberFormat="1">
      <alignment shrinkToFit="0" wrapText="1"/>
    </xf>
    <xf borderId="31" fillId="0" fontId="1" numFmtId="3" xfId="0" applyAlignment="1" applyBorder="1" applyFont="1" applyNumberFormat="1">
      <alignment shrinkToFit="0" wrapText="1"/>
    </xf>
    <xf borderId="32" fillId="8" fontId="1" numFmtId="3" xfId="0" applyAlignment="1" applyBorder="1" applyFont="1" applyNumberFormat="1">
      <alignment shrinkToFit="0" wrapText="1"/>
    </xf>
    <xf borderId="3" fillId="0" fontId="1" numFmtId="3" xfId="0" applyAlignment="1" applyBorder="1" applyFont="1" applyNumberFormat="1">
      <alignment shrinkToFit="0" wrapText="1"/>
    </xf>
    <xf borderId="4" fillId="0" fontId="1" numFmtId="3" xfId="0" applyAlignment="1" applyBorder="1" applyFont="1" applyNumberFormat="1">
      <alignment shrinkToFit="0" wrapText="1"/>
    </xf>
    <xf borderId="20" fillId="0" fontId="1" numFmtId="3" xfId="0" applyAlignment="1" applyBorder="1" applyFont="1" applyNumberFormat="1">
      <alignment shrinkToFit="0" wrapText="1"/>
    </xf>
    <xf borderId="33" fillId="0" fontId="1" numFmtId="4" xfId="0" applyAlignment="1" applyBorder="1" applyFont="1" applyNumberFormat="1">
      <alignment horizontal="center"/>
    </xf>
    <xf borderId="34" fillId="0" fontId="4" numFmtId="3" xfId="0" applyAlignment="1" applyBorder="1" applyFont="1" applyNumberFormat="1">
      <alignment horizontal="center"/>
    </xf>
    <xf borderId="34" fillId="0" fontId="1" numFmtId="4" xfId="0" applyAlignment="1" applyBorder="1" applyFont="1" applyNumberFormat="1">
      <alignment horizontal="center" shrinkToFit="0" wrapText="1"/>
    </xf>
    <xf borderId="34" fillId="0" fontId="5" numFmtId="164" xfId="0" applyAlignment="1" applyBorder="1" applyFont="1" applyNumberFormat="1">
      <alignment horizontal="center"/>
    </xf>
    <xf borderId="34" fillId="0" fontId="5" numFmtId="3" xfId="0" applyAlignment="1" applyBorder="1" applyFont="1" applyNumberFormat="1">
      <alignment horizontal="center"/>
    </xf>
    <xf borderId="34" fillId="0" fontId="6" numFmtId="0" xfId="0" applyAlignment="1" applyBorder="1" applyFont="1">
      <alignment horizontal="center"/>
    </xf>
    <xf borderId="34" fillId="0" fontId="5" numFmtId="4" xfId="0" applyAlignment="1" applyBorder="1" applyFont="1" applyNumberFormat="1">
      <alignment horizontal="center"/>
    </xf>
    <xf borderId="34" fillId="0" fontId="7" numFmtId="3" xfId="0" applyAlignment="1" applyBorder="1" applyFont="1" applyNumberFormat="1">
      <alignment horizontal="center"/>
    </xf>
    <xf borderId="35" fillId="0" fontId="7" numFmtId="3" xfId="0" applyAlignment="1" applyBorder="1" applyFont="1" applyNumberFormat="1">
      <alignment horizontal="center"/>
    </xf>
    <xf borderId="25" fillId="0" fontId="1" numFmtId="4" xfId="0" applyAlignment="1" applyBorder="1" applyFont="1" applyNumberFormat="1">
      <alignment shrinkToFit="0" wrapText="1"/>
    </xf>
    <xf borderId="27" fillId="0" fontId="4" numFmtId="0" xfId="0" applyAlignment="1" applyBorder="1" applyFont="1">
      <alignment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7" fillId="0" fontId="6" numFmtId="0" xfId="0" applyAlignment="1" applyBorder="1" applyFont="1">
      <alignment shrinkToFit="0" wrapText="1"/>
    </xf>
    <xf borderId="27" fillId="0" fontId="9" numFmtId="3" xfId="0" applyAlignment="1" applyBorder="1" applyFont="1" applyNumberFormat="1">
      <alignment horizontal="center" shrinkToFit="0" vertical="center" wrapText="1"/>
    </xf>
    <xf borderId="27" fillId="0" fontId="10" numFmtId="3" xfId="0" applyAlignment="1" applyBorder="1" applyFont="1" applyNumberFormat="1">
      <alignment horizontal="center" shrinkToFit="0" vertical="center" wrapText="1"/>
    </xf>
    <xf borderId="27" fillId="0" fontId="8" numFmtId="3" xfId="0" applyAlignment="1" applyBorder="1" applyFont="1" applyNumberFormat="1">
      <alignment horizontal="center" shrinkToFit="0" vertical="center" wrapText="1"/>
    </xf>
    <xf borderId="28" fillId="0" fontId="8" numFmtId="3" xfId="0" applyAlignment="1" applyBorder="1" applyFont="1" applyNumberFormat="1">
      <alignment horizontal="center" shrinkToFit="0" vertical="center" wrapText="1"/>
    </xf>
    <xf borderId="25" fillId="0" fontId="1" numFmtId="4" xfId="0" applyBorder="1" applyFont="1" applyNumberFormat="1"/>
    <xf borderId="27" fillId="0" fontId="11" numFmtId="165" xfId="0" applyAlignment="1" applyBorder="1" applyFont="1" applyNumberFormat="1">
      <alignment horizontal="right"/>
    </xf>
    <xf borderId="27" fillId="0" fontId="11" numFmtId="3" xfId="0" applyAlignment="1" applyBorder="1" applyFont="1" applyNumberFormat="1">
      <alignment horizontal="right"/>
    </xf>
    <xf borderId="27" fillId="9" fontId="8" numFmtId="3" xfId="0" applyAlignment="1" applyBorder="1" applyFill="1" applyFont="1" applyNumberFormat="1">
      <alignment horizontal="right"/>
    </xf>
    <xf borderId="28" fillId="0" fontId="11" numFmtId="3" xfId="0" applyAlignment="1" applyBorder="1" applyFont="1" applyNumberFormat="1">
      <alignment horizontal="right"/>
    </xf>
    <xf borderId="27" fillId="10" fontId="12" numFmtId="3" xfId="0" applyAlignment="1" applyBorder="1" applyFill="1" applyFont="1" applyNumberFormat="1">
      <alignment horizontal="right"/>
    </xf>
    <xf borderId="27" fillId="0" fontId="11" numFmtId="3" xfId="0" applyAlignment="1" applyBorder="1" applyFont="1" applyNumberFormat="1">
      <alignment horizontal="right" readingOrder="0"/>
    </xf>
    <xf borderId="27" fillId="11" fontId="13" numFmtId="3" xfId="0" applyAlignment="1" applyBorder="1" applyFill="1" applyFont="1" applyNumberFormat="1">
      <alignment horizontal="right"/>
    </xf>
    <xf borderId="29" fillId="0" fontId="1" numFmtId="4" xfId="0" applyBorder="1" applyFont="1" applyNumberFormat="1"/>
    <xf borderId="31" fillId="0" fontId="11" numFmtId="165" xfId="0" applyAlignment="1" applyBorder="1" applyFont="1" applyNumberFormat="1">
      <alignment horizontal="right"/>
    </xf>
    <xf borderId="31" fillId="0" fontId="11" numFmtId="3" xfId="0" applyAlignment="1" applyBorder="1" applyFont="1" applyNumberFormat="1">
      <alignment horizontal="right"/>
    </xf>
    <xf borderId="31" fillId="0" fontId="6" numFmtId="0" xfId="0" applyBorder="1" applyFont="1"/>
    <xf borderId="31" fillId="12" fontId="11" numFmtId="3" xfId="0" applyAlignment="1" applyBorder="1" applyFill="1" applyFont="1" applyNumberFormat="1">
      <alignment horizontal="right"/>
    </xf>
    <xf borderId="31" fillId="7" fontId="11" numFmtId="3" xfId="0" applyAlignment="1" applyBorder="1" applyFont="1" applyNumberFormat="1">
      <alignment horizontal="right"/>
    </xf>
    <xf borderId="32" fillId="0" fontId="11" numFmtId="3" xfId="0" applyAlignment="1" applyBorder="1" applyFont="1" applyNumberFormat="1">
      <alignment horizontal="right"/>
    </xf>
    <xf borderId="33" fillId="0" fontId="1" numFmtId="4" xfId="0" applyBorder="1" applyFont="1" applyNumberFormat="1"/>
    <xf borderId="34" fillId="0" fontId="11" numFmtId="165" xfId="0" applyAlignment="1" applyBorder="1" applyFont="1" applyNumberFormat="1">
      <alignment horizontal="right"/>
    </xf>
    <xf borderId="34" fillId="0" fontId="1" numFmtId="4" xfId="0" applyAlignment="1" applyBorder="1" applyFont="1" applyNumberFormat="1">
      <alignment shrinkToFit="0" wrapText="1"/>
    </xf>
    <xf borderId="34" fillId="0" fontId="4" numFmtId="3" xfId="0" applyBorder="1" applyFont="1" applyNumberFormat="1"/>
    <xf borderId="34" fillId="0" fontId="6" numFmtId="0" xfId="0" applyBorder="1" applyFont="1"/>
    <xf borderId="34" fillId="9" fontId="8" numFmtId="3" xfId="0" applyAlignment="1" applyBorder="1" applyFont="1" applyNumberFormat="1">
      <alignment horizontal="right"/>
    </xf>
    <xf borderId="34" fillId="0" fontId="4" numFmtId="165" xfId="0" applyBorder="1" applyFont="1" applyNumberFormat="1"/>
    <xf borderId="35" fillId="0" fontId="4" numFmtId="165" xfId="0" applyBorder="1" applyFont="1" applyNumberFormat="1"/>
    <xf borderId="27" fillId="0" fontId="4" numFmtId="3" xfId="0" applyBorder="1" applyFont="1" applyNumberFormat="1"/>
    <xf borderId="27" fillId="0" fontId="4" numFmtId="165" xfId="0" applyBorder="1" applyFont="1" applyNumberFormat="1"/>
    <xf borderId="28" fillId="0" fontId="4" numFmtId="165" xfId="0" applyBorder="1" applyFont="1" applyNumberFormat="1"/>
    <xf borderId="36" fillId="0" fontId="1" numFmtId="4" xfId="0" applyBorder="1" applyFont="1" applyNumberFormat="1"/>
    <xf borderId="37" fillId="0" fontId="11" numFmtId="0" xfId="0" applyAlignment="1" applyBorder="1" applyFont="1">
      <alignment horizontal="right" readingOrder="0"/>
    </xf>
    <xf borderId="37" fillId="0" fontId="1" numFmtId="4" xfId="0" applyAlignment="1" applyBorder="1" applyFont="1" applyNumberFormat="1">
      <alignment shrinkToFit="0" wrapText="1"/>
    </xf>
    <xf borderId="37" fillId="0" fontId="4" numFmtId="3" xfId="0" applyBorder="1" applyFont="1" applyNumberFormat="1"/>
    <xf borderId="37" fillId="0" fontId="6" numFmtId="0" xfId="0" applyBorder="1" applyFont="1"/>
    <xf borderId="37" fillId="7" fontId="11" numFmtId="3" xfId="0" applyAlignment="1" applyBorder="1" applyFont="1" applyNumberFormat="1">
      <alignment horizontal="right"/>
    </xf>
    <xf borderId="37" fillId="0" fontId="4" numFmtId="165" xfId="0" applyBorder="1" applyFont="1" applyNumberFormat="1"/>
    <xf borderId="38" fillId="0" fontId="4" numFmtId="165" xfId="0" applyBorder="1" applyFont="1" applyNumberFormat="1"/>
    <xf borderId="39" fillId="13" fontId="14" numFmtId="0" xfId="0" applyAlignment="1" applyBorder="1" applyFill="1" applyFont="1">
      <alignment horizontal="center" shrinkToFit="0" vertical="center" wrapText="1"/>
    </xf>
    <xf borderId="40" fillId="0" fontId="15" numFmtId="0" xfId="0" applyBorder="1" applyFont="1"/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27" fillId="13" fontId="14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7" fillId="0" fontId="4" numFmtId="3" xfId="0" applyAlignment="1" applyBorder="1" applyFont="1" applyNumberFormat="1">
      <alignment vertical="center"/>
    </xf>
    <xf borderId="27" fillId="0" fontId="4" numFmtId="0" xfId="0" applyAlignment="1" applyBorder="1" applyFont="1">
      <alignment readingOrder="0" vertical="center"/>
    </xf>
    <xf borderId="27" fillId="14" fontId="17" numFmtId="0" xfId="0" applyAlignment="1" applyBorder="1" applyFill="1" applyFont="1">
      <alignment horizontal="center" shrinkToFit="0" vertical="center" wrapText="1"/>
    </xf>
    <xf borderId="27" fillId="14" fontId="18" numFmtId="0" xfId="0" applyAlignment="1" applyBorder="1" applyFont="1">
      <alignment horizontal="center" shrinkToFit="0" vertical="center" wrapText="1"/>
    </xf>
    <xf borderId="27" fillId="14" fontId="17" numFmtId="0" xfId="0" applyAlignment="1" applyBorder="1" applyFont="1">
      <alignment horizontal="left" shrinkToFit="0" vertical="center" wrapText="0"/>
    </xf>
    <xf borderId="27" fillId="14" fontId="18" numFmtId="0" xfId="0" applyAlignment="1" applyBorder="1" applyFont="1">
      <alignment horizontal="left" shrinkToFit="0" vertical="center" wrapText="0"/>
    </xf>
    <xf borderId="27" fillId="14" fontId="17" numFmtId="166" xfId="0" applyAlignment="1" applyBorder="1" applyFont="1" applyNumberFormat="1">
      <alignment horizontal="right" shrinkToFit="0" vertical="center" wrapText="0"/>
    </xf>
    <xf borderId="27" fillId="14" fontId="17" numFmtId="167" xfId="0" applyAlignment="1" applyBorder="1" applyFont="1" applyNumberFormat="1">
      <alignment horizontal="right" shrinkToFit="0" vertical="center" wrapText="0"/>
    </xf>
    <xf borderId="27" fillId="14" fontId="19" numFmtId="166" xfId="0" applyAlignment="1" applyBorder="1" applyFont="1" applyNumberFormat="1">
      <alignment horizontal="right" shrinkToFit="0" vertical="center" wrapText="0"/>
    </xf>
    <xf borderId="27" fillId="14" fontId="19" numFmtId="167" xfId="0" applyAlignment="1" applyBorder="1" applyFont="1" applyNumberFormat="1">
      <alignment horizontal="right" shrinkToFit="0" vertical="center" wrapText="0"/>
    </xf>
    <xf borderId="27" fillId="14" fontId="17" numFmtId="168" xfId="0" applyAlignment="1" applyBorder="1" applyFont="1" applyNumberFormat="1">
      <alignment horizontal="right" shrinkToFit="0" vertical="center" wrapText="0"/>
    </xf>
    <xf borderId="27" fillId="14" fontId="17" numFmtId="2" xfId="0" applyAlignment="1" applyBorder="1" applyFont="1" applyNumberFormat="1">
      <alignment horizontal="right" shrinkToFit="0" vertical="center" wrapText="0"/>
    </xf>
    <xf borderId="27" fillId="14" fontId="17" numFmtId="0" xfId="0" applyAlignment="1" applyBorder="1" applyFont="1">
      <alignment horizontal="right" shrinkToFit="0" vertical="center" wrapText="0"/>
    </xf>
    <xf borderId="27" fillId="0" fontId="4" numFmtId="3" xfId="0" applyAlignment="1" applyBorder="1" applyFont="1" applyNumberFormat="1">
      <alignment vertical="bottom"/>
    </xf>
    <xf borderId="27" fillId="0" fontId="4" numFmtId="10" xfId="0" applyAlignment="1" applyBorder="1" applyFont="1" applyNumberFormat="1">
      <alignment horizontal="right" vertical="bottom"/>
    </xf>
    <xf borderId="27" fillId="0" fontId="4" numFmtId="0" xfId="0" applyAlignment="1" applyBorder="1" applyFont="1">
      <alignment horizontal="right" vertical="bottom"/>
    </xf>
    <xf borderId="27" fillId="15" fontId="17" numFmtId="0" xfId="0" applyAlignment="1" applyBorder="1" applyFill="1" applyFont="1">
      <alignment horizontal="center" shrinkToFit="0" vertical="center" wrapText="1"/>
    </xf>
    <xf borderId="27" fillId="15" fontId="18" numFmtId="0" xfId="0" applyAlignment="1" applyBorder="1" applyFont="1">
      <alignment horizontal="center" shrinkToFit="0" vertical="center" wrapText="1"/>
    </xf>
    <xf borderId="27" fillId="15" fontId="17" numFmtId="0" xfId="0" applyAlignment="1" applyBorder="1" applyFont="1">
      <alignment horizontal="left" shrinkToFit="0" vertical="center" wrapText="0"/>
    </xf>
    <xf borderId="27" fillId="15" fontId="18" numFmtId="0" xfId="0" applyAlignment="1" applyBorder="1" applyFont="1">
      <alignment horizontal="left" shrinkToFit="0" vertical="center" wrapText="0"/>
    </xf>
    <xf borderId="27" fillId="15" fontId="17" numFmtId="166" xfId="0" applyAlignment="1" applyBorder="1" applyFont="1" applyNumberFormat="1">
      <alignment horizontal="right" shrinkToFit="0" vertical="center" wrapText="0"/>
    </xf>
    <xf borderId="27" fillId="15" fontId="17" numFmtId="167" xfId="0" applyAlignment="1" applyBorder="1" applyFont="1" applyNumberFormat="1">
      <alignment horizontal="right" shrinkToFit="0" vertical="center" wrapText="0"/>
    </xf>
    <xf borderId="27" fillId="15" fontId="19" numFmtId="166" xfId="0" applyAlignment="1" applyBorder="1" applyFont="1" applyNumberFormat="1">
      <alignment horizontal="right" shrinkToFit="0" vertical="center" wrapText="0"/>
    </xf>
    <xf borderId="27" fillId="15" fontId="19" numFmtId="167" xfId="0" applyAlignment="1" applyBorder="1" applyFont="1" applyNumberFormat="1">
      <alignment horizontal="right" shrinkToFit="0" vertical="center" wrapText="0"/>
    </xf>
    <xf borderId="27" fillId="15" fontId="17" numFmtId="168" xfId="0" applyAlignment="1" applyBorder="1" applyFont="1" applyNumberFormat="1">
      <alignment horizontal="right" shrinkToFit="0" vertical="center" wrapText="0"/>
    </xf>
    <xf borderId="27" fillId="15" fontId="17" numFmtId="2" xfId="0" applyAlignment="1" applyBorder="1" applyFont="1" applyNumberFormat="1">
      <alignment horizontal="right" shrinkToFit="0" vertical="center" wrapText="0"/>
    </xf>
    <xf borderId="27" fillId="15" fontId="17" numFmtId="0" xfId="0" applyAlignment="1" applyBorder="1" applyFont="1">
      <alignment horizontal="right" shrinkToFit="0" vertical="center" wrapText="0"/>
    </xf>
    <xf borderId="27" fillId="16" fontId="17" numFmtId="0" xfId="0" applyAlignment="1" applyBorder="1" applyFill="1" applyFont="1">
      <alignment horizontal="center" shrinkToFit="0" vertical="center" wrapText="1"/>
    </xf>
    <xf borderId="27" fillId="16" fontId="18" numFmtId="0" xfId="0" applyAlignment="1" applyBorder="1" applyFont="1">
      <alignment horizontal="center" shrinkToFit="0" vertical="center" wrapText="1"/>
    </xf>
    <xf borderId="27" fillId="16" fontId="17" numFmtId="0" xfId="0" applyAlignment="1" applyBorder="1" applyFont="1">
      <alignment horizontal="left" shrinkToFit="0" vertical="center" wrapText="0"/>
    </xf>
    <xf borderId="27" fillId="16" fontId="18" numFmtId="0" xfId="0" applyAlignment="1" applyBorder="1" applyFont="1">
      <alignment horizontal="left" shrinkToFit="0" vertical="center" wrapText="0"/>
    </xf>
    <xf borderId="27" fillId="16" fontId="17" numFmtId="166" xfId="0" applyAlignment="1" applyBorder="1" applyFont="1" applyNumberFormat="1">
      <alignment horizontal="right" shrinkToFit="0" vertical="center" wrapText="0"/>
    </xf>
    <xf borderId="27" fillId="16" fontId="17" numFmtId="167" xfId="0" applyAlignment="1" applyBorder="1" applyFont="1" applyNumberFormat="1">
      <alignment horizontal="right" shrinkToFit="0" vertical="center" wrapText="0"/>
    </xf>
    <xf borderId="27" fillId="16" fontId="19" numFmtId="166" xfId="0" applyAlignment="1" applyBorder="1" applyFont="1" applyNumberFormat="1">
      <alignment horizontal="right" shrinkToFit="0" vertical="center" wrapText="0"/>
    </xf>
    <xf borderId="27" fillId="16" fontId="19" numFmtId="167" xfId="0" applyAlignment="1" applyBorder="1" applyFont="1" applyNumberFormat="1">
      <alignment horizontal="right" shrinkToFit="0" vertical="center" wrapText="0"/>
    </xf>
    <xf borderId="27" fillId="16" fontId="17" numFmtId="168" xfId="0" applyAlignment="1" applyBorder="1" applyFont="1" applyNumberFormat="1">
      <alignment horizontal="right" shrinkToFit="0" vertical="center" wrapText="0"/>
    </xf>
    <xf borderId="27" fillId="16" fontId="17" numFmtId="2" xfId="0" applyAlignment="1" applyBorder="1" applyFont="1" applyNumberFormat="1">
      <alignment horizontal="right" shrinkToFit="0" vertical="center" wrapText="0"/>
    </xf>
    <xf borderId="27" fillId="16" fontId="17" numFmtId="0" xfId="0" applyAlignment="1" applyBorder="1" applyFont="1">
      <alignment horizontal="right" shrinkToFit="0" vertical="center" wrapText="0"/>
    </xf>
    <xf borderId="27" fillId="17" fontId="11" numFmtId="3" xfId="0" applyAlignment="1" applyBorder="1" applyFill="1" applyFont="1" applyNumberFormat="1">
      <alignment horizontal="right"/>
    </xf>
    <xf borderId="27" fillId="0" fontId="4" numFmtId="167" xfId="0" applyAlignment="1" applyBorder="1" applyFont="1" applyNumberFormat="1">
      <alignment horizontal="right" vertical="bottom"/>
    </xf>
    <xf borderId="27" fillId="18" fontId="17" numFmtId="0" xfId="0" applyAlignment="1" applyBorder="1" applyFill="1" applyFont="1">
      <alignment horizontal="center" shrinkToFit="0" vertical="center" wrapText="1"/>
    </xf>
    <xf borderId="27" fillId="18" fontId="18" numFmtId="0" xfId="0" applyAlignment="1" applyBorder="1" applyFont="1">
      <alignment horizontal="center" shrinkToFit="0" vertical="center" wrapText="1"/>
    </xf>
    <xf borderId="27" fillId="18" fontId="17" numFmtId="0" xfId="0" applyAlignment="1" applyBorder="1" applyFont="1">
      <alignment horizontal="left" shrinkToFit="0" vertical="center" wrapText="0"/>
    </xf>
    <xf borderId="27" fillId="18" fontId="18" numFmtId="0" xfId="0" applyAlignment="1" applyBorder="1" applyFont="1">
      <alignment horizontal="left" shrinkToFit="0" vertical="center" wrapText="0"/>
    </xf>
    <xf borderId="27" fillId="18" fontId="17" numFmtId="166" xfId="0" applyAlignment="1" applyBorder="1" applyFont="1" applyNumberFormat="1">
      <alignment horizontal="right" shrinkToFit="0" vertical="center" wrapText="0"/>
    </xf>
    <xf borderId="27" fillId="18" fontId="17" numFmtId="167" xfId="0" applyAlignment="1" applyBorder="1" applyFont="1" applyNumberFormat="1">
      <alignment horizontal="right" shrinkToFit="0" vertical="center" wrapText="0"/>
    </xf>
    <xf borderId="27" fillId="18" fontId="19" numFmtId="166" xfId="0" applyAlignment="1" applyBorder="1" applyFont="1" applyNumberFormat="1">
      <alignment horizontal="right" shrinkToFit="0" vertical="center" wrapText="0"/>
    </xf>
    <xf borderId="27" fillId="18" fontId="19" numFmtId="167" xfId="0" applyAlignment="1" applyBorder="1" applyFont="1" applyNumberFormat="1">
      <alignment horizontal="right" shrinkToFit="0" vertical="center" wrapText="0"/>
    </xf>
    <xf borderId="27" fillId="18" fontId="17" numFmtId="168" xfId="0" applyAlignment="1" applyBorder="1" applyFont="1" applyNumberFormat="1">
      <alignment horizontal="right" shrinkToFit="0" vertical="center" wrapText="0"/>
    </xf>
    <xf borderId="27" fillId="18" fontId="17" numFmtId="2" xfId="0" applyAlignment="1" applyBorder="1" applyFont="1" applyNumberFormat="1">
      <alignment horizontal="right" shrinkToFit="0" vertical="center" wrapText="0"/>
    </xf>
    <xf borderId="27" fillId="18" fontId="17" numFmtId="0" xfId="0" applyAlignment="1" applyBorder="1" applyFont="1">
      <alignment horizontal="right" shrinkToFit="0" vertical="center" wrapText="0"/>
    </xf>
    <xf borderId="31" fillId="0" fontId="4" numFmtId="3" xfId="0" applyAlignment="1" applyBorder="1" applyFont="1" applyNumberFormat="1">
      <alignment vertical="bottom"/>
    </xf>
    <xf borderId="41" fillId="14" fontId="20" numFmtId="0" xfId="0" applyAlignment="1" applyBorder="1" applyFont="1">
      <alignment horizontal="center" shrinkToFit="0" vertical="center" wrapText="1"/>
    </xf>
    <xf borderId="42" fillId="0" fontId="15" numFmtId="0" xfId="0" applyBorder="1" applyFont="1"/>
    <xf borderId="27" fillId="14" fontId="19" numFmtId="0" xfId="0" applyAlignment="1" applyBorder="1" applyFont="1">
      <alignment horizontal="right" shrinkToFit="0" vertical="center" wrapText="0"/>
    </xf>
    <xf borderId="27" fillId="14" fontId="19" numFmtId="4" xfId="0" applyAlignment="1" applyBorder="1" applyFont="1" applyNumberFormat="1">
      <alignment horizontal="right" shrinkToFit="0" vertical="center" wrapText="0"/>
    </xf>
    <xf borderId="27" fillId="14" fontId="19" numFmtId="3" xfId="0" applyAlignment="1" applyBorder="1" applyFont="1" applyNumberFormat="1">
      <alignment horizontal="right" shrinkToFit="0" vertical="center" wrapText="0"/>
    </xf>
    <xf borderId="27" fillId="14" fontId="19" numFmtId="169" xfId="0" applyAlignment="1" applyBorder="1" applyFont="1" applyNumberFormat="1">
      <alignment horizontal="right" shrinkToFit="0" vertical="center" wrapText="0"/>
    </xf>
    <xf borderId="27" fillId="14" fontId="21" numFmtId="0" xfId="0" applyAlignment="1" applyBorder="1" applyFont="1">
      <alignment horizontal="left" shrinkToFit="0" vertical="center" wrapText="0"/>
    </xf>
    <xf borderId="41" fillId="14" fontId="19" numFmtId="0" xfId="0" applyAlignment="1" applyBorder="1" applyFont="1">
      <alignment horizontal="right" shrinkToFit="0" vertical="center" wrapText="0"/>
    </xf>
    <xf borderId="43" fillId="14" fontId="22" numFmtId="3" xfId="0" applyAlignment="1" applyBorder="1" applyFont="1" applyNumberFormat="1">
      <alignment horizontal="right" shrinkToFit="0" vertical="center" wrapText="0"/>
    </xf>
    <xf borderId="26" fillId="0" fontId="4" numFmtId="0" xfId="0" applyAlignment="1" applyBorder="1" applyFont="1">
      <alignment vertical="bottom"/>
    </xf>
    <xf borderId="27" fillId="0" fontId="4" numFmtId="0" xfId="0" applyAlignment="1" applyBorder="1" applyFont="1">
      <alignment vertical="bottom"/>
    </xf>
    <xf borderId="41" fillId="15" fontId="20" numFmtId="0" xfId="0" applyAlignment="1" applyBorder="1" applyFont="1">
      <alignment horizontal="center" shrinkToFit="0" vertical="center" wrapText="1"/>
    </xf>
    <xf borderId="27" fillId="15" fontId="19" numFmtId="0" xfId="0" applyAlignment="1" applyBorder="1" applyFont="1">
      <alignment horizontal="right" shrinkToFit="0" vertical="center" wrapText="0"/>
    </xf>
    <xf borderId="27" fillId="15" fontId="19" numFmtId="4" xfId="0" applyAlignment="1" applyBorder="1" applyFont="1" applyNumberFormat="1">
      <alignment horizontal="right" shrinkToFit="0" vertical="center" wrapText="0"/>
    </xf>
    <xf borderId="27" fillId="15" fontId="19" numFmtId="3" xfId="0" applyAlignment="1" applyBorder="1" applyFont="1" applyNumberFormat="1">
      <alignment horizontal="right" shrinkToFit="0" vertical="center" wrapText="0"/>
    </xf>
    <xf borderId="27" fillId="15" fontId="19" numFmtId="169" xfId="0" applyAlignment="1" applyBorder="1" applyFont="1" applyNumberFormat="1">
      <alignment horizontal="right" shrinkToFit="0" vertical="center" wrapText="0"/>
    </xf>
    <xf borderId="27" fillId="15" fontId="21" numFmtId="0" xfId="0" applyAlignment="1" applyBorder="1" applyFont="1">
      <alignment horizontal="left" shrinkToFit="0" vertical="center" wrapText="0"/>
    </xf>
    <xf borderId="41" fillId="15" fontId="19" numFmtId="0" xfId="0" applyAlignment="1" applyBorder="1" applyFont="1">
      <alignment horizontal="right" shrinkToFit="0" vertical="center" wrapText="0"/>
    </xf>
    <xf borderId="43" fillId="15" fontId="22" numFmtId="3" xfId="0" applyAlignment="1" applyBorder="1" applyFont="1" applyNumberFormat="1">
      <alignment horizontal="right" shrinkToFit="0" vertical="center" wrapText="0"/>
    </xf>
    <xf borderId="41" fillId="18" fontId="20" numFmtId="0" xfId="0" applyAlignment="1" applyBorder="1" applyFont="1">
      <alignment horizontal="center" shrinkToFit="0" vertical="center" wrapText="1"/>
    </xf>
    <xf borderId="27" fillId="18" fontId="19" numFmtId="0" xfId="0" applyAlignment="1" applyBorder="1" applyFont="1">
      <alignment horizontal="right" shrinkToFit="0" vertical="center" wrapText="0"/>
    </xf>
    <xf borderId="27" fillId="18" fontId="19" numFmtId="4" xfId="0" applyAlignment="1" applyBorder="1" applyFont="1" applyNumberFormat="1">
      <alignment horizontal="right" shrinkToFit="0" vertical="center" wrapText="0"/>
    </xf>
    <xf borderId="27" fillId="18" fontId="19" numFmtId="3" xfId="0" applyAlignment="1" applyBorder="1" applyFont="1" applyNumberFormat="1">
      <alignment horizontal="right" shrinkToFit="0" vertical="center" wrapText="0"/>
    </xf>
    <xf borderId="27" fillId="18" fontId="19" numFmtId="169" xfId="0" applyAlignment="1" applyBorder="1" applyFont="1" applyNumberFormat="1">
      <alignment horizontal="right" shrinkToFit="0" vertical="center" wrapText="0"/>
    </xf>
    <xf borderId="27" fillId="18" fontId="21" numFmtId="0" xfId="0" applyAlignment="1" applyBorder="1" applyFont="1">
      <alignment horizontal="left" shrinkToFit="0" vertical="center" wrapText="0"/>
    </xf>
    <xf borderId="41" fillId="18" fontId="19" numFmtId="0" xfId="0" applyAlignment="1" applyBorder="1" applyFont="1">
      <alignment horizontal="right" shrinkToFit="0" vertical="center" wrapText="0"/>
    </xf>
    <xf borderId="43" fillId="18" fontId="22" numFmtId="3" xfId="0" applyAlignment="1" applyBorder="1" applyFont="1" applyNumberFormat="1">
      <alignment horizontal="right" shrinkToFit="0" vertical="center" wrapText="0"/>
    </xf>
    <xf borderId="41" fillId="19" fontId="21" numFmtId="0" xfId="0" applyAlignment="1" applyBorder="1" applyFill="1" applyFont="1">
      <alignment horizontal="center" shrinkToFit="0" vertical="center" wrapText="1"/>
    </xf>
    <xf borderId="27" fillId="19" fontId="19" numFmtId="0" xfId="0" applyAlignment="1" applyBorder="1" applyFont="1">
      <alignment horizontal="right" shrinkToFit="0" vertical="center" wrapText="0"/>
    </xf>
    <xf borderId="27" fillId="19" fontId="19" numFmtId="4" xfId="0" applyAlignment="1" applyBorder="1" applyFont="1" applyNumberFormat="1">
      <alignment horizontal="right" shrinkToFit="0" vertical="center" wrapText="0"/>
    </xf>
    <xf borderId="27" fillId="19" fontId="19" numFmtId="3" xfId="0" applyAlignment="1" applyBorder="1" applyFont="1" applyNumberFormat="1">
      <alignment horizontal="right" shrinkToFit="0" vertical="center" wrapText="0"/>
    </xf>
    <xf borderId="27" fillId="19" fontId="19" numFmtId="169" xfId="0" applyAlignment="1" applyBorder="1" applyFont="1" applyNumberFormat="1">
      <alignment horizontal="right" shrinkToFit="0" vertical="center" wrapText="0"/>
    </xf>
    <xf borderId="27" fillId="19" fontId="20" numFmtId="0" xfId="0" applyAlignment="1" applyBorder="1" applyFont="1">
      <alignment horizontal="right" shrinkToFit="0" vertical="center" wrapText="0"/>
    </xf>
    <xf borderId="41" fillId="19" fontId="19" numFmtId="0" xfId="0" applyAlignment="1" applyBorder="1" applyFont="1">
      <alignment horizontal="right" shrinkToFit="0" vertical="center" wrapText="0"/>
    </xf>
    <xf borderId="43" fillId="19" fontId="22" numFmtId="3" xfId="0" applyAlignment="1" applyBorder="1" applyFont="1" applyNumberFormat="1">
      <alignment horizontal="right" shrinkToFit="0" vertical="center" wrapText="0"/>
    </xf>
    <xf borderId="0" fillId="0" fontId="6" numFmtId="2" xfId="0" applyFont="1" applyNumberFormat="1"/>
    <xf borderId="39" fillId="20" fontId="14" numFmtId="0" xfId="0" applyAlignment="1" applyBorder="1" applyFill="1" applyFont="1">
      <alignment horizontal="center" shrinkToFit="0" vertical="center" wrapText="1"/>
    </xf>
    <xf borderId="27" fillId="20" fontId="14" numFmtId="0" xfId="0" applyAlignment="1" applyBorder="1" applyFont="1">
      <alignment horizontal="center" shrinkToFit="0" vertical="center" wrapText="1"/>
    </xf>
    <xf borderId="27" fillId="20" fontId="16" numFmtId="0" xfId="0" applyAlignment="1" applyBorder="1" applyFont="1">
      <alignment horizontal="center" shrinkToFit="0" vertical="center" wrapText="1"/>
    </xf>
    <xf borderId="27" fillId="4" fontId="20" numFmtId="0" xfId="0" applyAlignment="1" applyBorder="1" applyFont="1">
      <alignment horizontal="center" shrinkToFit="0" vertical="center" wrapText="1"/>
    </xf>
    <xf borderId="27" fillId="4" fontId="18" numFmtId="0" xfId="0" applyAlignment="1" applyBorder="1" applyFont="1">
      <alignment horizontal="center" shrinkToFit="0" vertical="center" wrapText="1"/>
    </xf>
    <xf borderId="27" fillId="4" fontId="17" numFmtId="0" xfId="0" applyAlignment="1" applyBorder="1" applyFont="1">
      <alignment horizontal="left" shrinkToFit="0" vertical="center" wrapText="0"/>
    </xf>
    <xf borderId="27" fillId="4" fontId="18" numFmtId="0" xfId="0" applyAlignment="1" applyBorder="1" applyFont="1">
      <alignment horizontal="left" shrinkToFit="0" vertical="center" wrapText="0"/>
    </xf>
    <xf borderId="27" fillId="4" fontId="17" numFmtId="166" xfId="0" applyAlignment="1" applyBorder="1" applyFont="1" applyNumberFormat="1">
      <alignment horizontal="right" shrinkToFit="0" vertical="center" wrapText="0"/>
    </xf>
    <xf borderId="27" fillId="4" fontId="17" numFmtId="167" xfId="0" applyAlignment="1" applyBorder="1" applyFont="1" applyNumberFormat="1">
      <alignment horizontal="right" shrinkToFit="0" vertical="center" wrapText="0"/>
    </xf>
    <xf borderId="27" fillId="4" fontId="19" numFmtId="166" xfId="0" applyAlignment="1" applyBorder="1" applyFont="1" applyNumberFormat="1">
      <alignment horizontal="right" shrinkToFit="0" vertical="center" wrapText="0"/>
    </xf>
    <xf borderId="27" fillId="4" fontId="19" numFmtId="167" xfId="0" applyAlignment="1" applyBorder="1" applyFont="1" applyNumberFormat="1">
      <alignment horizontal="right" shrinkToFit="0" vertical="center" wrapText="0"/>
    </xf>
    <xf borderId="27" fillId="4" fontId="17" numFmtId="168" xfId="0" applyAlignment="1" applyBorder="1" applyFont="1" applyNumberFormat="1">
      <alignment horizontal="right" shrinkToFit="0" vertical="center" wrapText="0"/>
    </xf>
    <xf borderId="27" fillId="4" fontId="17" numFmtId="2" xfId="0" applyAlignment="1" applyBorder="1" applyFont="1" applyNumberFormat="1">
      <alignment horizontal="right" shrinkToFit="0" vertical="center" wrapText="0"/>
    </xf>
    <xf borderId="27" fillId="4" fontId="17" numFmtId="0" xfId="0" applyAlignment="1" applyBorder="1" applyFont="1">
      <alignment horizontal="right" shrinkToFit="0" vertical="center" wrapText="0"/>
    </xf>
    <xf borderId="27" fillId="21" fontId="20" numFmtId="0" xfId="0" applyAlignment="1" applyBorder="1" applyFill="1" applyFont="1">
      <alignment horizontal="center" shrinkToFit="0" vertical="center" wrapText="1"/>
    </xf>
    <xf borderId="27" fillId="21" fontId="18" numFmtId="0" xfId="0" applyAlignment="1" applyBorder="1" applyFont="1">
      <alignment horizontal="center" shrinkToFit="0" vertical="center" wrapText="1"/>
    </xf>
    <xf borderId="27" fillId="21" fontId="17" numFmtId="0" xfId="0" applyAlignment="1" applyBorder="1" applyFont="1">
      <alignment horizontal="left" shrinkToFit="0" vertical="center" wrapText="0"/>
    </xf>
    <xf borderId="27" fillId="21" fontId="18" numFmtId="0" xfId="0" applyAlignment="1" applyBorder="1" applyFont="1">
      <alignment horizontal="left" shrinkToFit="0" vertical="center" wrapText="0"/>
    </xf>
    <xf borderId="27" fillId="21" fontId="19" numFmtId="166" xfId="0" applyAlignment="1" applyBorder="1" applyFont="1" applyNumberFormat="1">
      <alignment horizontal="right" shrinkToFit="0" vertical="center" wrapText="0"/>
    </xf>
    <xf borderId="27" fillId="21" fontId="19" numFmtId="167" xfId="0" applyAlignment="1" applyBorder="1" applyFont="1" applyNumberFormat="1">
      <alignment horizontal="right" shrinkToFit="0" vertical="center" wrapText="0"/>
    </xf>
    <xf borderId="27" fillId="21" fontId="17" numFmtId="166" xfId="0" applyAlignment="1" applyBorder="1" applyFont="1" applyNumberFormat="1">
      <alignment horizontal="right" shrinkToFit="0" vertical="center" wrapText="0"/>
    </xf>
    <xf borderId="27" fillId="21" fontId="17" numFmtId="167" xfId="0" applyAlignment="1" applyBorder="1" applyFont="1" applyNumberFormat="1">
      <alignment horizontal="right" shrinkToFit="0" vertical="center" wrapText="0"/>
    </xf>
    <xf borderId="27" fillId="21" fontId="17" numFmtId="168" xfId="0" applyAlignment="1" applyBorder="1" applyFont="1" applyNumberFormat="1">
      <alignment horizontal="right" shrinkToFit="0" vertical="center" wrapText="0"/>
    </xf>
    <xf borderId="27" fillId="21" fontId="17" numFmtId="2" xfId="0" applyAlignment="1" applyBorder="1" applyFont="1" applyNumberFormat="1">
      <alignment horizontal="right" shrinkToFit="0" vertical="center" wrapText="0"/>
    </xf>
    <xf borderId="27" fillId="21" fontId="17" numFmtId="0" xfId="0" applyAlignment="1" applyBorder="1" applyFont="1">
      <alignment horizontal="right" shrinkToFit="0" vertical="center" wrapText="0"/>
    </xf>
    <xf borderId="27" fillId="6" fontId="20" numFmtId="0" xfId="0" applyAlignment="1" applyBorder="1" applyFont="1">
      <alignment horizontal="center" shrinkToFit="0" vertical="center" wrapText="1"/>
    </xf>
    <xf borderId="27" fillId="6" fontId="18" numFmtId="0" xfId="0" applyAlignment="1" applyBorder="1" applyFont="1">
      <alignment horizontal="center" shrinkToFit="0" vertical="center" wrapText="1"/>
    </xf>
    <xf borderId="27" fillId="6" fontId="17" numFmtId="0" xfId="0" applyAlignment="1" applyBorder="1" applyFont="1">
      <alignment horizontal="left" shrinkToFit="0" vertical="center" wrapText="0"/>
    </xf>
    <xf borderId="27" fillId="6" fontId="18" numFmtId="0" xfId="0" applyAlignment="1" applyBorder="1" applyFont="1">
      <alignment horizontal="left" shrinkToFit="0" vertical="center" wrapText="0"/>
    </xf>
    <xf borderId="27" fillId="6" fontId="17" numFmtId="166" xfId="0" applyAlignment="1" applyBorder="1" applyFont="1" applyNumberFormat="1">
      <alignment horizontal="right" shrinkToFit="0" vertical="center" wrapText="0"/>
    </xf>
    <xf borderId="27" fillId="6" fontId="17" numFmtId="167" xfId="0" applyAlignment="1" applyBorder="1" applyFont="1" applyNumberFormat="1">
      <alignment horizontal="right" shrinkToFit="0" vertical="center" wrapText="0"/>
    </xf>
    <xf borderId="27" fillId="6" fontId="19" numFmtId="166" xfId="0" applyAlignment="1" applyBorder="1" applyFont="1" applyNumberFormat="1">
      <alignment horizontal="right" shrinkToFit="0" vertical="center" wrapText="0"/>
    </xf>
    <xf borderId="27" fillId="6" fontId="19" numFmtId="167" xfId="0" applyAlignment="1" applyBorder="1" applyFont="1" applyNumberFormat="1">
      <alignment horizontal="right" shrinkToFit="0" vertical="center" wrapText="0"/>
    </xf>
    <xf borderId="27" fillId="6" fontId="17" numFmtId="168" xfId="0" applyAlignment="1" applyBorder="1" applyFont="1" applyNumberFormat="1">
      <alignment horizontal="right" shrinkToFit="0" vertical="center" wrapText="0"/>
    </xf>
    <xf borderId="27" fillId="6" fontId="17" numFmtId="2" xfId="0" applyAlignment="1" applyBorder="1" applyFont="1" applyNumberFormat="1">
      <alignment horizontal="right" shrinkToFit="0" vertical="center" wrapText="0"/>
    </xf>
    <xf borderId="27" fillId="6" fontId="17" numFmtId="0" xfId="0" applyAlignment="1" applyBorder="1" applyFont="1">
      <alignment horizontal="right" shrinkToFit="0" vertical="center" wrapText="0"/>
    </xf>
    <xf borderId="27" fillId="19" fontId="4" numFmtId="0" xfId="0" applyAlignment="1" applyBorder="1" applyFont="1">
      <alignment shrinkToFit="0" vertical="bottom" wrapText="0"/>
    </xf>
    <xf borderId="27" fillId="19" fontId="17" numFmtId="0" xfId="0" applyAlignment="1" applyBorder="1" applyFont="1">
      <alignment shrinkToFit="0" vertical="bottom" wrapText="0"/>
    </xf>
    <xf borderId="41" fillId="4" fontId="20" numFmtId="0" xfId="0" applyAlignment="1" applyBorder="1" applyFont="1">
      <alignment horizontal="center" shrinkToFit="0" vertical="center" wrapText="1"/>
    </xf>
    <xf borderId="27" fillId="4" fontId="4" numFmtId="0" xfId="0" applyAlignment="1" applyBorder="1" applyFont="1">
      <alignment shrinkToFit="0" vertical="bottom" wrapText="0"/>
    </xf>
    <xf borderId="27" fillId="4" fontId="19" numFmtId="4" xfId="0" applyAlignment="1" applyBorder="1" applyFont="1" applyNumberFormat="1">
      <alignment horizontal="right" shrinkToFit="0" vertical="center" wrapText="0"/>
    </xf>
    <xf borderId="27" fillId="4" fontId="19" numFmtId="3" xfId="0" applyAlignment="1" applyBorder="1" applyFont="1" applyNumberFormat="1">
      <alignment horizontal="right" shrinkToFit="0" vertical="center" wrapText="0"/>
    </xf>
    <xf borderId="0" fillId="0" fontId="6" numFmtId="4" xfId="0" applyFont="1" applyNumberFormat="1"/>
    <xf borderId="44" fillId="20" fontId="16" numFmtId="0" xfId="0" applyAlignment="1" applyBorder="1" applyFont="1">
      <alignment horizontal="center" shrinkToFit="0" vertical="center" wrapText="0"/>
    </xf>
    <xf borderId="45" fillId="0" fontId="15" numFmtId="0" xfId="0" applyBorder="1" applyFont="1"/>
    <xf borderId="46" fillId="0" fontId="15" numFmtId="0" xfId="0" applyBorder="1" applyFont="1"/>
    <xf borderId="44" fillId="22" fontId="23" numFmtId="0" xfId="0" applyAlignment="1" applyBorder="1" applyFill="1" applyFont="1">
      <alignment horizontal="center" shrinkToFit="0" vertical="center" wrapText="0"/>
    </xf>
    <xf borderId="41" fillId="20" fontId="16" numFmtId="0" xfId="0" applyAlignment="1" applyBorder="1" applyFont="1">
      <alignment horizontal="center" shrinkToFit="0" vertical="center" wrapText="1"/>
    </xf>
    <xf borderId="33" fillId="20" fontId="16" numFmtId="0" xfId="0" applyAlignment="1" applyBorder="1" applyFont="1">
      <alignment horizontal="center" shrinkToFit="0" vertical="center" wrapText="1"/>
    </xf>
    <xf borderId="35" fillId="20" fontId="16" numFmtId="0" xfId="0" applyAlignment="1" applyBorder="1" applyFont="1">
      <alignment horizontal="center" shrinkToFit="0" vertical="center" wrapText="1"/>
    </xf>
    <xf borderId="26" fillId="20" fontId="16" numFmtId="0" xfId="0" applyAlignment="1" applyBorder="1" applyFont="1">
      <alignment horizontal="center" shrinkToFit="0" vertical="center" wrapText="1"/>
    </xf>
    <xf borderId="27" fillId="22" fontId="14" numFmtId="0" xfId="0" applyAlignment="1" applyBorder="1" applyFont="1">
      <alignment horizontal="center" shrinkToFit="0" vertical="center" wrapText="1"/>
    </xf>
    <xf borderId="27" fillId="22" fontId="16" numFmtId="0" xfId="0" applyAlignment="1" applyBorder="1" applyFont="1">
      <alignment horizontal="center" shrinkToFit="0" vertical="center" wrapText="1"/>
    </xf>
    <xf borderId="41" fillId="22" fontId="16" numFmtId="0" xfId="0" applyAlignment="1" applyBorder="1" applyFont="1">
      <alignment horizontal="center" shrinkToFit="0" vertical="center" wrapText="1"/>
    </xf>
    <xf borderId="33" fillId="22" fontId="16" numFmtId="0" xfId="0" applyAlignment="1" applyBorder="1" applyFont="1">
      <alignment horizontal="center" shrinkToFit="0" vertical="center" wrapText="1"/>
    </xf>
    <xf borderId="35" fillId="22" fontId="16" numFmtId="0" xfId="0" applyAlignment="1" applyBorder="1" applyFont="1">
      <alignment horizontal="center" shrinkToFit="0" vertical="center" wrapText="1"/>
    </xf>
    <xf borderId="26" fillId="22" fontId="16" numFmtId="0" xfId="0" applyAlignment="1" applyBorder="1" applyFont="1">
      <alignment horizontal="center" shrinkToFit="0" vertical="center" wrapText="1"/>
    </xf>
    <xf borderId="27" fillId="22" fontId="23" numFmtId="0" xfId="0" applyAlignment="1" applyBorder="1" applyFont="1">
      <alignment horizontal="center" shrinkToFit="0" vertical="center" wrapText="1"/>
    </xf>
    <xf borderId="41" fillId="4" fontId="17" numFmtId="0" xfId="0" applyAlignment="1" applyBorder="1" applyFont="1">
      <alignment horizontal="left" shrinkToFit="0" vertical="center" wrapText="0"/>
    </xf>
    <xf borderId="25" fillId="4" fontId="17" numFmtId="166" xfId="0" applyAlignment="1" applyBorder="1" applyFont="1" applyNumberFormat="1">
      <alignment horizontal="right" shrinkToFit="0" vertical="center" wrapText="0"/>
    </xf>
    <xf borderId="28" fillId="4" fontId="17" numFmtId="167" xfId="0" applyAlignment="1" applyBorder="1" applyFont="1" applyNumberFormat="1">
      <alignment horizontal="right" shrinkToFit="0" vertical="center" wrapText="0"/>
    </xf>
    <xf borderId="26" fillId="4" fontId="17" numFmtId="166" xfId="0" applyAlignment="1" applyBorder="1" applyFont="1" applyNumberFormat="1">
      <alignment horizontal="right" shrinkToFit="0" vertical="center" wrapText="0"/>
    </xf>
    <xf borderId="27" fillId="4" fontId="19" numFmtId="164" xfId="0" applyAlignment="1" applyBorder="1" applyFont="1" applyNumberFormat="1">
      <alignment horizontal="right" shrinkToFit="0" vertical="center" wrapText="0"/>
    </xf>
    <xf borderId="27" fillId="4" fontId="19" numFmtId="0" xfId="0" applyAlignment="1" applyBorder="1" applyFont="1">
      <alignment horizontal="right" shrinkToFit="0" vertical="center" wrapText="0"/>
    </xf>
    <xf borderId="27" fillId="4" fontId="19" numFmtId="170" xfId="0" applyAlignment="1" applyBorder="1" applyFont="1" applyNumberFormat="1">
      <alignment horizontal="right" shrinkToFit="0" vertical="center" wrapText="0"/>
    </xf>
    <xf borderId="41" fillId="4" fontId="19" numFmtId="167" xfId="0" applyAlignment="1" applyBorder="1" applyFont="1" applyNumberFormat="1">
      <alignment horizontal="right" shrinkToFit="0" vertical="center" wrapText="0"/>
    </xf>
    <xf borderId="25" fillId="4" fontId="19" numFmtId="170" xfId="0" applyAlignment="1" applyBorder="1" applyFont="1" applyNumberFormat="1">
      <alignment horizontal="right" shrinkToFit="0" vertical="center" wrapText="0"/>
    </xf>
    <xf borderId="28" fillId="4" fontId="19" numFmtId="167" xfId="0" applyAlignment="1" applyBorder="1" applyFont="1" applyNumberFormat="1">
      <alignment horizontal="right" shrinkToFit="0" vertical="center" wrapText="0"/>
    </xf>
    <xf borderId="26" fillId="4" fontId="19" numFmtId="170" xfId="0" applyAlignment="1" applyBorder="1" applyFont="1" applyNumberFormat="1">
      <alignment horizontal="right" shrinkToFit="0" vertical="center" wrapText="0"/>
    </xf>
    <xf borderId="27" fillId="0" fontId="24" numFmtId="0" xfId="0" applyBorder="1" applyFont="1"/>
    <xf borderId="27" fillId="0" fontId="24" numFmtId="165" xfId="0" applyBorder="1" applyFont="1" applyNumberFormat="1"/>
    <xf borderId="27" fillId="0" fontId="24" numFmtId="0" xfId="0" applyAlignment="1" applyBorder="1" applyFont="1">
      <alignment horizontal="center" vertical="center"/>
    </xf>
    <xf borderId="25" fillId="4" fontId="19" numFmtId="166" xfId="0" applyAlignment="1" applyBorder="1" applyFont="1" applyNumberFormat="1">
      <alignment horizontal="right" shrinkToFit="0" vertical="center" wrapText="0"/>
    </xf>
    <xf borderId="26" fillId="4" fontId="19" numFmtId="166" xfId="0" applyAlignment="1" applyBorder="1" applyFont="1" applyNumberFormat="1">
      <alignment horizontal="right" shrinkToFit="0" vertical="center" wrapText="0"/>
    </xf>
    <xf borderId="41" fillId="21" fontId="17" numFmtId="0" xfId="0" applyAlignment="1" applyBorder="1" applyFont="1">
      <alignment horizontal="left" shrinkToFit="0" vertical="center" wrapText="0"/>
    </xf>
    <xf borderId="25" fillId="21" fontId="19" numFmtId="166" xfId="0" applyAlignment="1" applyBorder="1" applyFont="1" applyNumberFormat="1">
      <alignment horizontal="right" shrinkToFit="0" vertical="center" wrapText="0"/>
    </xf>
    <xf borderId="28" fillId="21" fontId="19" numFmtId="167" xfId="0" applyAlignment="1" applyBorder="1" applyFont="1" applyNumberFormat="1">
      <alignment horizontal="right" shrinkToFit="0" vertical="center" wrapText="0"/>
    </xf>
    <xf borderId="26" fillId="21" fontId="19" numFmtId="166" xfId="0" applyAlignment="1" applyBorder="1" applyFont="1" applyNumberFormat="1">
      <alignment horizontal="right" shrinkToFit="0" vertical="center" wrapText="0"/>
    </xf>
    <xf borderId="27" fillId="21" fontId="19" numFmtId="164" xfId="0" applyAlignment="1" applyBorder="1" applyFont="1" applyNumberFormat="1">
      <alignment horizontal="right" shrinkToFit="0" vertical="center" wrapText="0"/>
    </xf>
    <xf borderId="27" fillId="21" fontId="19" numFmtId="0" xfId="0" applyAlignment="1" applyBorder="1" applyFont="1">
      <alignment horizontal="right" shrinkToFit="0" vertical="center" wrapText="0"/>
    </xf>
    <xf borderId="41" fillId="0" fontId="24" numFmtId="0" xfId="0" applyBorder="1" applyFont="1"/>
    <xf borderId="25" fillId="21" fontId="19" numFmtId="170" xfId="0" applyAlignment="1" applyBorder="1" applyFont="1" applyNumberFormat="1">
      <alignment horizontal="right" shrinkToFit="0" vertical="center" wrapText="0"/>
    </xf>
    <xf borderId="26" fillId="21" fontId="19" numFmtId="170" xfId="0" applyAlignment="1" applyBorder="1" applyFont="1" applyNumberFormat="1">
      <alignment horizontal="right" shrinkToFit="0" vertical="center" wrapText="0"/>
    </xf>
    <xf borderId="27" fillId="21" fontId="19" numFmtId="170" xfId="0" applyAlignment="1" applyBorder="1" applyFont="1" applyNumberFormat="1">
      <alignment horizontal="right" shrinkToFit="0" vertical="center" wrapText="0"/>
    </xf>
    <xf borderId="27" fillId="21" fontId="19" numFmtId="165" xfId="0" applyAlignment="1" applyBorder="1" applyFont="1" applyNumberFormat="1">
      <alignment horizontal="right" shrinkToFit="0" vertical="center" wrapText="0"/>
    </xf>
    <xf borderId="27" fillId="23" fontId="20" numFmtId="0" xfId="0" applyAlignment="1" applyBorder="1" applyFill="1" applyFont="1">
      <alignment horizontal="center" shrinkToFit="0" vertical="center" wrapText="1"/>
    </xf>
    <xf borderId="27" fillId="23" fontId="18" numFmtId="0" xfId="0" applyAlignment="1" applyBorder="1" applyFont="1">
      <alignment horizontal="center" shrinkToFit="0" vertical="center" wrapText="1"/>
    </xf>
    <xf borderId="27" fillId="23" fontId="17" numFmtId="0" xfId="0" applyAlignment="1" applyBorder="1" applyFont="1">
      <alignment horizontal="left" shrinkToFit="0" vertical="center" wrapText="0"/>
    </xf>
    <xf borderId="27" fillId="23" fontId="18" numFmtId="0" xfId="0" applyAlignment="1" applyBorder="1" applyFont="1">
      <alignment horizontal="left" shrinkToFit="0" vertical="center" wrapText="0"/>
    </xf>
    <xf borderId="41" fillId="23" fontId="17" numFmtId="0" xfId="0" applyAlignment="1" applyBorder="1" applyFont="1">
      <alignment horizontal="left" shrinkToFit="0" vertical="center" wrapText="0"/>
    </xf>
    <xf borderId="25" fillId="23" fontId="19" numFmtId="166" xfId="0" applyAlignment="1" applyBorder="1" applyFont="1" applyNumberFormat="1">
      <alignment horizontal="right" shrinkToFit="0" vertical="center" wrapText="0"/>
    </xf>
    <xf borderId="28" fillId="23" fontId="19" numFmtId="167" xfId="0" applyAlignment="1" applyBorder="1" applyFont="1" applyNumberFormat="1">
      <alignment horizontal="right" shrinkToFit="0" vertical="center" wrapText="0"/>
    </xf>
    <xf borderId="26" fillId="23" fontId="19" numFmtId="166" xfId="0" applyAlignment="1" applyBorder="1" applyFont="1" applyNumberFormat="1">
      <alignment horizontal="right" shrinkToFit="0" vertical="center" wrapText="0"/>
    </xf>
    <xf borderId="27" fillId="23" fontId="19" numFmtId="167" xfId="0" applyAlignment="1" applyBorder="1" applyFont="1" applyNumberFormat="1">
      <alignment horizontal="right" shrinkToFit="0" vertical="center" wrapText="0"/>
    </xf>
    <xf borderId="27" fillId="23" fontId="17" numFmtId="166" xfId="0" applyAlignment="1" applyBorder="1" applyFont="1" applyNumberFormat="1">
      <alignment horizontal="right" shrinkToFit="0" vertical="center" wrapText="0"/>
    </xf>
    <xf borderId="27" fillId="23" fontId="17" numFmtId="167" xfId="0" applyAlignment="1" applyBorder="1" applyFont="1" applyNumberFormat="1">
      <alignment horizontal="right" shrinkToFit="0" vertical="center" wrapText="0"/>
    </xf>
    <xf borderId="27" fillId="23" fontId="19" numFmtId="166" xfId="0" applyAlignment="1" applyBorder="1" applyFont="1" applyNumberFormat="1">
      <alignment horizontal="right" shrinkToFit="0" vertical="center" wrapText="0"/>
    </xf>
    <xf borderId="27" fillId="23" fontId="17" numFmtId="168" xfId="0" applyAlignment="1" applyBorder="1" applyFont="1" applyNumberFormat="1">
      <alignment horizontal="right" shrinkToFit="0" vertical="center" wrapText="0"/>
    </xf>
    <xf borderId="27" fillId="23" fontId="17" numFmtId="2" xfId="0" applyAlignment="1" applyBorder="1" applyFont="1" applyNumberFormat="1">
      <alignment horizontal="right" shrinkToFit="0" vertical="center" wrapText="0"/>
    </xf>
    <xf borderId="27" fillId="23" fontId="17" numFmtId="0" xfId="0" applyAlignment="1" applyBorder="1" applyFont="1">
      <alignment horizontal="right" shrinkToFit="0" vertical="center" wrapText="0"/>
    </xf>
    <xf borderId="27" fillId="23" fontId="19" numFmtId="164" xfId="0" applyAlignment="1" applyBorder="1" applyFont="1" applyNumberFormat="1">
      <alignment horizontal="right" shrinkToFit="0" vertical="center" wrapText="0"/>
    </xf>
    <xf borderId="27" fillId="23" fontId="19" numFmtId="0" xfId="0" applyAlignment="1" applyBorder="1" applyFont="1">
      <alignment horizontal="right" shrinkToFit="0" vertical="center" wrapText="0"/>
    </xf>
    <xf borderId="27" fillId="23" fontId="24" numFmtId="0" xfId="0" applyBorder="1" applyFont="1"/>
    <xf borderId="41" fillId="23" fontId="24" numFmtId="0" xfId="0" applyBorder="1" applyFont="1"/>
    <xf borderId="25" fillId="23" fontId="25" numFmtId="170" xfId="0" applyAlignment="1" applyBorder="1" applyFont="1" applyNumberFormat="1">
      <alignment horizontal="right" shrinkToFit="0" vertical="center" wrapText="0"/>
    </xf>
    <xf borderId="28" fillId="23" fontId="25" numFmtId="167" xfId="0" applyAlignment="1" applyBorder="1" applyFont="1" applyNumberFormat="1">
      <alignment horizontal="right" shrinkToFit="0" vertical="center" wrapText="0"/>
    </xf>
    <xf borderId="26" fillId="24" fontId="25" numFmtId="170" xfId="0" applyAlignment="1" applyBorder="1" applyFill="1" applyFont="1" applyNumberFormat="1">
      <alignment horizontal="right" shrinkToFit="0" vertical="center" wrapText="0"/>
    </xf>
    <xf borderId="27" fillId="23" fontId="26" numFmtId="0" xfId="0" applyBorder="1" applyFont="1"/>
    <xf borderId="27" fillId="23" fontId="25" numFmtId="170" xfId="0" applyAlignment="1" applyBorder="1" applyFont="1" applyNumberFormat="1">
      <alignment horizontal="right" shrinkToFit="0" vertical="center" wrapText="0"/>
    </xf>
    <xf borderId="27" fillId="23" fontId="25" numFmtId="167" xfId="0" applyAlignment="1" applyBorder="1" applyFont="1" applyNumberFormat="1">
      <alignment horizontal="right" shrinkToFit="0" vertical="center" wrapText="0"/>
    </xf>
    <xf borderId="27" fillId="23" fontId="25" numFmtId="165" xfId="0" applyAlignment="1" applyBorder="1" applyFont="1" applyNumberFormat="1">
      <alignment horizontal="right" shrinkToFit="0" vertical="center" wrapText="0"/>
    </xf>
    <xf borderId="27" fillId="23" fontId="24" numFmtId="0" xfId="0" applyAlignment="1" applyBorder="1" applyFont="1">
      <alignment horizontal="center" readingOrder="0" vertical="center"/>
    </xf>
    <xf borderId="41" fillId="6" fontId="17" numFmtId="0" xfId="0" applyAlignment="1" applyBorder="1" applyFont="1">
      <alignment horizontal="left" shrinkToFit="0" vertical="center" wrapText="0"/>
    </xf>
    <xf borderId="25" fillId="6" fontId="17" numFmtId="166" xfId="0" applyAlignment="1" applyBorder="1" applyFont="1" applyNumberFormat="1">
      <alignment horizontal="right" shrinkToFit="0" vertical="center" wrapText="0"/>
    </xf>
    <xf borderId="28" fillId="6" fontId="17" numFmtId="167" xfId="0" applyAlignment="1" applyBorder="1" applyFont="1" applyNumberFormat="1">
      <alignment horizontal="right" shrinkToFit="0" vertical="center" wrapText="0"/>
    </xf>
    <xf borderId="26" fillId="6" fontId="17" numFmtId="166" xfId="0" applyAlignment="1" applyBorder="1" applyFont="1" applyNumberFormat="1">
      <alignment horizontal="right" shrinkToFit="0" vertical="center" wrapText="0"/>
    </xf>
    <xf borderId="27" fillId="6" fontId="4" numFmtId="0" xfId="0" applyAlignment="1" applyBorder="1" applyFont="1">
      <alignment shrinkToFit="0" vertical="bottom" wrapText="0"/>
    </xf>
    <xf borderId="41" fillId="6" fontId="4" numFmtId="0" xfId="0" applyAlignment="1" applyBorder="1" applyFont="1">
      <alignment shrinkToFit="0" vertical="bottom" wrapText="0"/>
    </xf>
    <xf borderId="25" fillId="6" fontId="4" numFmtId="166" xfId="0" applyAlignment="1" applyBorder="1" applyFont="1" applyNumberFormat="1">
      <alignment shrinkToFit="0" vertical="bottom" wrapText="0"/>
    </xf>
    <xf borderId="28" fillId="6" fontId="4" numFmtId="167" xfId="0" applyAlignment="1" applyBorder="1" applyFont="1" applyNumberFormat="1">
      <alignment shrinkToFit="0" vertical="bottom" wrapText="0"/>
    </xf>
    <xf borderId="26" fillId="6" fontId="4" numFmtId="0" xfId="0" applyAlignment="1" applyBorder="1" applyFont="1">
      <alignment shrinkToFit="0" vertical="bottom" wrapText="0"/>
    </xf>
    <xf borderId="27" fillId="6" fontId="4" numFmtId="166" xfId="0" applyAlignment="1" applyBorder="1" applyFont="1" applyNumberFormat="1">
      <alignment shrinkToFit="0" vertical="bottom" wrapText="0"/>
    </xf>
    <xf borderId="27" fillId="6" fontId="4" numFmtId="167" xfId="0" applyAlignment="1" applyBorder="1" applyFont="1" applyNumberFormat="1">
      <alignment shrinkToFit="0" vertical="bottom" wrapText="0"/>
    </xf>
    <xf borderId="27" fillId="6" fontId="4" numFmtId="165" xfId="0" applyAlignment="1" applyBorder="1" applyFont="1" applyNumberFormat="1">
      <alignment shrinkToFit="0" vertical="bottom" wrapText="0"/>
    </xf>
    <xf borderId="27" fillId="6" fontId="4" numFmtId="0" xfId="0" applyAlignment="1" applyBorder="1" applyFont="1">
      <alignment horizontal="center" shrinkToFit="0" vertical="center" wrapText="0"/>
    </xf>
    <xf borderId="31" fillId="6" fontId="17" numFmtId="0" xfId="0" applyAlignment="1" applyBorder="1" applyFont="1">
      <alignment horizontal="right" shrinkToFit="0" vertical="center" wrapText="0"/>
    </xf>
    <xf borderId="31" fillId="6" fontId="4" numFmtId="0" xfId="0" applyAlignment="1" applyBorder="1" applyFont="1">
      <alignment shrinkToFit="0" vertical="bottom" wrapText="0"/>
    </xf>
    <xf borderId="31" fillId="6" fontId="4" numFmtId="0" xfId="0" applyAlignment="1" applyBorder="1" applyFont="1">
      <alignment horizontal="center" shrinkToFit="0" vertical="center" wrapText="0"/>
    </xf>
    <xf borderId="26" fillId="0" fontId="15" numFmtId="0" xfId="0" applyBorder="1" applyFont="1"/>
    <xf borderId="41" fillId="19" fontId="4" numFmtId="0" xfId="0" applyAlignment="1" applyBorder="1" applyFont="1">
      <alignment shrinkToFit="0" vertical="bottom" wrapText="0"/>
    </xf>
    <xf borderId="25" fillId="19" fontId="19" numFmtId="4" xfId="0" applyAlignment="1" applyBorder="1" applyFont="1" applyNumberFormat="1">
      <alignment horizontal="right" shrinkToFit="0" vertical="center" wrapText="0"/>
    </xf>
    <xf borderId="28" fillId="19" fontId="19" numFmtId="3" xfId="0" applyAlignment="1" applyBorder="1" applyFont="1" applyNumberFormat="1">
      <alignment horizontal="right" shrinkToFit="0" vertical="center" wrapText="0"/>
    </xf>
    <xf borderId="26" fillId="19" fontId="19" numFmtId="4" xfId="0" applyAlignment="1" applyBorder="1" applyFont="1" applyNumberFormat="1">
      <alignment horizontal="right" shrinkToFit="0" vertical="center" wrapText="0"/>
    </xf>
    <xf borderId="47" fillId="25" fontId="8" numFmtId="0" xfId="0" applyAlignment="1" applyBorder="1" applyFill="1" applyFont="1">
      <alignment horizontal="center"/>
    </xf>
    <xf borderId="48" fillId="0" fontId="15" numFmtId="0" xfId="0" applyBorder="1" applyFont="1"/>
    <xf borderId="26" fillId="19" fontId="4" numFmtId="0" xfId="0" applyAlignment="1" applyBorder="1" applyFont="1">
      <alignment shrinkToFit="0" vertical="bottom" wrapText="0"/>
    </xf>
    <xf borderId="41" fillId="19" fontId="19" numFmtId="3" xfId="0" applyAlignment="1" applyBorder="1" applyFont="1" applyNumberFormat="1">
      <alignment horizontal="right" shrinkToFit="0" vertical="center" wrapText="0"/>
    </xf>
    <xf borderId="47" fillId="12" fontId="8" numFmtId="0" xfId="0" applyAlignment="1" applyBorder="1" applyFont="1">
      <alignment horizontal="center"/>
    </xf>
    <xf borderId="41" fillId="4" fontId="4" numFmtId="0" xfId="0" applyAlignment="1" applyBorder="1" applyFont="1">
      <alignment shrinkToFit="0" vertical="bottom" wrapText="0"/>
    </xf>
    <xf borderId="25" fillId="4" fontId="19" numFmtId="4" xfId="0" applyAlignment="1" applyBorder="1" applyFont="1" applyNumberFormat="1">
      <alignment horizontal="right" shrinkToFit="0" vertical="center" wrapText="0"/>
    </xf>
    <xf borderId="28" fillId="4" fontId="19" numFmtId="3" xfId="0" applyAlignment="1" applyBorder="1" applyFont="1" applyNumberFormat="1">
      <alignment horizontal="right" shrinkToFit="0" vertical="center" wrapText="0"/>
    </xf>
    <xf borderId="26" fillId="4" fontId="19" numFmtId="4" xfId="0" applyAlignment="1" applyBorder="1" applyFont="1" applyNumberFormat="1">
      <alignment horizontal="right" shrinkToFit="0" vertical="center" wrapText="0"/>
    </xf>
    <xf borderId="25" fillId="9" fontId="8" numFmtId="165" xfId="0" applyAlignment="1" applyBorder="1" applyFont="1" applyNumberFormat="1">
      <alignment horizontal="center"/>
    </xf>
    <xf borderId="28" fillId="9" fontId="8" numFmtId="165" xfId="0" applyAlignment="1" applyBorder="1" applyFont="1" applyNumberFormat="1">
      <alignment horizontal="center"/>
    </xf>
    <xf borderId="26" fillId="4" fontId="4" numFmtId="0" xfId="0" applyAlignment="1" applyBorder="1" applyFont="1">
      <alignment shrinkToFit="0" vertical="bottom" wrapText="0"/>
    </xf>
    <xf borderId="41" fillId="4" fontId="19" numFmtId="3" xfId="0" applyAlignment="1" applyBorder="1" applyFont="1" applyNumberFormat="1">
      <alignment horizontal="right" shrinkToFit="0" vertical="center" wrapText="0"/>
    </xf>
    <xf borderId="25" fillId="24" fontId="27" numFmtId="165" xfId="0" applyAlignment="1" applyBorder="1" applyFont="1" applyNumberFormat="1">
      <alignment horizontal="center"/>
    </xf>
    <xf borderId="28" fillId="24" fontId="27" numFmtId="165" xfId="0" applyAlignment="1" applyBorder="1" applyFont="1" applyNumberFormat="1">
      <alignment horizontal="center" vertical="center"/>
    </xf>
    <xf borderId="25" fillId="10" fontId="12" numFmtId="165" xfId="0" applyAlignment="1" applyBorder="1" applyFont="1" applyNumberFormat="1">
      <alignment horizontal="center"/>
    </xf>
    <xf borderId="28" fillId="10" fontId="12" numFmtId="165" xfId="0" applyAlignment="1" applyBorder="1" applyFont="1" applyNumberFormat="1">
      <alignment horizontal="center"/>
    </xf>
    <xf borderId="25" fillId="11" fontId="13" numFmtId="165" xfId="0" applyAlignment="1" applyBorder="1" applyFont="1" applyNumberFormat="1">
      <alignment horizontal="center"/>
    </xf>
    <xf borderId="28" fillId="11" fontId="13" numFmtId="165" xfId="0" applyAlignment="1" applyBorder="1" applyFont="1" applyNumberFormat="1">
      <alignment horizontal="center"/>
    </xf>
    <xf borderId="49" fillId="26" fontId="28" numFmtId="0" xfId="0" applyAlignment="1" applyBorder="1" applyFill="1" applyFont="1">
      <alignment horizontal="center" vertical="center"/>
    </xf>
    <xf borderId="50" fillId="0" fontId="15" numFmtId="0" xfId="0" applyBorder="1" applyFont="1"/>
    <xf borderId="49" fillId="24" fontId="29" numFmtId="3" xfId="0" applyAlignment="1" applyBorder="1" applyFont="1" applyNumberFormat="1">
      <alignment horizontal="center" vertical="center"/>
    </xf>
    <xf borderId="36" fillId="24" fontId="30" numFmtId="165" xfId="0" applyAlignment="1" applyBorder="1" applyFont="1" applyNumberFormat="1">
      <alignment horizontal="right"/>
    </xf>
    <xf borderId="38" fillId="24" fontId="30" numFmtId="165" xfId="0" applyAlignment="1" applyBorder="1" applyFont="1" applyNumberFormat="1">
      <alignment horizontal="right"/>
    </xf>
    <xf borderId="26" fillId="0" fontId="24" numFmtId="0" xfId="0" applyBorder="1" applyFont="1"/>
    <xf borderId="51" fillId="0" fontId="15" numFmtId="0" xfId="0" applyBorder="1" applyFont="1"/>
    <xf borderId="52" fillId="0" fontId="15" numFmtId="0" xfId="0" applyBorder="1" applyFont="1"/>
    <xf borderId="36" fillId="24" fontId="31" numFmtId="165" xfId="0" applyAlignment="1" applyBorder="1" applyFont="1" applyNumberFormat="1">
      <alignment horizontal="center"/>
    </xf>
    <xf borderId="38" fillId="24" fontId="31" numFmtId="165" xfId="0" applyAlignment="1" applyBorder="1" applyFont="1" applyNumberFormat="1">
      <alignment horizont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12" fillId="27" fontId="32" numFmtId="0" xfId="0" applyAlignment="1" applyBorder="1" applyFill="1" applyFont="1">
      <alignment horizontal="center"/>
    </xf>
    <xf borderId="12" fillId="27" fontId="10" numFmtId="0" xfId="0" applyBorder="1" applyFont="1"/>
    <xf borderId="12" fillId="27" fontId="10" numFmtId="3" xfId="0" applyBorder="1" applyFont="1" applyNumberFormat="1"/>
    <xf borderId="2" fillId="27" fontId="10" numFmtId="0" xfId="0" applyBorder="1" applyFont="1"/>
    <xf borderId="0" fillId="0" fontId="10" numFmtId="0" xfId="0" applyFont="1"/>
    <xf borderId="53" fillId="27" fontId="32" numFmtId="0" xfId="0" applyAlignment="1" applyBorder="1" applyFont="1">
      <alignment horizontal="center" shrinkToFit="0" vertical="center" wrapText="1"/>
    </xf>
    <xf borderId="53" fillId="27" fontId="16" numFmtId="0" xfId="0" applyAlignment="1" applyBorder="1" applyFont="1">
      <alignment horizontal="center" shrinkToFit="0" vertical="center" wrapText="1"/>
    </xf>
    <xf borderId="53" fillId="27" fontId="16" numFmtId="171" xfId="0" applyAlignment="1" applyBorder="1" applyFont="1" applyNumberFormat="1">
      <alignment horizontal="center" shrinkToFit="0" vertical="center" wrapText="1"/>
    </xf>
    <xf borderId="54" fillId="27" fontId="16" numFmtId="3" xfId="0" applyAlignment="1" applyBorder="1" applyFont="1" applyNumberFormat="1">
      <alignment horizontal="center" shrinkToFit="0" vertical="center" wrapText="1"/>
    </xf>
    <xf borderId="55" fillId="27" fontId="16" numFmtId="171" xfId="0" applyAlignment="1" applyBorder="1" applyFont="1" applyNumberFormat="1">
      <alignment horizontal="center" shrinkToFit="0" vertical="center" wrapText="1"/>
    </xf>
    <xf borderId="56" fillId="27" fontId="16" numFmtId="3" xfId="0" applyAlignment="1" applyBorder="1" applyFont="1" applyNumberFormat="1">
      <alignment horizontal="center" shrinkToFit="0" vertical="center" wrapText="1"/>
    </xf>
    <xf borderId="57" fillId="27" fontId="16" numFmtId="171" xfId="0" applyAlignment="1" applyBorder="1" applyFont="1" applyNumberFormat="1">
      <alignment horizontal="center" shrinkToFit="0" vertical="center" wrapText="1"/>
    </xf>
    <xf borderId="58" fillId="27" fontId="16" numFmtId="3" xfId="0" applyAlignment="1" applyBorder="1" applyFont="1" applyNumberFormat="1">
      <alignment horizontal="center" shrinkToFit="0" vertical="center" wrapText="1"/>
    </xf>
    <xf borderId="59" fillId="27" fontId="16" numFmtId="171" xfId="0" applyAlignment="1" applyBorder="1" applyFont="1" applyNumberFormat="1">
      <alignment horizontal="center" shrinkToFit="0" vertical="center" wrapText="1"/>
    </xf>
    <xf borderId="58" fillId="27" fontId="16" numFmtId="171" xfId="0" applyAlignment="1" applyBorder="1" applyFont="1" applyNumberFormat="1">
      <alignment horizontal="center" shrinkToFit="0" vertical="center" wrapText="1"/>
    </xf>
    <xf borderId="0" fillId="28" fontId="16" numFmtId="3" xfId="0" applyAlignment="1" applyFill="1" applyFont="1" applyNumberFormat="1">
      <alignment horizontal="center" readingOrder="0" shrinkToFit="0" vertical="center" wrapText="1"/>
    </xf>
    <xf borderId="23" fillId="27" fontId="16" numFmtId="3" xfId="0" applyAlignment="1" applyBorder="1" applyFont="1" applyNumberFormat="1">
      <alignment horizontal="center" shrinkToFit="0" vertical="center" wrapText="1"/>
    </xf>
    <xf borderId="60" fillId="27" fontId="16" numFmtId="3" xfId="0" applyAlignment="1" applyBorder="1" applyFont="1" applyNumberFormat="1">
      <alignment horizontal="center" shrinkToFit="0" vertical="center" wrapText="1"/>
    </xf>
    <xf borderId="0" fillId="0" fontId="16" numFmtId="3" xfId="0" applyAlignment="1" applyFont="1" applyNumberFormat="1">
      <alignment horizontal="center" shrinkToFit="0" vertical="center" wrapText="1"/>
    </xf>
    <xf borderId="42" fillId="4" fontId="19" numFmtId="170" xfId="0" applyAlignment="1" applyBorder="1" applyFont="1" applyNumberFormat="1">
      <alignment horizontal="right" shrinkToFit="0" vertical="center" wrapText="0"/>
    </xf>
    <xf borderId="27" fillId="0" fontId="10" numFmtId="0" xfId="0" applyBorder="1" applyFont="1"/>
    <xf borderId="27" fillId="0" fontId="10" numFmtId="165" xfId="0" applyBorder="1" applyFont="1" applyNumberFormat="1"/>
    <xf borderId="41" fillId="0" fontId="10" numFmtId="0" xfId="0" applyBorder="1" applyFont="1"/>
    <xf borderId="42" fillId="21" fontId="19" numFmtId="170" xfId="0" applyAlignment="1" applyBorder="1" applyFont="1" applyNumberFormat="1">
      <alignment horizontal="right" shrinkToFit="0" vertical="center" wrapText="0"/>
    </xf>
    <xf borderId="27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5" fillId="21" fontId="25" numFmtId="170" xfId="0" applyAlignment="1" applyBorder="1" applyFont="1" applyNumberFormat="1">
      <alignment horizontal="right" shrinkToFit="0" vertical="center" wrapText="0"/>
    </xf>
    <xf borderId="28" fillId="21" fontId="25" numFmtId="167" xfId="0" applyAlignment="1" applyBorder="1" applyFont="1" applyNumberFormat="1">
      <alignment horizontal="right" shrinkToFit="0" vertical="center" wrapText="0"/>
    </xf>
    <xf borderId="42" fillId="21" fontId="25" numFmtId="170" xfId="0" applyAlignment="1" applyBorder="1" applyFont="1" applyNumberFormat="1">
      <alignment horizontal="right" shrinkToFit="0" vertical="center" wrapText="0"/>
    </xf>
    <xf borderId="27" fillId="0" fontId="33" numFmtId="0" xfId="0" applyBorder="1" applyFont="1"/>
    <xf borderId="27" fillId="21" fontId="25" numFmtId="170" xfId="0" applyAlignment="1" applyBorder="1" applyFont="1" applyNumberFormat="1">
      <alignment horizontal="right" shrinkToFit="0" vertical="center" wrapText="0"/>
    </xf>
    <xf borderId="27" fillId="21" fontId="25" numFmtId="167" xfId="0" applyAlignment="1" applyBorder="1" applyFont="1" applyNumberFormat="1">
      <alignment horizontal="right" shrinkToFit="0" vertical="center" wrapText="0"/>
    </xf>
    <xf borderId="27" fillId="21" fontId="25" numFmtId="165" xfId="0" applyAlignment="1" applyBorder="1" applyFont="1" applyNumberFormat="1">
      <alignment horizontal="right" shrinkToFit="0" vertical="center" wrapText="0"/>
    </xf>
    <xf borderId="61" fillId="29" fontId="34" numFmtId="0" xfId="0" applyAlignment="1" applyBorder="1" applyFill="1" applyFont="1">
      <alignment horizontal="center" readingOrder="0" shrinkToFit="0" wrapText="1"/>
    </xf>
    <xf borderId="61" fillId="29" fontId="10" numFmtId="0" xfId="0" applyAlignment="1" applyBorder="1" applyFont="1">
      <alignment horizontal="center"/>
    </xf>
    <xf borderId="61" fillId="29" fontId="10" numFmtId="0" xfId="0" applyAlignment="1" applyBorder="1" applyFont="1">
      <alignment horizontal="left"/>
    </xf>
    <xf borderId="62" fillId="29" fontId="10" numFmtId="171" xfId="0" applyBorder="1" applyFont="1" applyNumberFormat="1"/>
    <xf borderId="63" fillId="29" fontId="10" numFmtId="3" xfId="0" applyBorder="1" applyFont="1" applyNumberFormat="1"/>
    <xf borderId="64" fillId="29" fontId="10" numFmtId="171" xfId="0" applyBorder="1" applyFont="1" applyNumberFormat="1"/>
    <xf borderId="65" fillId="29" fontId="10" numFmtId="3" xfId="0" applyBorder="1" applyFont="1" applyNumberFormat="1"/>
    <xf borderId="61" fillId="29" fontId="10" numFmtId="171" xfId="0" applyBorder="1" applyFont="1" applyNumberFormat="1"/>
    <xf borderId="61" fillId="29" fontId="10" numFmtId="168" xfId="0" applyBorder="1" applyFont="1" applyNumberFormat="1"/>
    <xf borderId="61" fillId="29" fontId="10" numFmtId="3" xfId="0" applyBorder="1" applyFont="1" applyNumberFormat="1"/>
    <xf borderId="61" fillId="29" fontId="10" numFmtId="4" xfId="0" applyBorder="1" applyFont="1" applyNumberFormat="1"/>
    <xf borderId="61" fillId="29" fontId="10" numFmtId="2" xfId="0" applyBorder="1" applyFont="1" applyNumberFormat="1"/>
    <xf borderId="61" fillId="29" fontId="10" numFmtId="0" xfId="0" applyBorder="1" applyFont="1"/>
    <xf borderId="61" fillId="29" fontId="10" numFmtId="164" xfId="0" applyBorder="1" applyFont="1" applyNumberFormat="1"/>
    <xf borderId="66" fillId="29" fontId="10" numFmtId="3" xfId="0" applyBorder="1" applyFont="1" applyNumberFormat="1"/>
    <xf borderId="67" fillId="29" fontId="10" numFmtId="171" xfId="0" applyBorder="1" applyFont="1" applyNumberFormat="1"/>
    <xf borderId="68" fillId="29" fontId="10" numFmtId="171" xfId="0" applyBorder="1" applyFont="1" applyNumberFormat="1"/>
    <xf borderId="26" fillId="29" fontId="10" numFmtId="171" xfId="0" applyBorder="1" applyFont="1" applyNumberFormat="1"/>
    <xf borderId="27" fillId="29" fontId="10" numFmtId="171" xfId="0" applyBorder="1" applyFont="1" applyNumberFormat="1"/>
    <xf borderId="69" fillId="29" fontId="7" numFmtId="171" xfId="0" applyAlignment="1" applyBorder="1" applyFont="1" applyNumberFormat="1">
      <alignment horizontal="right"/>
    </xf>
    <xf borderId="27" fillId="29" fontId="10" numFmtId="3" xfId="0" applyBorder="1" applyFont="1" applyNumberFormat="1"/>
    <xf borderId="27" fillId="29" fontId="7" numFmtId="171" xfId="0" applyAlignment="1" applyBorder="1" applyFont="1" applyNumberFormat="1">
      <alignment horizontal="right"/>
    </xf>
    <xf borderId="70" fillId="29" fontId="10" numFmtId="3" xfId="0" applyBorder="1" applyFont="1" applyNumberFormat="1"/>
    <xf borderId="26" fillId="29" fontId="7" numFmtId="171" xfId="0" applyAlignment="1" applyBorder="1" applyFont="1" applyNumberFormat="1">
      <alignment horizontal="right"/>
    </xf>
    <xf borderId="0" fillId="29" fontId="10" numFmtId="170" xfId="0" applyAlignment="1" applyFont="1" applyNumberFormat="1">
      <alignment vertical="bottom"/>
    </xf>
    <xf borderId="0" fillId="29" fontId="10" numFmtId="167" xfId="0" applyAlignment="1" applyFont="1" applyNumberFormat="1">
      <alignment vertical="bottom"/>
    </xf>
    <xf borderId="27" fillId="29" fontId="10" numFmtId="168" xfId="0" applyBorder="1" applyFont="1" applyNumberFormat="1"/>
    <xf borderId="27" fillId="29" fontId="7" numFmtId="3" xfId="0" applyAlignment="1" applyBorder="1" applyFont="1" applyNumberFormat="1">
      <alignment horizontal="right"/>
    </xf>
    <xf borderId="0" fillId="29" fontId="10" numFmtId="0" xfId="0" applyAlignment="1" applyFont="1">
      <alignment vertical="bottom"/>
    </xf>
    <xf borderId="27" fillId="6" fontId="10" numFmtId="0" xfId="0" applyAlignment="1" applyBorder="1" applyFont="1">
      <alignment shrinkToFit="0" vertical="bottom" wrapText="0"/>
    </xf>
    <xf borderId="41" fillId="6" fontId="10" numFmtId="0" xfId="0" applyAlignment="1" applyBorder="1" applyFont="1">
      <alignment shrinkToFit="0" vertical="bottom" wrapText="0"/>
    </xf>
    <xf borderId="25" fillId="6" fontId="10" numFmtId="166" xfId="0" applyAlignment="1" applyBorder="1" applyFont="1" applyNumberFormat="1">
      <alignment shrinkToFit="0" vertical="bottom" wrapText="0"/>
    </xf>
    <xf borderId="28" fillId="6" fontId="10" numFmtId="167" xfId="0" applyAlignment="1" applyBorder="1" applyFont="1" applyNumberFormat="1">
      <alignment shrinkToFit="0" vertical="bottom" wrapText="0"/>
    </xf>
    <xf borderId="42" fillId="6" fontId="10" numFmtId="0" xfId="0" applyAlignment="1" applyBorder="1" applyFont="1">
      <alignment shrinkToFit="0" vertical="bottom" wrapText="0"/>
    </xf>
    <xf borderId="26" fillId="6" fontId="10" numFmtId="0" xfId="0" applyAlignment="1" applyBorder="1" applyFont="1">
      <alignment shrinkToFit="0" vertical="bottom" wrapText="0"/>
    </xf>
    <xf borderId="27" fillId="6" fontId="10" numFmtId="166" xfId="0" applyAlignment="1" applyBorder="1" applyFont="1" applyNumberFormat="1">
      <alignment shrinkToFit="0" vertical="bottom" wrapText="0"/>
    </xf>
    <xf borderId="27" fillId="6" fontId="10" numFmtId="167" xfId="0" applyAlignment="1" applyBorder="1" applyFont="1" applyNumberFormat="1">
      <alignment shrinkToFit="0" vertical="bottom" wrapText="0"/>
    </xf>
    <xf borderId="27" fillId="6" fontId="10" numFmtId="165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31" fillId="0" fontId="10" numFmtId="0" xfId="0" applyBorder="1" applyFont="1"/>
    <xf borderId="41" fillId="0" fontId="10" numFmtId="165" xfId="0" applyBorder="1" applyFont="1" applyNumberFormat="1"/>
    <xf borderId="41" fillId="21" fontId="25" numFmtId="165" xfId="0" applyAlignment="1" applyBorder="1" applyFont="1" applyNumberFormat="1">
      <alignment horizontal="right" shrinkToFit="0" vertical="center" wrapText="0"/>
    </xf>
    <xf borderId="61" fillId="29" fontId="10" numFmtId="0" xfId="0" applyAlignment="1" applyBorder="1" applyFont="1">
      <alignment horizontal="center" vertical="bottom"/>
    </xf>
    <xf borderId="61" fillId="29" fontId="10" numFmtId="0" xfId="0" applyAlignment="1" applyBorder="1" applyFont="1">
      <alignment vertical="bottom"/>
    </xf>
    <xf borderId="61" fillId="29" fontId="4" numFmtId="0" xfId="0" applyAlignment="1" applyBorder="1" applyFont="1">
      <alignment vertical="bottom"/>
    </xf>
    <xf borderId="41" fillId="29" fontId="10" numFmtId="3" xfId="0" applyBorder="1" applyFont="1" applyNumberFormat="1"/>
    <xf borderId="23" fillId="6" fontId="10" numFmtId="0" xfId="0" applyAlignment="1" applyBorder="1" applyFont="1">
      <alignment shrinkToFit="0" vertical="bottom" wrapText="0"/>
    </xf>
    <xf borderId="27" fillId="6" fontId="10" numFmtId="4" xfId="0" applyAlignment="1" applyBorder="1" applyFont="1" applyNumberFormat="1">
      <alignment shrinkToFit="0" vertical="bottom" wrapText="0"/>
    </xf>
    <xf borderId="31" fillId="6" fontId="10" numFmtId="0" xfId="0" applyAlignment="1" applyBorder="1" applyFont="1">
      <alignment shrinkToFit="0" vertical="bottom" wrapText="0"/>
    </xf>
    <xf borderId="27" fillId="19" fontId="10" numFmtId="0" xfId="0" applyAlignment="1" applyBorder="1" applyFont="1">
      <alignment shrinkToFit="0" vertical="center" wrapText="0"/>
    </xf>
    <xf borderId="41" fillId="19" fontId="10" numFmtId="0" xfId="0" applyAlignment="1" applyBorder="1" applyFont="1">
      <alignment shrinkToFit="0" vertical="center" wrapText="0"/>
    </xf>
    <xf borderId="47" fillId="25" fontId="8" numFmtId="0" xfId="0" applyAlignment="1" applyBorder="1" applyFont="1">
      <alignment horizontal="center" vertical="center"/>
    </xf>
    <xf borderId="26" fillId="19" fontId="10" numFmtId="0" xfId="0" applyAlignment="1" applyBorder="1" applyFont="1">
      <alignment shrinkToFit="0" vertical="center" wrapText="0"/>
    </xf>
    <xf borderId="42" fillId="19" fontId="19" numFmtId="4" xfId="0" applyAlignment="1" applyBorder="1" applyFont="1" applyNumberFormat="1">
      <alignment horizontal="right" shrinkToFit="0" vertical="center" wrapText="0"/>
    </xf>
    <xf borderId="41" fillId="19" fontId="19" numFmtId="4" xfId="0" applyAlignment="1" applyBorder="1" applyFont="1" applyNumberFormat="1">
      <alignment horizontal="right" shrinkToFit="0" vertical="center" wrapText="0"/>
    </xf>
    <xf borderId="47" fillId="12" fontId="8" numFmtId="0" xfId="0" applyAlignment="1" applyBorder="1" applyFont="1">
      <alignment horizontal="center" vertical="center"/>
    </xf>
    <xf borderId="27" fillId="4" fontId="10" numFmtId="0" xfId="0" applyAlignment="1" applyBorder="1" applyFont="1">
      <alignment shrinkToFit="0" vertical="bottom" wrapText="0"/>
    </xf>
    <xf borderId="41" fillId="4" fontId="10" numFmtId="0" xfId="0" applyAlignment="1" applyBorder="1" applyFont="1">
      <alignment shrinkToFit="0" vertical="bottom" wrapText="0"/>
    </xf>
    <xf borderId="26" fillId="4" fontId="10" numFmtId="0" xfId="0" applyAlignment="1" applyBorder="1" applyFont="1">
      <alignment shrinkToFit="0" vertical="bottom" wrapText="0"/>
    </xf>
    <xf borderId="42" fillId="4" fontId="19" numFmtId="4" xfId="0" applyAlignment="1" applyBorder="1" applyFont="1" applyNumberFormat="1">
      <alignment horizontal="right" shrinkToFit="0" vertical="center" wrapText="0"/>
    </xf>
    <xf borderId="41" fillId="4" fontId="19" numFmtId="4" xfId="0" applyAlignment="1" applyBorder="1" applyFont="1" applyNumberFormat="1">
      <alignment horizontal="right" shrinkToFit="0" vertical="center" wrapText="0"/>
    </xf>
    <xf borderId="41" fillId="24" fontId="27" numFmtId="165" xfId="0" applyAlignment="1" applyBorder="1" applyFont="1" applyNumberFormat="1">
      <alignment horizontal="center"/>
    </xf>
    <xf borderId="27" fillId="19" fontId="10" numFmtId="0" xfId="0" applyAlignment="1" applyBorder="1" applyFont="1">
      <alignment shrinkToFit="0" vertical="bottom" wrapText="0"/>
    </xf>
    <xf borderId="41" fillId="19" fontId="10" numFmtId="0" xfId="0" applyAlignment="1" applyBorder="1" applyFont="1">
      <alignment shrinkToFit="0" vertical="bottom" wrapText="0"/>
    </xf>
    <xf borderId="26" fillId="19" fontId="10" numFmtId="0" xfId="0" applyAlignment="1" applyBorder="1" applyFont="1">
      <alignment shrinkToFit="0" vertical="bottom" wrapText="0"/>
    </xf>
    <xf borderId="36" fillId="24" fontId="29" numFmtId="165" xfId="0" applyAlignment="1" applyBorder="1" applyFont="1" applyNumberFormat="1">
      <alignment horizontal="right"/>
    </xf>
    <xf borderId="38" fillId="24" fontId="29" numFmtId="165" xfId="0" applyAlignment="1" applyBorder="1" applyFont="1" applyNumberFormat="1">
      <alignment horizontal="right"/>
    </xf>
    <xf borderId="26" fillId="0" fontId="10" numFmtId="0" xfId="0" applyBorder="1" applyFont="1"/>
    <xf borderId="36" fillId="24" fontId="29" numFmtId="165" xfId="0" applyAlignment="1" applyBorder="1" applyFont="1" applyNumberFormat="1">
      <alignment horizontal="center"/>
    </xf>
    <xf borderId="38" fillId="24" fontId="29" numFmtId="165" xfId="0" applyAlignment="1" applyBorder="1" applyFont="1" applyNumberFormat="1">
      <alignment horizontal="center"/>
    </xf>
    <xf borderId="71" fillId="0" fontId="10" numFmtId="3" xfId="0" applyBorder="1" applyFont="1" applyNumberFormat="1"/>
    <xf borderId="71" fillId="0" fontId="10" numFmtId="0" xfId="0" applyAlignment="1" applyBorder="1" applyFont="1">
      <alignment readingOrder="0"/>
    </xf>
    <xf borderId="0" fillId="0" fontId="35" numFmtId="0" xfId="0" applyFont="1"/>
    <xf borderId="0" fillId="0" fontId="35" numFmtId="2" xfId="0" applyFont="1" applyNumberFormat="1"/>
    <xf borderId="43" fillId="29" fontId="36" numFmtId="3" xfId="0" applyBorder="1" applyFont="1" applyNumberFormat="1"/>
    <xf borderId="43" fillId="29" fontId="37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7.0"/>
    <col customWidth="1" min="3" max="3" width="9.29"/>
    <col customWidth="1" min="4" max="4" width="11.29"/>
    <col customWidth="1" min="5" max="5" width="9.29"/>
    <col customWidth="1" min="6" max="6" width="11.0"/>
    <col customWidth="1" min="7" max="11" width="9.29"/>
    <col customWidth="1" min="12" max="12" width="10.86"/>
    <col customWidth="1" min="13" max="13" width="9.29"/>
    <col customWidth="1" min="14" max="14" width="11.14"/>
    <col customWidth="1" min="15" max="15" width="12.0"/>
    <col customWidth="1" min="16" max="17" width="9.29"/>
    <col customWidth="1" min="18" max="18" width="14.14"/>
    <col customWidth="1" min="19" max="21" width="9.29"/>
    <col customWidth="1" min="22" max="22" width="12.86"/>
    <col customWidth="1" min="23" max="23" width="9.29"/>
    <col customWidth="1" min="24" max="24" width="10.86"/>
    <col customWidth="1" min="25" max="25" width="9.29"/>
    <col customWidth="1" min="26" max="26" width="12.14"/>
  </cols>
  <sheetData>
    <row r="1" ht="14.25" customHeight="1">
      <c r="A1" s="1"/>
      <c r="B1" s="1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  <c r="O1" s="2"/>
      <c r="P1" s="3"/>
      <c r="Q1" s="2"/>
      <c r="R1" s="3"/>
      <c r="S1" s="2"/>
      <c r="T1" s="3"/>
      <c r="U1" s="2"/>
      <c r="V1" s="3"/>
      <c r="W1" s="2"/>
      <c r="X1" s="3"/>
      <c r="Y1" s="2"/>
      <c r="Z1" s="3"/>
    </row>
    <row r="2">
      <c r="A2" s="4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2" t="s">
        <v>8</v>
      </c>
      <c r="J2" s="13" t="s">
        <v>9</v>
      </c>
      <c r="K2" s="14" t="s">
        <v>10</v>
      </c>
      <c r="L2" s="15" t="s">
        <v>11</v>
      </c>
      <c r="M2" s="14" t="s">
        <v>12</v>
      </c>
      <c r="N2" s="16" t="s">
        <v>13</v>
      </c>
      <c r="O2" s="17" t="s">
        <v>14</v>
      </c>
      <c r="P2" s="18" t="s">
        <v>15</v>
      </c>
      <c r="Q2" s="19" t="s">
        <v>16</v>
      </c>
      <c r="R2" s="20" t="s">
        <v>17</v>
      </c>
      <c r="S2" s="19" t="s">
        <v>18</v>
      </c>
      <c r="T2" s="20" t="s">
        <v>19</v>
      </c>
      <c r="U2" s="21" t="s">
        <v>20</v>
      </c>
      <c r="V2" s="22" t="s">
        <v>21</v>
      </c>
      <c r="W2" s="19" t="s">
        <v>22</v>
      </c>
      <c r="X2" s="20" t="s">
        <v>23</v>
      </c>
      <c r="Y2" s="19" t="s">
        <v>24</v>
      </c>
      <c r="Z2" s="23" t="s">
        <v>25</v>
      </c>
    </row>
    <row r="3">
      <c r="A3" s="24" t="s">
        <v>26</v>
      </c>
      <c r="B3" s="25" t="s">
        <v>27</v>
      </c>
      <c r="C3" s="2">
        <f>S01_US_DVCA!K205</f>
        <v>28011.98</v>
      </c>
      <c r="D3" s="3">
        <f>S01_US_DVCA!L205</f>
        <v>39477604</v>
      </c>
      <c r="E3" s="2">
        <f>S01_US_DVCA!M205</f>
        <v>4201.99</v>
      </c>
      <c r="F3" s="3">
        <f>S01_US_DVCA!N205</f>
        <v>5922063</v>
      </c>
      <c r="G3" s="26">
        <f t="shared" ref="G3:H3" si="1">C3</f>
        <v>28011.98</v>
      </c>
      <c r="H3" s="27">
        <f t="shared" si="1"/>
        <v>39477604</v>
      </c>
      <c r="I3" s="2"/>
      <c r="J3" s="3"/>
      <c r="K3" s="28">
        <f t="shared" ref="K3:L3" si="2">E3</f>
        <v>4201.99</v>
      </c>
      <c r="L3" s="29">
        <f t="shared" si="2"/>
        <v>5922063</v>
      </c>
      <c r="M3" s="28"/>
      <c r="N3" s="3"/>
      <c r="O3" s="26">
        <f t="shared" ref="O3:P3" si="3">C3</f>
        <v>28011.98</v>
      </c>
      <c r="P3" s="27">
        <f t="shared" si="3"/>
        <v>39477604</v>
      </c>
      <c r="Q3" s="2"/>
      <c r="R3" s="3"/>
      <c r="S3" s="2"/>
      <c r="T3" s="3"/>
      <c r="U3" s="28">
        <f t="shared" ref="U3:V3" si="4">E3</f>
        <v>4201.99</v>
      </c>
      <c r="V3" s="29">
        <f t="shared" si="4"/>
        <v>5922063</v>
      </c>
      <c r="W3" s="2"/>
      <c r="X3" s="3"/>
      <c r="Y3" s="2"/>
      <c r="Z3" s="30"/>
    </row>
    <row r="4">
      <c r="A4" s="31" t="s">
        <v>28</v>
      </c>
      <c r="B4" s="32" t="s">
        <v>29</v>
      </c>
      <c r="C4" s="33">
        <f t="shared" ref="C4:F4" si="5">-C3</f>
        <v>-28011.98</v>
      </c>
      <c r="D4" s="34">
        <f t="shared" si="5"/>
        <v>-39477604</v>
      </c>
      <c r="E4" s="33">
        <f t="shared" si="5"/>
        <v>-4201.99</v>
      </c>
      <c r="F4" s="34">
        <f t="shared" si="5"/>
        <v>-5922063</v>
      </c>
      <c r="G4" s="35">
        <f t="shared" ref="G4:H4" si="6">C4</f>
        <v>-28011.98</v>
      </c>
      <c r="H4" s="36">
        <f t="shared" si="6"/>
        <v>-39477604</v>
      </c>
      <c r="I4" s="33"/>
      <c r="J4" s="34"/>
      <c r="K4" s="37">
        <f t="shared" ref="K4:L4" si="7">E4</f>
        <v>-4201.99</v>
      </c>
      <c r="L4" s="38">
        <f t="shared" si="7"/>
        <v>-5922063</v>
      </c>
      <c r="M4" s="37"/>
      <c r="N4" s="34"/>
      <c r="O4" s="39"/>
      <c r="P4" s="40"/>
      <c r="Q4" s="33"/>
      <c r="R4" s="34"/>
      <c r="S4" s="33"/>
      <c r="T4" s="34"/>
      <c r="U4" s="41"/>
      <c r="V4" s="42"/>
      <c r="W4" s="33"/>
      <c r="X4" s="34"/>
      <c r="Y4" s="33"/>
      <c r="Z4" s="43"/>
    </row>
    <row r="5">
      <c r="A5" s="24" t="s">
        <v>30</v>
      </c>
      <c r="B5" s="25" t="s">
        <v>31</v>
      </c>
      <c r="C5" s="2"/>
      <c r="D5" s="3"/>
      <c r="E5" s="2"/>
      <c r="F5" s="3"/>
      <c r="G5" s="26">
        <f>S02_US_QI!K351</f>
        <v>10305.68</v>
      </c>
      <c r="H5" s="27">
        <f>S02_US_QI!L351</f>
        <v>14596361</v>
      </c>
      <c r="I5" s="2">
        <f>ROUND(M5/0.15,2)</f>
        <v>17706.47</v>
      </c>
      <c r="J5" s="3">
        <f>ROUND(N5/0.15,0)</f>
        <v>24881180</v>
      </c>
      <c r="K5" s="28">
        <f>S02_US_QI!Q351</f>
        <v>1546.02</v>
      </c>
      <c r="L5" s="29">
        <f>S02_US_QI!R351</f>
        <v>2189886</v>
      </c>
      <c r="M5" s="44">
        <f>S02_US_QI!O351</f>
        <v>2655.97</v>
      </c>
      <c r="N5" s="45">
        <f>S02_US_QI!P351</f>
        <v>3732177</v>
      </c>
      <c r="O5" s="26"/>
      <c r="P5" s="27"/>
      <c r="Q5" s="2"/>
      <c r="R5" s="3"/>
      <c r="S5" s="2"/>
      <c r="T5" s="3"/>
      <c r="U5" s="28"/>
      <c r="V5" s="29"/>
      <c r="W5" s="2"/>
      <c r="X5" s="3"/>
      <c r="Y5" s="2"/>
      <c r="Z5" s="30"/>
    </row>
    <row r="6">
      <c r="A6" s="31" t="s">
        <v>32</v>
      </c>
      <c r="B6" s="32" t="s">
        <v>33</v>
      </c>
      <c r="C6" s="33"/>
      <c r="D6" s="34"/>
      <c r="E6" s="33"/>
      <c r="F6" s="34"/>
      <c r="G6" s="35"/>
      <c r="H6" s="36"/>
      <c r="I6" s="33"/>
      <c r="J6" s="34"/>
      <c r="K6" s="37"/>
      <c r="L6" s="38"/>
      <c r="M6" s="37"/>
      <c r="N6" s="34"/>
      <c r="O6" s="35">
        <f t="shared" ref="O6:P6" si="8">C4</f>
        <v>-28011.98</v>
      </c>
      <c r="P6" s="36">
        <f t="shared" si="8"/>
        <v>-39477604</v>
      </c>
      <c r="Q6" s="33"/>
      <c r="R6" s="34"/>
      <c r="S6" s="33"/>
      <c r="T6" s="34"/>
      <c r="U6" s="37">
        <f t="shared" ref="U6:V6" si="9">E4</f>
        <v>-4201.99</v>
      </c>
      <c r="V6" s="38">
        <f t="shared" si="9"/>
        <v>-5922063</v>
      </c>
      <c r="W6" s="33"/>
      <c r="X6" s="34"/>
      <c r="Y6" s="33"/>
      <c r="Z6" s="43"/>
    </row>
    <row r="7">
      <c r="A7" s="24" t="s">
        <v>34</v>
      </c>
      <c r="B7" s="25" t="s">
        <v>35</v>
      </c>
      <c r="C7" s="2"/>
      <c r="D7" s="3"/>
      <c r="E7" s="2"/>
      <c r="F7" s="3"/>
      <c r="G7" s="26"/>
      <c r="H7" s="27"/>
      <c r="I7" s="2"/>
      <c r="J7" s="3"/>
      <c r="K7" s="28"/>
      <c r="L7" s="29"/>
      <c r="M7" s="28"/>
      <c r="N7" s="3"/>
      <c r="O7" s="26">
        <f>S03a_US_ICI!AC351</f>
        <v>10306.62</v>
      </c>
      <c r="P7" s="27">
        <f>S03a_US_ICI!AD351</f>
        <v>14597834</v>
      </c>
      <c r="Q7" s="2"/>
      <c r="R7" s="3"/>
      <c r="S7" s="2">
        <f>S03a_US_ICI!AE351</f>
        <v>17705.4</v>
      </c>
      <c r="T7" s="3">
        <f>S03a_US_ICI!AF351</f>
        <v>24879814.98</v>
      </c>
      <c r="U7" s="28">
        <f>S03a_US_ICI!AI351</f>
        <v>1546.17</v>
      </c>
      <c r="V7" s="29">
        <f>S03a_US_ICI!AJ351</f>
        <v>2190107</v>
      </c>
      <c r="W7" s="2"/>
      <c r="X7" s="3"/>
      <c r="Y7" s="46">
        <f>S03a_US_ICI!AK351</f>
        <v>2655.8</v>
      </c>
      <c r="Z7" s="47">
        <f>S03a_US_ICI!AL351</f>
        <v>3731975</v>
      </c>
    </row>
    <row r="8">
      <c r="A8" s="31" t="s">
        <v>36</v>
      </c>
      <c r="B8" s="32" t="s">
        <v>37</v>
      </c>
      <c r="C8" s="48"/>
      <c r="D8" s="34"/>
      <c r="E8" s="33"/>
      <c r="F8" s="34"/>
      <c r="G8" s="35"/>
      <c r="H8" s="36"/>
      <c r="I8" s="33"/>
      <c r="J8" s="34"/>
      <c r="K8" s="37"/>
      <c r="L8" s="38"/>
      <c r="M8" s="37"/>
      <c r="N8" s="34"/>
      <c r="O8" s="35"/>
      <c r="P8" s="36"/>
      <c r="Q8" s="33"/>
      <c r="R8" s="34"/>
      <c r="S8" s="33">
        <f t="shared" ref="S8:T8" si="10">-S7</f>
        <v>-17705.4</v>
      </c>
      <c r="T8" s="34">
        <f t="shared" si="10"/>
        <v>-24879814.98</v>
      </c>
      <c r="U8" s="37"/>
      <c r="V8" s="38"/>
      <c r="W8" s="33"/>
      <c r="X8" s="34"/>
      <c r="Y8" s="49">
        <f t="shared" ref="Y8:Z8" si="11">-Y7</f>
        <v>-2655.8</v>
      </c>
      <c r="Z8" s="50">
        <f t="shared" si="11"/>
        <v>-3731975</v>
      </c>
    </row>
    <row r="9">
      <c r="A9" s="24" t="s">
        <v>38</v>
      </c>
      <c r="B9" s="25" t="s">
        <v>39</v>
      </c>
      <c r="C9" s="2"/>
      <c r="D9" s="3"/>
      <c r="E9" s="2"/>
      <c r="F9" s="3"/>
      <c r="G9" s="26"/>
      <c r="H9" s="27"/>
      <c r="I9" s="2"/>
      <c r="J9" s="3"/>
      <c r="K9" s="28"/>
      <c r="L9" s="29"/>
      <c r="M9" s="28"/>
      <c r="N9" s="3"/>
      <c r="O9" s="26"/>
      <c r="P9" s="27"/>
      <c r="Q9" s="2">
        <f>S04a_US_STCG!AE379</f>
        <v>324.87</v>
      </c>
      <c r="R9" s="3">
        <f>S04a_US_STCG!AF379</f>
        <v>465438</v>
      </c>
      <c r="S9" s="2">
        <f>S04a_US_STCG!AG379</f>
        <v>17380.53</v>
      </c>
      <c r="T9" s="3">
        <f>S04a_US_STCG!AH379</f>
        <v>24414376.98</v>
      </c>
      <c r="U9" s="28"/>
      <c r="V9" s="29"/>
      <c r="W9" s="2">
        <f>S04a_US_STCG!AM379</f>
        <v>48.73</v>
      </c>
      <c r="X9" s="3">
        <f>S04a_US_STCG!AN379</f>
        <v>69816</v>
      </c>
      <c r="Y9" s="46">
        <f>S04a_US_STCG!AO379</f>
        <v>2607.07</v>
      </c>
      <c r="Z9" s="47">
        <f>S04a_US_STCG!AP379</f>
        <v>3662159</v>
      </c>
    </row>
    <row r="10">
      <c r="A10" s="31" t="s">
        <v>40</v>
      </c>
      <c r="B10" s="32" t="s">
        <v>41</v>
      </c>
      <c r="C10" s="33"/>
      <c r="D10" s="34"/>
      <c r="E10" s="33"/>
      <c r="F10" s="34"/>
      <c r="G10" s="35"/>
      <c r="H10" s="36"/>
      <c r="I10" s="33"/>
      <c r="J10" s="34"/>
      <c r="K10" s="37"/>
      <c r="L10" s="38"/>
      <c r="M10" s="37"/>
      <c r="N10" s="34"/>
      <c r="O10" s="35"/>
      <c r="P10" s="36"/>
      <c r="Q10" s="33"/>
      <c r="R10" s="34"/>
      <c r="S10" s="33"/>
      <c r="T10" s="34"/>
      <c r="U10" s="37"/>
      <c r="V10" s="38"/>
      <c r="W10" s="33"/>
      <c r="X10" s="34"/>
      <c r="Y10" s="33"/>
      <c r="Z10" s="43"/>
    </row>
    <row r="11">
      <c r="A11" s="51" t="s">
        <v>42</v>
      </c>
      <c r="B11" s="52"/>
      <c r="C11" s="53">
        <f t="shared" ref="C11:Z11" si="12">SUM(C3:C9)</f>
        <v>0</v>
      </c>
      <c r="D11" s="54">
        <f t="shared" si="12"/>
        <v>0</v>
      </c>
      <c r="E11" s="53">
        <f t="shared" si="12"/>
        <v>0</v>
      </c>
      <c r="F11" s="54">
        <f t="shared" si="12"/>
        <v>0</v>
      </c>
      <c r="G11" s="55">
        <f t="shared" si="12"/>
        <v>10305.68</v>
      </c>
      <c r="H11" s="56">
        <f t="shared" si="12"/>
        <v>14596361</v>
      </c>
      <c r="I11" s="57">
        <f t="shared" si="12"/>
        <v>17706.47</v>
      </c>
      <c r="J11" s="58">
        <f t="shared" si="12"/>
        <v>24881180</v>
      </c>
      <c r="K11" s="59">
        <f t="shared" si="12"/>
        <v>1546.02</v>
      </c>
      <c r="L11" s="60">
        <f t="shared" si="12"/>
        <v>2189886</v>
      </c>
      <c r="M11" s="61">
        <f t="shared" si="12"/>
        <v>2655.97</v>
      </c>
      <c r="N11" s="62">
        <f t="shared" si="12"/>
        <v>3732177</v>
      </c>
      <c r="O11" s="63">
        <f t="shared" si="12"/>
        <v>10306.62</v>
      </c>
      <c r="P11" s="64">
        <f t="shared" si="12"/>
        <v>14597834</v>
      </c>
      <c r="Q11" s="65">
        <f t="shared" si="12"/>
        <v>324.87</v>
      </c>
      <c r="R11" s="66">
        <f t="shared" si="12"/>
        <v>465438</v>
      </c>
      <c r="S11" s="65">
        <f t="shared" si="12"/>
        <v>17380.53</v>
      </c>
      <c r="T11" s="66">
        <f t="shared" si="12"/>
        <v>24414376.98</v>
      </c>
      <c r="U11" s="67">
        <f t="shared" si="12"/>
        <v>1546.17</v>
      </c>
      <c r="V11" s="68">
        <f t="shared" si="12"/>
        <v>2190107</v>
      </c>
      <c r="W11" s="65">
        <f t="shared" si="12"/>
        <v>48.73</v>
      </c>
      <c r="X11" s="66">
        <f t="shared" si="12"/>
        <v>69816</v>
      </c>
      <c r="Y11" s="69">
        <f t="shared" si="12"/>
        <v>2607.07</v>
      </c>
      <c r="Z11" s="70">
        <f t="shared" si="12"/>
        <v>3662159</v>
      </c>
    </row>
    <row r="12">
      <c r="A12" s="1"/>
      <c r="B12" s="1"/>
      <c r="C12" s="2"/>
      <c r="D12" s="3"/>
      <c r="E12" s="2"/>
      <c r="F12" s="3"/>
      <c r="G12" s="2"/>
      <c r="H12" s="3"/>
      <c r="I12" s="2"/>
      <c r="J12" s="3"/>
      <c r="K12" s="2"/>
      <c r="L12" s="3"/>
      <c r="M12" s="2"/>
      <c r="N12" s="3"/>
      <c r="O12" s="2"/>
      <c r="P12" s="3"/>
      <c r="Q12" s="2"/>
      <c r="R12" s="3"/>
      <c r="S12" s="2"/>
      <c r="T12" s="3"/>
      <c r="U12" s="2"/>
      <c r="V12" s="3"/>
      <c r="W12" s="2"/>
      <c r="X12" s="3"/>
      <c r="Y12" s="2"/>
      <c r="Z12" s="3"/>
    </row>
    <row r="13">
      <c r="A13" s="1"/>
      <c r="B13" s="1"/>
      <c r="C13" s="2"/>
      <c r="D13" s="3"/>
      <c r="E13" s="2"/>
      <c r="F13" s="3"/>
      <c r="G13" s="2"/>
      <c r="H13" s="3"/>
      <c r="I13" s="2"/>
      <c r="J13" s="3"/>
      <c r="K13" s="2"/>
      <c r="L13" s="3"/>
      <c r="M13" s="2"/>
      <c r="O13" s="71" t="s">
        <v>43</v>
      </c>
      <c r="P13" s="72" t="s">
        <v>44</v>
      </c>
      <c r="Q13" s="73"/>
      <c r="R13" s="74" t="s">
        <v>45</v>
      </c>
      <c r="S13" s="73"/>
      <c r="T13" s="74" t="s">
        <v>46</v>
      </c>
      <c r="U13" s="73"/>
      <c r="V13" s="74" t="s">
        <v>47</v>
      </c>
      <c r="W13" s="73"/>
      <c r="X13" s="74" t="s">
        <v>48</v>
      </c>
      <c r="Y13" s="73"/>
      <c r="Z13" s="75" t="s">
        <v>49</v>
      </c>
    </row>
    <row r="14">
      <c r="A14" s="1"/>
      <c r="B14" s="1"/>
      <c r="C14" s="2"/>
      <c r="D14" s="3"/>
      <c r="E14" s="2"/>
      <c r="F14" s="3"/>
      <c r="G14" s="2"/>
      <c r="H14" s="3"/>
      <c r="I14" s="2"/>
      <c r="J14" s="3"/>
      <c r="K14" s="2"/>
      <c r="L14" s="3"/>
      <c r="M14" s="2"/>
      <c r="O14" s="76" t="s">
        <v>50</v>
      </c>
      <c r="P14" s="77">
        <f>P11</f>
        <v>14597834</v>
      </c>
      <c r="Q14" s="78"/>
      <c r="R14" s="79">
        <f>R11</f>
        <v>465438</v>
      </c>
      <c r="S14" s="78"/>
      <c r="T14" s="79">
        <f>T11</f>
        <v>24414376.98</v>
      </c>
      <c r="U14" s="78"/>
      <c r="V14" s="79">
        <f>V11</f>
        <v>2190107</v>
      </c>
      <c r="W14" s="78"/>
      <c r="X14" s="79">
        <f>X11</f>
        <v>69816</v>
      </c>
      <c r="Y14" s="78"/>
      <c r="Z14" s="80">
        <f>Z11</f>
        <v>3662159</v>
      </c>
    </row>
    <row r="15">
      <c r="A15" s="1"/>
      <c r="B15" s="1"/>
      <c r="C15" s="2"/>
      <c r="D15" s="3"/>
      <c r="E15" s="2"/>
      <c r="F15" s="3"/>
      <c r="G15" s="2"/>
      <c r="H15" s="3"/>
      <c r="I15" s="2"/>
      <c r="J15" s="3"/>
      <c r="K15" s="2"/>
      <c r="L15" s="3"/>
      <c r="M15" s="2"/>
      <c r="O15" s="81" t="s">
        <v>51</v>
      </c>
      <c r="P15" s="82">
        <f>P14+R14</f>
        <v>15063272</v>
      </c>
      <c r="Q15" s="83"/>
      <c r="R15" s="84"/>
      <c r="S15" s="83"/>
      <c r="T15" s="84"/>
      <c r="U15" s="83"/>
      <c r="V15" s="84"/>
      <c r="W15" s="83"/>
      <c r="X15" s="84"/>
      <c r="Y15" s="83"/>
      <c r="Z15" s="85"/>
    </row>
    <row r="16">
      <c r="A16" s="1"/>
      <c r="B16" s="1"/>
      <c r="C16" s="2"/>
      <c r="D16" s="3"/>
      <c r="E16" s="2"/>
      <c r="F16" s="3"/>
      <c r="G16" s="2"/>
      <c r="H16" s="3"/>
      <c r="I16" s="2"/>
      <c r="J16" s="3"/>
      <c r="K16" s="2"/>
      <c r="L16" s="3"/>
      <c r="M16" s="2"/>
      <c r="O16" s="81" t="s">
        <v>52</v>
      </c>
      <c r="P16" s="86"/>
      <c r="Q16" s="83"/>
      <c r="R16" s="84"/>
      <c r="S16" s="83"/>
      <c r="T16" s="84"/>
      <c r="U16" s="83"/>
      <c r="V16" s="87">
        <f>V14</f>
        <v>2190107</v>
      </c>
      <c r="W16" s="83"/>
      <c r="X16" s="84"/>
      <c r="Y16" s="83"/>
      <c r="Z16" s="85"/>
    </row>
    <row r="17">
      <c r="A17" s="1"/>
      <c r="B17" s="1"/>
      <c r="C17" s="2"/>
      <c r="D17" s="3"/>
      <c r="E17" s="2"/>
      <c r="F17" s="3"/>
      <c r="G17" s="2"/>
      <c r="H17" s="3"/>
      <c r="I17" s="2"/>
      <c r="J17" s="3"/>
      <c r="K17" s="2"/>
      <c r="L17" s="3"/>
      <c r="M17" s="2"/>
      <c r="O17" s="88" t="s">
        <v>53</v>
      </c>
      <c r="P17" s="89"/>
      <c r="Q17" s="90"/>
      <c r="R17" s="91"/>
      <c r="S17" s="90"/>
      <c r="T17" s="91"/>
      <c r="U17" s="90"/>
      <c r="V17" s="91"/>
      <c r="W17" s="90"/>
      <c r="X17" s="91"/>
      <c r="Y17" s="90"/>
      <c r="Z17" s="92">
        <f>S01_US_DVCA!W205</f>
        <v>3366800</v>
      </c>
    </row>
    <row r="18">
      <c r="A18" s="1"/>
      <c r="B18" s="1"/>
      <c r="C18" s="2"/>
      <c r="D18" s="3"/>
      <c r="E18" s="2"/>
      <c r="F18" s="3"/>
      <c r="G18" s="2"/>
      <c r="H18" s="3"/>
      <c r="I18" s="2"/>
      <c r="J18" s="3"/>
      <c r="K18" s="2"/>
      <c r="L18" s="3"/>
      <c r="M18" s="2"/>
      <c r="O18" s="71" t="s">
        <v>54</v>
      </c>
      <c r="P18" s="93"/>
      <c r="Q18" s="73"/>
      <c r="R18" s="94"/>
      <c r="S18" s="73"/>
      <c r="T18" s="94"/>
      <c r="U18" s="73"/>
      <c r="V18" s="94"/>
      <c r="W18" s="73"/>
      <c r="X18" s="94"/>
      <c r="Y18" s="73"/>
      <c r="Z18" s="95">
        <f>Z17</f>
        <v>3366800</v>
      </c>
    </row>
    <row r="19">
      <c r="A19" s="1"/>
      <c r="B19" s="1"/>
      <c r="C19" s="2"/>
      <c r="D19" s="3"/>
      <c r="E19" s="2"/>
      <c r="F19" s="3"/>
      <c r="G19" s="2"/>
      <c r="H19" s="3"/>
      <c r="I19" s="2"/>
      <c r="J19" s="3"/>
      <c r="K19" s="2"/>
      <c r="L19" s="3"/>
      <c r="M19" s="2"/>
      <c r="N19" s="3"/>
      <c r="O19" s="2"/>
      <c r="P19" s="3"/>
      <c r="Q19" s="2"/>
      <c r="R19" s="3"/>
      <c r="S19" s="2"/>
      <c r="T19" s="3"/>
      <c r="U19" s="2"/>
      <c r="V19" s="3"/>
      <c r="W19" s="2"/>
      <c r="X19" s="3"/>
      <c r="Y19" s="2"/>
      <c r="Z19" s="3"/>
    </row>
    <row r="20">
      <c r="A20" s="96"/>
      <c r="B20" s="97"/>
      <c r="C20" s="98"/>
      <c r="D20" s="99" t="s">
        <v>55</v>
      </c>
      <c r="E20" s="98"/>
      <c r="F20" s="100" t="s">
        <v>55</v>
      </c>
      <c r="G20" s="101"/>
      <c r="H20" s="101"/>
      <c r="I20" s="101"/>
      <c r="J20" s="101"/>
      <c r="K20" s="101"/>
      <c r="L20" s="102" t="s">
        <v>56</v>
      </c>
      <c r="M20" s="98"/>
      <c r="N20" s="102" t="s">
        <v>56</v>
      </c>
      <c r="O20" s="101"/>
      <c r="P20" s="103" t="s">
        <v>57</v>
      </c>
      <c r="Q20" s="101"/>
      <c r="R20" s="103" t="s">
        <v>57</v>
      </c>
      <c r="S20" s="101"/>
      <c r="T20" s="103" t="s">
        <v>57</v>
      </c>
      <c r="U20" s="101"/>
      <c r="V20" s="103" t="s">
        <v>57</v>
      </c>
      <c r="W20" s="101"/>
      <c r="X20" s="103" t="s">
        <v>57</v>
      </c>
      <c r="Y20" s="101"/>
      <c r="Z20" s="104" t="s">
        <v>57</v>
      </c>
    </row>
    <row r="21">
      <c r="A21" s="105"/>
      <c r="B21" s="106"/>
      <c r="C21" s="83"/>
      <c r="D21" s="107" t="s">
        <v>58</v>
      </c>
      <c r="E21" s="83"/>
      <c r="F21" s="107" t="s">
        <v>59</v>
      </c>
      <c r="G21" s="108"/>
      <c r="H21" s="109"/>
      <c r="I21" s="108"/>
      <c r="J21" s="108"/>
      <c r="K21" s="108"/>
      <c r="L21" s="110" t="s">
        <v>60</v>
      </c>
      <c r="M21" s="83"/>
      <c r="N21" s="111" t="s">
        <v>61</v>
      </c>
      <c r="O21" s="108"/>
      <c r="P21" s="112" t="s">
        <v>62</v>
      </c>
      <c r="Q21" s="108"/>
      <c r="R21" s="112" t="s">
        <v>63</v>
      </c>
      <c r="S21" s="108"/>
      <c r="T21" s="112" t="s">
        <v>64</v>
      </c>
      <c r="U21" s="108"/>
      <c r="V21" s="112" t="s">
        <v>65</v>
      </c>
      <c r="W21" s="108"/>
      <c r="X21" s="112" t="s">
        <v>66</v>
      </c>
      <c r="Y21" s="108"/>
      <c r="Z21" s="113" t="s">
        <v>67</v>
      </c>
    </row>
    <row r="22">
      <c r="A22" s="114"/>
      <c r="B22" s="115" t="str">
        <f>S04a_US_STCG!A376</f>
        <v>SS합계</v>
      </c>
      <c r="C22" s="83"/>
      <c r="D22" s="116">
        <f>S01_US_DVCA!L202</f>
        <v>340941</v>
      </c>
      <c r="E22" s="83"/>
      <c r="F22" s="116">
        <f>S01_US_DVCA!N202</f>
        <v>51149</v>
      </c>
      <c r="G22" s="108"/>
      <c r="H22" s="108"/>
      <c r="I22" s="108"/>
      <c r="J22" s="108"/>
      <c r="K22" s="108"/>
      <c r="L22" s="116">
        <f>S01_US_DVCA!R202</f>
        <v>30609</v>
      </c>
      <c r="M22" s="83"/>
      <c r="N22" s="116">
        <f>S01_US_DVCA!P202</f>
        <v>20540</v>
      </c>
      <c r="O22" s="108"/>
      <c r="P22" s="117">
        <f>S04a_US_STCG!AD376</f>
        <v>204088</v>
      </c>
      <c r="Q22" s="108"/>
      <c r="R22" s="116">
        <f>S04a_US_STCG!AF376</f>
        <v>5653</v>
      </c>
      <c r="S22" s="108"/>
      <c r="T22" s="116">
        <f>S04a_US_STCG!AH376</f>
        <v>131203.33</v>
      </c>
      <c r="U22" s="108"/>
      <c r="V22" s="117">
        <f>S04a_US_STCG!AL376</f>
        <v>30612</v>
      </c>
      <c r="W22" s="108"/>
      <c r="X22" s="116">
        <f>S04a_US_STCG!AR376</f>
        <v>791</v>
      </c>
      <c r="Y22" s="108"/>
      <c r="Z22" s="118">
        <f>S04a_US_STCG!AP376</f>
        <v>19680</v>
      </c>
    </row>
    <row r="23">
      <c r="A23" s="114"/>
      <c r="B23" s="115" t="str">
        <f>S04a_US_STCG!A377</f>
        <v>ME합계</v>
      </c>
      <c r="C23" s="83"/>
      <c r="D23" s="116">
        <f>S01_US_DVCA!L203</f>
        <v>34854031</v>
      </c>
      <c r="E23" s="83"/>
      <c r="F23" s="116">
        <f>S01_US_DVCA!N203</f>
        <v>5228538</v>
      </c>
      <c r="G23" s="108"/>
      <c r="H23" s="108"/>
      <c r="I23" s="108"/>
      <c r="J23" s="108"/>
      <c r="K23" s="108"/>
      <c r="L23" s="116">
        <f>S01_US_DVCA!R203</f>
        <v>1871857</v>
      </c>
      <c r="M23" s="83"/>
      <c r="N23" s="116">
        <f>S01_US_DVCA!P203</f>
        <v>3356681</v>
      </c>
      <c r="O23" s="108"/>
      <c r="P23" s="119">
        <f>S04a_US_STCG!AD377</f>
        <v>12477319</v>
      </c>
      <c r="Q23" s="108"/>
      <c r="R23" s="116">
        <f>S04a_US_STCG!AF377</f>
        <v>426945</v>
      </c>
      <c r="S23" s="108"/>
      <c r="T23" s="116">
        <f>S04a_US_STCG!AH377</f>
        <v>21949615.65</v>
      </c>
      <c r="U23" s="108"/>
      <c r="V23" s="119">
        <f>S04a_US_STCG!AL377</f>
        <v>1872047</v>
      </c>
      <c r="W23" s="108"/>
      <c r="X23" s="120">
        <v>59773.0</v>
      </c>
      <c r="Y23" s="108"/>
      <c r="Z23" s="118">
        <f>S04a_US_STCG!AP377</f>
        <v>3292445</v>
      </c>
    </row>
    <row r="24">
      <c r="A24" s="114"/>
      <c r="B24" s="115" t="str">
        <f>S04a_US_STCG!A378</f>
        <v>TS합계</v>
      </c>
      <c r="C24" s="83"/>
      <c r="D24" s="116">
        <f>S01_US_DVCA!L204</f>
        <v>4282632</v>
      </c>
      <c r="E24" s="83"/>
      <c r="F24" s="116">
        <f>S01_US_DVCA!N204</f>
        <v>642376</v>
      </c>
      <c r="G24" s="108"/>
      <c r="H24" s="108"/>
      <c r="I24" s="108"/>
      <c r="J24" s="108"/>
      <c r="K24" s="108"/>
      <c r="L24" s="116">
        <f>S01_US_DVCA!R204</f>
        <v>287448</v>
      </c>
      <c r="M24" s="83"/>
      <c r="N24" s="116">
        <f>S01_US_DVCA!P204</f>
        <v>354928</v>
      </c>
      <c r="O24" s="108"/>
      <c r="P24" s="121">
        <f>S04a_US_STCG!AD378</f>
        <v>1916427</v>
      </c>
      <c r="Q24" s="108"/>
      <c r="R24" s="116">
        <f>S04a_US_STCG!AF378</f>
        <v>32840</v>
      </c>
      <c r="S24" s="108"/>
      <c r="T24" s="116">
        <f>S04a_US_STCG!AH378</f>
        <v>2333558</v>
      </c>
      <c r="U24" s="108"/>
      <c r="V24" s="121">
        <f>S04a_US_STCG!AL378</f>
        <v>287448</v>
      </c>
      <c r="W24" s="108"/>
      <c r="X24" s="116">
        <f>S04a_US_STCG!AR378</f>
        <v>4598</v>
      </c>
      <c r="Y24" s="108"/>
      <c r="Z24" s="118">
        <f>S04a_US_STCG!AP378</f>
        <v>350034</v>
      </c>
    </row>
    <row r="25">
      <c r="A25" s="122"/>
      <c r="B25" s="123" t="str">
        <f>S04a_US_STCG!A379</f>
        <v>소계2</v>
      </c>
      <c r="C25" s="90"/>
      <c r="D25" s="124">
        <f>SUM(D22:D24)</f>
        <v>39477604</v>
      </c>
      <c r="E25" s="90"/>
      <c r="F25" s="124">
        <f>SUM(F22:F24)</f>
        <v>5922063</v>
      </c>
      <c r="G25" s="125"/>
      <c r="H25" s="125"/>
      <c r="I25" s="125"/>
      <c r="J25" s="125"/>
      <c r="K25" s="125"/>
      <c r="L25" s="124">
        <f>SUM(L22:L24)</f>
        <v>2189914</v>
      </c>
      <c r="M25" s="90"/>
      <c r="N25" s="124">
        <f>SUM(N22:N24)</f>
        <v>3732149</v>
      </c>
      <c r="O25" s="125"/>
      <c r="P25" s="126">
        <f>SUM(P22:P24)</f>
        <v>14597834</v>
      </c>
      <c r="Q25" s="125"/>
      <c r="R25" s="124">
        <f>SUM(R22:R24)</f>
        <v>465438</v>
      </c>
      <c r="S25" s="125"/>
      <c r="T25" s="124">
        <f>SUM(T22:T24)</f>
        <v>24414376.98</v>
      </c>
      <c r="U25" s="125"/>
      <c r="V25" s="126">
        <f>SUM(V22:V24)</f>
        <v>2190107</v>
      </c>
      <c r="W25" s="125"/>
      <c r="X25" s="127">
        <f>SUM(X22:X24)</f>
        <v>65162</v>
      </c>
      <c r="Y25" s="125"/>
      <c r="Z25" s="128">
        <f>SUM(Z22:Z24)</f>
        <v>3662159</v>
      </c>
    </row>
    <row r="26">
      <c r="A26" s="129"/>
      <c r="B26" s="130" t="s">
        <v>68</v>
      </c>
      <c r="C26" s="131"/>
      <c r="D26" s="132"/>
      <c r="E26" s="131"/>
      <c r="F26" s="132"/>
      <c r="G26" s="133"/>
      <c r="H26" s="133"/>
      <c r="I26" s="133"/>
      <c r="J26" s="133"/>
      <c r="K26" s="133"/>
      <c r="L26" s="132"/>
      <c r="M26" s="131"/>
      <c r="N26" s="132"/>
      <c r="O26" s="133"/>
      <c r="P26" s="134">
        <f t="shared" ref="P26:P29" si="13">P22+R22</f>
        <v>209741</v>
      </c>
      <c r="Q26" s="133"/>
      <c r="R26" s="132"/>
      <c r="S26" s="133"/>
      <c r="T26" s="132"/>
      <c r="U26" s="133"/>
      <c r="V26" s="134">
        <f t="shared" ref="V26:V29" si="14">V22+X22</f>
        <v>31403</v>
      </c>
      <c r="W26" s="133"/>
      <c r="X26" s="135"/>
      <c r="Y26" s="133"/>
      <c r="Z26" s="136"/>
    </row>
    <row r="27">
      <c r="A27" s="114"/>
      <c r="B27" s="115" t="s">
        <v>69</v>
      </c>
      <c r="C27" s="83"/>
      <c r="D27" s="137"/>
      <c r="E27" s="83"/>
      <c r="F27" s="137"/>
      <c r="G27" s="108"/>
      <c r="H27" s="108"/>
      <c r="I27" s="108"/>
      <c r="J27" s="108"/>
      <c r="K27" s="108"/>
      <c r="L27" s="137"/>
      <c r="M27" s="83"/>
      <c r="N27" s="137"/>
      <c r="O27" s="108"/>
      <c r="P27" s="119">
        <f t="shared" si="13"/>
        <v>12904264</v>
      </c>
      <c r="Q27" s="108"/>
      <c r="R27" s="137" t="str">
        <f>S04a_US_STCG!AF380</f>
        <v/>
      </c>
      <c r="S27" s="108"/>
      <c r="T27" s="137" t="str">
        <f>S04a_US_STCG!AH381</f>
        <v/>
      </c>
      <c r="U27" s="108"/>
      <c r="V27" s="119">
        <f t="shared" si="14"/>
        <v>1931820</v>
      </c>
      <c r="W27" s="108"/>
      <c r="X27" s="138"/>
      <c r="Y27" s="108"/>
      <c r="Z27" s="139"/>
    </row>
    <row r="28">
      <c r="A28" s="114"/>
      <c r="B28" s="115" t="s">
        <v>70</v>
      </c>
      <c r="C28" s="83"/>
      <c r="D28" s="137"/>
      <c r="E28" s="83"/>
      <c r="F28" s="137"/>
      <c r="G28" s="108"/>
      <c r="H28" s="108"/>
      <c r="I28" s="108"/>
      <c r="J28" s="108"/>
      <c r="K28" s="108"/>
      <c r="L28" s="137"/>
      <c r="M28" s="83"/>
      <c r="N28" s="137"/>
      <c r="O28" s="108"/>
      <c r="P28" s="121">
        <f t="shared" si="13"/>
        <v>1949267</v>
      </c>
      <c r="Q28" s="108"/>
      <c r="R28" s="137" t="str">
        <f>S04a_US_STCG!AF381</f>
        <v/>
      </c>
      <c r="S28" s="108"/>
      <c r="T28" s="137" t="str">
        <f>S04a_US_STCG!AH382</f>
        <v/>
      </c>
      <c r="U28" s="108"/>
      <c r="V28" s="121">
        <f t="shared" si="14"/>
        <v>292046</v>
      </c>
      <c r="W28" s="108"/>
      <c r="X28" s="138"/>
      <c r="Y28" s="108"/>
      <c r="Z28" s="139"/>
    </row>
    <row r="29">
      <c r="A29" s="140"/>
      <c r="B29" s="141" t="s">
        <v>71</v>
      </c>
      <c r="C29" s="142"/>
      <c r="D29" s="143"/>
      <c r="E29" s="142"/>
      <c r="F29" s="143"/>
      <c r="G29" s="144"/>
      <c r="H29" s="144"/>
      <c r="I29" s="144"/>
      <c r="J29" s="144"/>
      <c r="K29" s="144"/>
      <c r="L29" s="143"/>
      <c r="M29" s="142"/>
      <c r="N29" s="143"/>
      <c r="O29" s="144"/>
      <c r="P29" s="145">
        <f t="shared" si="13"/>
        <v>15063272</v>
      </c>
      <c r="Q29" s="144"/>
      <c r="R29" s="143" t="str">
        <f>S04a_US_STCG!AF382</f>
        <v/>
      </c>
      <c r="S29" s="144"/>
      <c r="T29" s="143" t="str">
        <f>S04a_US_STCG!AH383</f>
        <v/>
      </c>
      <c r="U29" s="144"/>
      <c r="V29" s="145">
        <f t="shared" si="14"/>
        <v>2255269</v>
      </c>
      <c r="W29" s="144"/>
      <c r="X29" s="146" t="str">
        <f>S04a_US_STCG!AR383</f>
        <v/>
      </c>
      <c r="Y29" s="144"/>
      <c r="Z29" s="147" t="str">
        <f>S04a_US_STCG!AP383</f>
        <v/>
      </c>
    </row>
    <row r="30">
      <c r="A30" s="1"/>
      <c r="B30" s="1"/>
      <c r="C30" s="2"/>
      <c r="D30" s="3"/>
      <c r="E30" s="2"/>
      <c r="F30" s="3"/>
      <c r="G30" s="2"/>
      <c r="H30" s="3"/>
      <c r="I30" s="2"/>
      <c r="J30" s="3"/>
      <c r="K30" s="2"/>
      <c r="L30" s="3"/>
      <c r="M30" s="2"/>
      <c r="N30" s="3"/>
      <c r="O30" s="2"/>
      <c r="P30" s="3"/>
      <c r="Q30" s="2"/>
      <c r="R30" s="3"/>
      <c r="S30" s="2"/>
      <c r="T30" s="3"/>
      <c r="U30" s="2"/>
      <c r="V30" s="3"/>
      <c r="W30" s="2"/>
      <c r="X30" s="3"/>
      <c r="Y30" s="2"/>
      <c r="Z30" s="3"/>
    </row>
    <row r="31">
      <c r="A31" s="1"/>
      <c r="B31" s="1"/>
      <c r="C31" s="2"/>
      <c r="D31" s="3"/>
      <c r="E31" s="2"/>
      <c r="F31" s="3"/>
      <c r="G31" s="2"/>
      <c r="H31" s="3"/>
      <c r="I31" s="2"/>
      <c r="J31" s="3"/>
      <c r="K31" s="2"/>
      <c r="L31" s="3"/>
      <c r="M31" s="2"/>
      <c r="N31" s="3"/>
      <c r="O31" s="2"/>
      <c r="P31" s="3"/>
      <c r="Q31" s="2"/>
      <c r="R31" s="3"/>
      <c r="S31" s="2"/>
      <c r="T31" s="3"/>
      <c r="U31" s="2"/>
      <c r="V31" s="3"/>
      <c r="W31" s="2"/>
      <c r="X31" s="3"/>
      <c r="Y31" s="2"/>
      <c r="Z31" s="3"/>
    </row>
    <row r="32">
      <c r="A32" s="1"/>
      <c r="B32" s="1"/>
      <c r="C32" s="2"/>
      <c r="D32" s="3"/>
      <c r="E32" s="2"/>
      <c r="F32" s="3"/>
      <c r="G32" s="2"/>
      <c r="H32" s="3"/>
      <c r="I32" s="2"/>
      <c r="J32" s="3"/>
      <c r="K32" s="2"/>
      <c r="L32" s="3"/>
      <c r="M32" s="2"/>
      <c r="N32" s="3"/>
      <c r="O32" s="2"/>
      <c r="P32" s="3"/>
      <c r="Q32" s="2"/>
      <c r="R32" s="3"/>
      <c r="S32" s="2"/>
      <c r="T32" s="3"/>
      <c r="U32" s="2"/>
      <c r="V32" s="3"/>
      <c r="W32" s="2"/>
      <c r="X32" s="3"/>
      <c r="Y32" s="2"/>
      <c r="Z32" s="3"/>
    </row>
    <row r="33">
      <c r="A33" s="1"/>
      <c r="B33" s="1"/>
      <c r="C33" s="2"/>
      <c r="D33" s="3"/>
      <c r="E33" s="2"/>
      <c r="F33" s="3"/>
      <c r="G33" s="2"/>
      <c r="H33" s="3"/>
      <c r="I33" s="2"/>
      <c r="J33" s="3"/>
      <c r="K33" s="2"/>
      <c r="L33" s="3"/>
      <c r="M33" s="2"/>
      <c r="N33" s="3"/>
      <c r="O33" s="2"/>
      <c r="P33" s="3"/>
      <c r="Q33" s="2"/>
      <c r="R33" s="3"/>
      <c r="S33" s="2"/>
      <c r="T33" s="3"/>
      <c r="U33" s="2"/>
      <c r="V33" s="3"/>
      <c r="W33" s="2"/>
      <c r="X33" s="3"/>
      <c r="Y33" s="2"/>
      <c r="Z33" s="3"/>
    </row>
    <row r="34">
      <c r="A34" s="1"/>
      <c r="B34" s="1"/>
      <c r="C34" s="2"/>
      <c r="D34" s="3"/>
      <c r="E34" s="2"/>
      <c r="F34" s="3"/>
      <c r="G34" s="2"/>
      <c r="H34" s="3"/>
      <c r="I34" s="2"/>
      <c r="J34" s="3"/>
      <c r="K34" s="2"/>
      <c r="L34" s="3"/>
      <c r="M34" s="2"/>
      <c r="N34" s="3"/>
      <c r="O34" s="2"/>
      <c r="P34" s="3"/>
      <c r="Q34" s="2"/>
      <c r="R34" s="3"/>
      <c r="S34" s="2"/>
      <c r="T34" s="3"/>
      <c r="U34" s="2"/>
      <c r="V34" s="3"/>
      <c r="W34" s="2"/>
      <c r="X34" s="3"/>
      <c r="Y34" s="2"/>
      <c r="Z34" s="3"/>
    </row>
    <row r="35">
      <c r="A35" s="1"/>
      <c r="B35" s="1"/>
      <c r="C35" s="2"/>
      <c r="D35" s="3"/>
      <c r="E35" s="2"/>
      <c r="F35" s="3"/>
      <c r="G35" s="2"/>
      <c r="H35" s="3"/>
      <c r="I35" s="2"/>
      <c r="J35" s="3"/>
      <c r="K35" s="2"/>
      <c r="L35" s="3"/>
      <c r="M35" s="2"/>
      <c r="N35" s="3"/>
      <c r="O35" s="2"/>
      <c r="P35" s="3"/>
      <c r="Q35" s="2"/>
      <c r="R35" s="3"/>
      <c r="S35" s="2"/>
      <c r="T35" s="3"/>
      <c r="U35" s="2"/>
      <c r="V35" s="3"/>
      <c r="W35" s="2"/>
      <c r="X35" s="3"/>
      <c r="Y35" s="2"/>
      <c r="Z35" s="3"/>
    </row>
    <row r="36">
      <c r="A36" s="1"/>
      <c r="B36" s="1"/>
      <c r="C36" s="2"/>
      <c r="D36" s="3"/>
      <c r="E36" s="2"/>
      <c r="F36" s="3"/>
      <c r="G36" s="2"/>
      <c r="H36" s="3"/>
      <c r="I36" s="2"/>
      <c r="J36" s="3"/>
      <c r="K36" s="2"/>
      <c r="L36" s="3"/>
      <c r="M36" s="2"/>
      <c r="N36" s="3"/>
      <c r="O36" s="2"/>
      <c r="P36" s="3"/>
      <c r="Q36" s="2"/>
      <c r="R36" s="3"/>
      <c r="S36" s="2"/>
      <c r="T36" s="3"/>
      <c r="U36" s="2"/>
      <c r="V36" s="3"/>
      <c r="W36" s="2"/>
      <c r="X36" s="3"/>
      <c r="Y36" s="2"/>
      <c r="Z36" s="3"/>
    </row>
    <row r="37">
      <c r="A37" s="1"/>
      <c r="B37" s="1"/>
      <c r="C37" s="2"/>
      <c r="D37" s="3"/>
      <c r="E37" s="2"/>
      <c r="F37" s="3"/>
      <c r="G37" s="2"/>
      <c r="H37" s="3"/>
      <c r="I37" s="2"/>
      <c r="J37" s="3"/>
      <c r="K37" s="2"/>
      <c r="L37" s="3"/>
      <c r="M37" s="2"/>
      <c r="N37" s="3"/>
      <c r="O37" s="2"/>
      <c r="P37" s="3"/>
      <c r="Q37" s="2"/>
      <c r="R37" s="3"/>
      <c r="S37" s="2"/>
      <c r="T37" s="3"/>
      <c r="U37" s="2"/>
      <c r="V37" s="3"/>
      <c r="W37" s="2"/>
      <c r="X37" s="3"/>
      <c r="Y37" s="2"/>
      <c r="Z37" s="3"/>
    </row>
    <row r="38">
      <c r="A38" s="1"/>
      <c r="B38" s="1"/>
      <c r="C38" s="2"/>
      <c r="D38" s="3"/>
      <c r="E38" s="2"/>
      <c r="F38" s="3"/>
      <c r="G38" s="2"/>
      <c r="H38" s="3"/>
      <c r="I38" s="2"/>
      <c r="J38" s="3"/>
      <c r="K38" s="2"/>
      <c r="L38" s="3"/>
      <c r="M38" s="2"/>
      <c r="N38" s="3"/>
      <c r="O38" s="2"/>
      <c r="P38" s="3"/>
      <c r="Q38" s="2"/>
      <c r="R38" s="3"/>
      <c r="S38" s="2"/>
      <c r="T38" s="3"/>
      <c r="U38" s="2"/>
      <c r="V38" s="3"/>
      <c r="W38" s="2"/>
      <c r="X38" s="3"/>
      <c r="Y38" s="2"/>
      <c r="Z38" s="3"/>
    </row>
    <row r="39">
      <c r="A39" s="1"/>
      <c r="B39" s="1"/>
      <c r="C39" s="2"/>
      <c r="D39" s="3"/>
      <c r="E39" s="2"/>
      <c r="F39" s="3"/>
      <c r="G39" s="2"/>
      <c r="H39" s="3"/>
      <c r="I39" s="2"/>
      <c r="J39" s="3"/>
      <c r="K39" s="2"/>
      <c r="L39" s="3"/>
      <c r="M39" s="2"/>
      <c r="N39" s="3"/>
      <c r="O39" s="2"/>
      <c r="P39" s="3"/>
      <c r="Q39" s="2"/>
      <c r="R39" s="3"/>
      <c r="S39" s="2"/>
      <c r="T39" s="3"/>
      <c r="U39" s="2"/>
      <c r="V39" s="3"/>
      <c r="W39" s="2"/>
      <c r="X39" s="3"/>
      <c r="Y39" s="2"/>
      <c r="Z39" s="3"/>
    </row>
    <row r="40">
      <c r="A40" s="1"/>
      <c r="B40" s="1"/>
      <c r="C40" s="2"/>
      <c r="D40" s="3"/>
      <c r="E40" s="2"/>
      <c r="F40" s="3"/>
      <c r="G40" s="2"/>
      <c r="H40" s="3"/>
      <c r="I40" s="2"/>
      <c r="J40" s="3"/>
      <c r="K40" s="2"/>
      <c r="L40" s="3"/>
      <c r="M40" s="2"/>
      <c r="N40" s="3"/>
      <c r="O40" s="2"/>
      <c r="P40" s="3"/>
      <c r="Q40" s="2"/>
      <c r="R40" s="3"/>
      <c r="S40" s="2"/>
      <c r="T40" s="3"/>
      <c r="U40" s="2"/>
      <c r="V40" s="3"/>
      <c r="W40" s="2"/>
      <c r="X40" s="3"/>
      <c r="Y40" s="2"/>
      <c r="Z40" s="3"/>
    </row>
    <row r="41">
      <c r="A41" s="1"/>
      <c r="B41" s="1"/>
      <c r="C41" s="2"/>
      <c r="D41" s="3"/>
      <c r="E41" s="2"/>
      <c r="F41" s="3"/>
      <c r="G41" s="2"/>
      <c r="H41" s="3"/>
      <c r="I41" s="2"/>
      <c r="J41" s="3"/>
      <c r="K41" s="2"/>
      <c r="L41" s="3"/>
      <c r="M41" s="2"/>
      <c r="N41" s="3"/>
      <c r="O41" s="2"/>
      <c r="P41" s="3"/>
      <c r="Q41" s="2"/>
      <c r="R41" s="3"/>
      <c r="S41" s="2"/>
      <c r="T41" s="3"/>
      <c r="U41" s="2"/>
      <c r="V41" s="3"/>
      <c r="W41" s="2"/>
      <c r="X41" s="3"/>
      <c r="Y41" s="2"/>
      <c r="Z41" s="3"/>
    </row>
    <row r="42">
      <c r="A42" s="1"/>
      <c r="B42" s="1"/>
      <c r="C42" s="2"/>
      <c r="D42" s="3"/>
      <c r="E42" s="2"/>
      <c r="F42" s="3"/>
      <c r="G42" s="2"/>
      <c r="H42" s="3"/>
      <c r="I42" s="2"/>
      <c r="J42" s="3"/>
      <c r="K42" s="2"/>
      <c r="L42" s="3"/>
      <c r="M42" s="2"/>
      <c r="N42" s="3"/>
      <c r="O42" s="2"/>
      <c r="P42" s="3"/>
      <c r="Q42" s="2"/>
      <c r="R42" s="3"/>
      <c r="S42" s="2"/>
      <c r="T42" s="3"/>
      <c r="U42" s="2"/>
      <c r="V42" s="3"/>
      <c r="W42" s="2"/>
      <c r="X42" s="3"/>
      <c r="Y42" s="2"/>
      <c r="Z42" s="3"/>
    </row>
    <row r="43">
      <c r="A43" s="1"/>
      <c r="B43" s="1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3"/>
      <c r="O43" s="2"/>
      <c r="P43" s="3"/>
      <c r="Q43" s="2"/>
      <c r="R43" s="3"/>
      <c r="S43" s="2"/>
      <c r="T43" s="3"/>
      <c r="U43" s="2"/>
      <c r="V43" s="3"/>
      <c r="W43" s="2"/>
      <c r="X43" s="3"/>
      <c r="Y43" s="2"/>
      <c r="Z43" s="3"/>
    </row>
    <row r="44">
      <c r="A44" s="1"/>
      <c r="B44" s="1"/>
      <c r="C44" s="2"/>
      <c r="D44" s="3"/>
      <c r="E44" s="2"/>
      <c r="F44" s="3"/>
      <c r="G44" s="2"/>
      <c r="H44" s="3"/>
      <c r="I44" s="2"/>
      <c r="J44" s="3"/>
      <c r="K44" s="2"/>
      <c r="L44" s="3"/>
      <c r="M44" s="2"/>
      <c r="N44" s="3"/>
      <c r="O44" s="2"/>
      <c r="P44" s="3"/>
      <c r="Q44" s="2"/>
      <c r="R44" s="3"/>
      <c r="S44" s="2"/>
      <c r="T44" s="3"/>
      <c r="U44" s="2"/>
      <c r="V44" s="3"/>
      <c r="W44" s="2"/>
      <c r="X44" s="3"/>
      <c r="Y44" s="2"/>
      <c r="Z44" s="3"/>
    </row>
    <row r="45">
      <c r="A45" s="1"/>
      <c r="B45" s="1"/>
      <c r="C45" s="2"/>
      <c r="D45" s="3"/>
      <c r="E45" s="2"/>
      <c r="F45" s="3"/>
      <c r="G45" s="2"/>
      <c r="H45" s="3"/>
      <c r="I45" s="2"/>
      <c r="J45" s="3"/>
      <c r="K45" s="2"/>
      <c r="L45" s="3"/>
      <c r="M45" s="2"/>
      <c r="N45" s="3"/>
      <c r="O45" s="2"/>
      <c r="P45" s="3"/>
      <c r="Q45" s="2"/>
      <c r="R45" s="3"/>
      <c r="S45" s="2"/>
      <c r="T45" s="3"/>
      <c r="U45" s="2"/>
      <c r="V45" s="3"/>
      <c r="W45" s="2"/>
      <c r="X45" s="3"/>
      <c r="Y45" s="2"/>
      <c r="Z45" s="3"/>
    </row>
    <row r="46">
      <c r="A46" s="1"/>
      <c r="B46" s="1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3"/>
      <c r="O46" s="2"/>
      <c r="P46" s="3"/>
      <c r="Q46" s="2"/>
      <c r="R46" s="3"/>
      <c r="S46" s="2"/>
      <c r="T46" s="3"/>
      <c r="U46" s="2"/>
      <c r="V46" s="3"/>
      <c r="W46" s="2"/>
      <c r="X46" s="3"/>
      <c r="Y46" s="2"/>
      <c r="Z46" s="3"/>
    </row>
    <row r="47">
      <c r="A47" s="1"/>
      <c r="B47" s="1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3"/>
      <c r="O47" s="2"/>
      <c r="P47" s="3"/>
      <c r="Q47" s="2"/>
      <c r="R47" s="3"/>
      <c r="S47" s="2"/>
      <c r="T47" s="3"/>
      <c r="U47" s="2"/>
      <c r="V47" s="3"/>
      <c r="W47" s="2"/>
      <c r="X47" s="3"/>
      <c r="Y47" s="2"/>
      <c r="Z47" s="3"/>
    </row>
    <row r="48">
      <c r="A48" s="1"/>
      <c r="B48" s="1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3"/>
      <c r="O48" s="2"/>
      <c r="P48" s="3"/>
      <c r="Q48" s="2"/>
      <c r="R48" s="3"/>
      <c r="S48" s="2"/>
      <c r="T48" s="3"/>
      <c r="U48" s="2"/>
      <c r="V48" s="3"/>
      <c r="W48" s="2"/>
      <c r="X48" s="3"/>
      <c r="Y48" s="2"/>
      <c r="Z48" s="3"/>
    </row>
    <row r="49">
      <c r="A49" s="1"/>
      <c r="B49" s="1"/>
      <c r="C49" s="2"/>
      <c r="D49" s="3"/>
      <c r="E49" s="2"/>
      <c r="F49" s="3"/>
      <c r="G49" s="2"/>
      <c r="H49" s="3"/>
      <c r="I49" s="2"/>
      <c r="J49" s="3"/>
      <c r="K49" s="2"/>
      <c r="L49" s="3"/>
      <c r="M49" s="2"/>
      <c r="N49" s="3"/>
      <c r="O49" s="2"/>
      <c r="P49" s="3"/>
      <c r="Q49" s="2"/>
      <c r="R49" s="3"/>
      <c r="S49" s="2"/>
      <c r="T49" s="3"/>
      <c r="U49" s="2"/>
      <c r="V49" s="3"/>
      <c r="W49" s="2"/>
      <c r="X49" s="3"/>
      <c r="Y49" s="2"/>
      <c r="Z49" s="3"/>
    </row>
    <row r="50">
      <c r="A50" s="1"/>
      <c r="B50" s="1"/>
      <c r="C50" s="2"/>
      <c r="D50" s="3"/>
      <c r="E50" s="2"/>
      <c r="F50" s="3"/>
      <c r="G50" s="2"/>
      <c r="H50" s="3"/>
      <c r="I50" s="2"/>
      <c r="J50" s="3"/>
      <c r="K50" s="2"/>
      <c r="L50" s="3"/>
      <c r="M50" s="2"/>
      <c r="N50" s="3"/>
      <c r="O50" s="2"/>
      <c r="P50" s="3"/>
      <c r="Q50" s="2"/>
      <c r="R50" s="3"/>
      <c r="S50" s="2"/>
      <c r="T50" s="3"/>
      <c r="U50" s="2"/>
      <c r="V50" s="3"/>
      <c r="W50" s="2"/>
      <c r="X50" s="3"/>
      <c r="Y50" s="2"/>
      <c r="Z50" s="3"/>
    </row>
    <row r="51">
      <c r="A51" s="1"/>
      <c r="B51" s="1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3"/>
      <c r="O51" s="2"/>
      <c r="P51" s="3"/>
      <c r="Q51" s="2"/>
      <c r="R51" s="3"/>
      <c r="S51" s="2"/>
      <c r="T51" s="3"/>
      <c r="U51" s="2"/>
      <c r="V51" s="3"/>
      <c r="W51" s="2"/>
      <c r="X51" s="3"/>
      <c r="Y51" s="2"/>
      <c r="Z51" s="3"/>
    </row>
    <row r="52">
      <c r="A52" s="1"/>
      <c r="B52" s="1"/>
      <c r="C52" s="2"/>
      <c r="D52" s="3"/>
      <c r="E52" s="2"/>
      <c r="F52" s="3"/>
      <c r="G52" s="2"/>
      <c r="H52" s="3"/>
      <c r="I52" s="2"/>
      <c r="J52" s="3"/>
      <c r="K52" s="2"/>
      <c r="L52" s="3"/>
      <c r="M52" s="2"/>
      <c r="N52" s="3"/>
      <c r="O52" s="2"/>
      <c r="P52" s="3"/>
      <c r="Q52" s="2"/>
      <c r="R52" s="3"/>
      <c r="S52" s="2"/>
      <c r="T52" s="3"/>
      <c r="U52" s="2"/>
      <c r="V52" s="3"/>
      <c r="W52" s="2"/>
      <c r="X52" s="3"/>
      <c r="Y52" s="2"/>
      <c r="Z52" s="3"/>
    </row>
    <row r="53">
      <c r="A53" s="1"/>
      <c r="B53" s="1"/>
      <c r="C53" s="2"/>
      <c r="D53" s="3"/>
      <c r="E53" s="2"/>
      <c r="F53" s="3"/>
      <c r="G53" s="2"/>
      <c r="H53" s="3"/>
      <c r="I53" s="2"/>
      <c r="J53" s="3"/>
      <c r="K53" s="2"/>
      <c r="L53" s="3"/>
      <c r="M53" s="2"/>
      <c r="N53" s="3"/>
      <c r="O53" s="2"/>
      <c r="P53" s="3"/>
      <c r="Q53" s="2"/>
      <c r="R53" s="3"/>
      <c r="S53" s="2"/>
      <c r="T53" s="3"/>
      <c r="U53" s="2"/>
      <c r="V53" s="3"/>
      <c r="W53" s="2"/>
      <c r="X53" s="3"/>
      <c r="Y53" s="2"/>
      <c r="Z53" s="3"/>
    </row>
    <row r="54">
      <c r="A54" s="1"/>
      <c r="B54" s="1"/>
      <c r="C54" s="2"/>
      <c r="D54" s="3"/>
      <c r="E54" s="2"/>
      <c r="F54" s="3"/>
      <c r="G54" s="2"/>
      <c r="H54" s="3"/>
      <c r="I54" s="2"/>
      <c r="J54" s="3"/>
      <c r="K54" s="2"/>
      <c r="L54" s="3"/>
      <c r="M54" s="2"/>
      <c r="N54" s="3"/>
      <c r="O54" s="2"/>
      <c r="P54" s="3"/>
      <c r="Q54" s="2"/>
      <c r="R54" s="3"/>
      <c r="S54" s="2"/>
      <c r="T54" s="3"/>
      <c r="U54" s="2"/>
      <c r="V54" s="3"/>
      <c r="W54" s="2"/>
      <c r="X54" s="3"/>
      <c r="Y54" s="2"/>
      <c r="Z54" s="3"/>
    </row>
    <row r="55">
      <c r="A55" s="1"/>
      <c r="B55" s="1"/>
      <c r="C55" s="2"/>
      <c r="D55" s="3"/>
      <c r="E55" s="2"/>
      <c r="F55" s="3"/>
      <c r="G55" s="2"/>
      <c r="H55" s="3"/>
      <c r="I55" s="2"/>
      <c r="J55" s="3"/>
      <c r="K55" s="2"/>
      <c r="L55" s="3"/>
      <c r="M55" s="2"/>
      <c r="N55" s="3"/>
      <c r="O55" s="2"/>
      <c r="P55" s="3"/>
      <c r="Q55" s="2"/>
      <c r="R55" s="3"/>
      <c r="S55" s="2"/>
      <c r="T55" s="3"/>
      <c r="U55" s="2"/>
      <c r="V55" s="3"/>
      <c r="W55" s="2"/>
      <c r="X55" s="3"/>
      <c r="Y55" s="2"/>
      <c r="Z55" s="3"/>
    </row>
    <row r="56">
      <c r="A56" s="1"/>
      <c r="B56" s="1"/>
      <c r="C56" s="2"/>
      <c r="D56" s="3"/>
      <c r="E56" s="2"/>
      <c r="F56" s="3"/>
      <c r="G56" s="2"/>
      <c r="H56" s="3"/>
      <c r="I56" s="2"/>
      <c r="J56" s="3"/>
      <c r="K56" s="2"/>
      <c r="L56" s="3"/>
      <c r="M56" s="2"/>
      <c r="N56" s="3"/>
      <c r="O56" s="2"/>
      <c r="P56" s="3"/>
      <c r="Q56" s="2"/>
      <c r="R56" s="3"/>
      <c r="S56" s="2"/>
      <c r="T56" s="3"/>
      <c r="U56" s="2"/>
      <c r="V56" s="3"/>
      <c r="W56" s="2"/>
      <c r="X56" s="3"/>
      <c r="Y56" s="2"/>
      <c r="Z56" s="3"/>
    </row>
    <row r="57">
      <c r="A57" s="1"/>
      <c r="B57" s="1"/>
      <c r="C57" s="2"/>
      <c r="D57" s="3"/>
      <c r="E57" s="2"/>
      <c r="F57" s="3"/>
      <c r="G57" s="2"/>
      <c r="H57" s="3"/>
      <c r="I57" s="2"/>
      <c r="J57" s="3"/>
      <c r="K57" s="2"/>
      <c r="L57" s="3"/>
      <c r="M57" s="2"/>
      <c r="N57" s="3"/>
      <c r="O57" s="2"/>
      <c r="P57" s="3"/>
      <c r="Q57" s="2"/>
      <c r="R57" s="3"/>
      <c r="S57" s="2"/>
      <c r="T57" s="3"/>
      <c r="U57" s="2"/>
      <c r="V57" s="3"/>
      <c r="W57" s="2"/>
      <c r="X57" s="3"/>
      <c r="Y57" s="2"/>
      <c r="Z57" s="3"/>
    </row>
    <row r="58">
      <c r="A58" s="1"/>
      <c r="B58" s="1"/>
      <c r="C58" s="2"/>
      <c r="D58" s="3"/>
      <c r="E58" s="2"/>
      <c r="F58" s="3"/>
      <c r="G58" s="2"/>
      <c r="H58" s="3"/>
      <c r="I58" s="2"/>
      <c r="J58" s="3"/>
      <c r="K58" s="2"/>
      <c r="L58" s="3"/>
      <c r="M58" s="2"/>
      <c r="N58" s="3"/>
      <c r="O58" s="2"/>
      <c r="P58" s="3"/>
      <c r="Q58" s="2"/>
      <c r="R58" s="3"/>
      <c r="S58" s="2"/>
      <c r="T58" s="3"/>
      <c r="U58" s="2"/>
      <c r="V58" s="3"/>
      <c r="W58" s="2"/>
      <c r="X58" s="3"/>
      <c r="Y58" s="2"/>
      <c r="Z58" s="3"/>
    </row>
    <row r="59">
      <c r="A59" s="1"/>
      <c r="B59" s="1"/>
      <c r="C59" s="2"/>
      <c r="D59" s="3"/>
      <c r="E59" s="2"/>
      <c r="F59" s="3"/>
      <c r="G59" s="2"/>
      <c r="H59" s="3"/>
      <c r="I59" s="2"/>
      <c r="J59" s="3"/>
      <c r="K59" s="2"/>
      <c r="L59" s="3"/>
      <c r="M59" s="2"/>
      <c r="N59" s="3"/>
      <c r="O59" s="2"/>
      <c r="P59" s="3"/>
      <c r="Q59" s="2"/>
      <c r="R59" s="3"/>
      <c r="S59" s="2"/>
      <c r="T59" s="3"/>
      <c r="U59" s="2"/>
      <c r="V59" s="3"/>
      <c r="W59" s="2"/>
      <c r="X59" s="3"/>
      <c r="Y59" s="2"/>
      <c r="Z59" s="3"/>
    </row>
    <row r="60">
      <c r="A60" s="1"/>
      <c r="B60" s="1"/>
      <c r="C60" s="2"/>
      <c r="D60" s="3"/>
      <c r="E60" s="2"/>
      <c r="F60" s="3"/>
      <c r="G60" s="2"/>
      <c r="H60" s="3"/>
      <c r="I60" s="2"/>
      <c r="J60" s="3"/>
      <c r="K60" s="2"/>
      <c r="L60" s="3"/>
      <c r="M60" s="2"/>
      <c r="N60" s="3"/>
      <c r="O60" s="2"/>
      <c r="P60" s="3"/>
      <c r="Q60" s="2"/>
      <c r="R60" s="3"/>
      <c r="S60" s="2"/>
      <c r="T60" s="3"/>
      <c r="U60" s="2"/>
      <c r="V60" s="3"/>
      <c r="W60" s="2"/>
      <c r="X60" s="3"/>
      <c r="Y60" s="2"/>
      <c r="Z60" s="3"/>
    </row>
    <row r="61">
      <c r="A61" s="1"/>
      <c r="B61" s="1"/>
      <c r="C61" s="2"/>
      <c r="D61" s="3"/>
      <c r="E61" s="2"/>
      <c r="F61" s="3"/>
      <c r="G61" s="2"/>
      <c r="H61" s="3"/>
      <c r="I61" s="2"/>
      <c r="J61" s="3"/>
      <c r="K61" s="2"/>
      <c r="L61" s="3"/>
      <c r="M61" s="2"/>
      <c r="N61" s="3"/>
      <c r="O61" s="2"/>
      <c r="P61" s="3"/>
      <c r="Q61" s="2"/>
      <c r="R61" s="3"/>
      <c r="S61" s="2"/>
      <c r="T61" s="3"/>
      <c r="U61" s="2"/>
      <c r="V61" s="3"/>
      <c r="W61" s="2"/>
      <c r="X61" s="3"/>
      <c r="Y61" s="2"/>
      <c r="Z61" s="3"/>
    </row>
    <row r="62">
      <c r="A62" s="1"/>
      <c r="B62" s="1"/>
      <c r="C62" s="2"/>
      <c r="D62" s="3"/>
      <c r="E62" s="2"/>
      <c r="F62" s="3"/>
      <c r="G62" s="2"/>
      <c r="H62" s="3"/>
      <c r="I62" s="2"/>
      <c r="J62" s="3"/>
      <c r="K62" s="2"/>
      <c r="L62" s="3"/>
      <c r="M62" s="2"/>
      <c r="N62" s="3"/>
      <c r="O62" s="2"/>
      <c r="P62" s="3"/>
      <c r="Q62" s="2"/>
      <c r="R62" s="3"/>
      <c r="S62" s="2"/>
      <c r="T62" s="3"/>
      <c r="U62" s="2"/>
      <c r="V62" s="3"/>
      <c r="W62" s="2"/>
      <c r="X62" s="3"/>
      <c r="Y62" s="2"/>
      <c r="Z62" s="3"/>
    </row>
    <row r="63">
      <c r="A63" s="1"/>
      <c r="B63" s="1"/>
      <c r="C63" s="2"/>
      <c r="D63" s="3"/>
      <c r="E63" s="2"/>
      <c r="F63" s="3"/>
      <c r="G63" s="2"/>
      <c r="H63" s="3"/>
      <c r="I63" s="2"/>
      <c r="J63" s="3"/>
      <c r="K63" s="2"/>
      <c r="L63" s="3"/>
      <c r="M63" s="2"/>
      <c r="N63" s="3"/>
      <c r="O63" s="2"/>
      <c r="P63" s="3"/>
      <c r="Q63" s="2"/>
      <c r="R63" s="3"/>
      <c r="S63" s="2"/>
      <c r="T63" s="3"/>
      <c r="U63" s="2"/>
      <c r="V63" s="3"/>
      <c r="W63" s="2"/>
      <c r="X63" s="3"/>
      <c r="Y63" s="2"/>
      <c r="Z63" s="3"/>
    </row>
    <row r="64">
      <c r="A64" s="1"/>
      <c r="B64" s="1"/>
      <c r="C64" s="2"/>
      <c r="D64" s="3"/>
      <c r="E64" s="2"/>
      <c r="F64" s="3"/>
      <c r="G64" s="2"/>
      <c r="H64" s="3"/>
      <c r="I64" s="2"/>
      <c r="J64" s="3"/>
      <c r="K64" s="2"/>
      <c r="L64" s="3"/>
      <c r="M64" s="2"/>
      <c r="N64" s="3"/>
      <c r="O64" s="2"/>
      <c r="P64" s="3"/>
      <c r="Q64" s="2"/>
      <c r="R64" s="3"/>
      <c r="S64" s="2"/>
      <c r="T64" s="3"/>
      <c r="U64" s="2"/>
      <c r="V64" s="3"/>
      <c r="W64" s="2"/>
      <c r="X64" s="3"/>
      <c r="Y64" s="2"/>
      <c r="Z64" s="3"/>
    </row>
    <row r="65">
      <c r="A65" s="1"/>
      <c r="B65" s="1"/>
      <c r="C65" s="2"/>
      <c r="D65" s="3"/>
      <c r="E65" s="2"/>
      <c r="F65" s="3"/>
      <c r="G65" s="2"/>
      <c r="H65" s="3"/>
      <c r="I65" s="2"/>
      <c r="J65" s="3"/>
      <c r="K65" s="2"/>
      <c r="L65" s="3"/>
      <c r="M65" s="2"/>
      <c r="N65" s="3"/>
      <c r="O65" s="2"/>
      <c r="P65" s="3"/>
      <c r="Q65" s="2"/>
      <c r="R65" s="3"/>
      <c r="S65" s="2"/>
      <c r="T65" s="3"/>
      <c r="U65" s="2"/>
      <c r="V65" s="3"/>
      <c r="W65" s="2"/>
      <c r="X65" s="3"/>
      <c r="Y65" s="2"/>
      <c r="Z65" s="3"/>
    </row>
    <row r="66">
      <c r="A66" s="1"/>
      <c r="B66" s="1"/>
      <c r="C66" s="2"/>
      <c r="D66" s="3"/>
      <c r="E66" s="2"/>
      <c r="F66" s="3"/>
      <c r="G66" s="2"/>
      <c r="H66" s="3"/>
      <c r="I66" s="2"/>
      <c r="J66" s="3"/>
      <c r="K66" s="2"/>
      <c r="L66" s="3"/>
      <c r="M66" s="2"/>
      <c r="N66" s="3"/>
      <c r="O66" s="2"/>
      <c r="P66" s="3"/>
      <c r="Q66" s="2"/>
      <c r="R66" s="3"/>
      <c r="S66" s="2"/>
      <c r="T66" s="3"/>
      <c r="U66" s="2"/>
      <c r="V66" s="3"/>
      <c r="W66" s="2"/>
      <c r="X66" s="3"/>
      <c r="Y66" s="2"/>
      <c r="Z66" s="3"/>
    </row>
    <row r="67">
      <c r="A67" s="1"/>
      <c r="B67" s="1"/>
      <c r="C67" s="2"/>
      <c r="D67" s="3"/>
      <c r="E67" s="2"/>
      <c r="F67" s="3"/>
      <c r="G67" s="2"/>
      <c r="H67" s="3"/>
      <c r="I67" s="2"/>
      <c r="J67" s="3"/>
      <c r="K67" s="2"/>
      <c r="L67" s="3"/>
      <c r="M67" s="2"/>
      <c r="N67" s="3"/>
      <c r="O67" s="2"/>
      <c r="P67" s="3"/>
      <c r="Q67" s="2"/>
      <c r="R67" s="3"/>
      <c r="S67" s="2"/>
      <c r="T67" s="3"/>
      <c r="U67" s="2"/>
      <c r="V67" s="3"/>
      <c r="W67" s="2"/>
      <c r="X67" s="3"/>
      <c r="Y67" s="2"/>
      <c r="Z67" s="3"/>
    </row>
    <row r="68">
      <c r="A68" s="1"/>
      <c r="B68" s="1"/>
      <c r="C68" s="2"/>
      <c r="D68" s="3"/>
      <c r="E68" s="2"/>
      <c r="F68" s="3"/>
      <c r="G68" s="2"/>
      <c r="H68" s="3"/>
      <c r="I68" s="2"/>
      <c r="J68" s="3"/>
      <c r="K68" s="2"/>
      <c r="L68" s="3"/>
      <c r="M68" s="2"/>
      <c r="N68" s="3"/>
      <c r="O68" s="2"/>
      <c r="P68" s="3"/>
      <c r="Q68" s="2"/>
      <c r="R68" s="3"/>
      <c r="S68" s="2"/>
      <c r="T68" s="3"/>
      <c r="U68" s="2"/>
      <c r="V68" s="3"/>
      <c r="W68" s="2"/>
      <c r="X68" s="3"/>
      <c r="Y68" s="2"/>
      <c r="Z68" s="3"/>
    </row>
    <row r="69">
      <c r="A69" s="1"/>
      <c r="B69" s="1"/>
      <c r="C69" s="2"/>
      <c r="D69" s="3"/>
      <c r="E69" s="2"/>
      <c r="F69" s="3"/>
      <c r="G69" s="2"/>
      <c r="H69" s="3"/>
      <c r="I69" s="2"/>
      <c r="J69" s="3"/>
      <c r="K69" s="2"/>
      <c r="L69" s="3"/>
      <c r="M69" s="2"/>
      <c r="N69" s="3"/>
      <c r="O69" s="2"/>
      <c r="P69" s="3"/>
      <c r="Q69" s="2"/>
      <c r="R69" s="3"/>
      <c r="S69" s="2"/>
      <c r="T69" s="3"/>
      <c r="U69" s="2"/>
      <c r="V69" s="3"/>
      <c r="W69" s="2"/>
      <c r="X69" s="3"/>
      <c r="Y69" s="2"/>
      <c r="Z69" s="3"/>
    </row>
    <row r="70">
      <c r="A70" s="1"/>
      <c r="B70" s="1"/>
      <c r="C70" s="2"/>
      <c r="D70" s="3"/>
      <c r="E70" s="2"/>
      <c r="F70" s="3"/>
      <c r="G70" s="2"/>
      <c r="H70" s="3"/>
      <c r="I70" s="2"/>
      <c r="J70" s="3"/>
      <c r="K70" s="2"/>
      <c r="L70" s="3"/>
      <c r="M70" s="2"/>
      <c r="N70" s="3"/>
      <c r="O70" s="2"/>
      <c r="P70" s="3"/>
      <c r="Q70" s="2"/>
      <c r="R70" s="3"/>
      <c r="S70" s="2"/>
      <c r="T70" s="3"/>
      <c r="U70" s="2"/>
      <c r="V70" s="3"/>
      <c r="W70" s="2"/>
      <c r="X70" s="3"/>
      <c r="Y70" s="2"/>
      <c r="Z70" s="3"/>
    </row>
    <row r="71">
      <c r="A71" s="1"/>
      <c r="B71" s="1"/>
      <c r="C71" s="2"/>
      <c r="D71" s="3"/>
      <c r="E71" s="2"/>
      <c r="F71" s="3"/>
      <c r="G71" s="2"/>
      <c r="H71" s="3"/>
      <c r="I71" s="2"/>
      <c r="J71" s="3"/>
      <c r="K71" s="2"/>
      <c r="L71" s="3"/>
      <c r="M71" s="2"/>
      <c r="N71" s="3"/>
      <c r="O71" s="2"/>
      <c r="P71" s="3"/>
      <c r="Q71" s="2"/>
      <c r="R71" s="3"/>
      <c r="S71" s="2"/>
      <c r="T71" s="3"/>
      <c r="U71" s="2"/>
      <c r="V71" s="3"/>
      <c r="W71" s="2"/>
      <c r="X71" s="3"/>
      <c r="Y71" s="2"/>
      <c r="Z71" s="3"/>
    </row>
    <row r="72">
      <c r="A72" s="1"/>
      <c r="B72" s="1"/>
      <c r="C72" s="2"/>
      <c r="D72" s="3"/>
      <c r="E72" s="2"/>
      <c r="F72" s="3"/>
      <c r="G72" s="2"/>
      <c r="H72" s="3"/>
      <c r="I72" s="2"/>
      <c r="J72" s="3"/>
      <c r="K72" s="2"/>
      <c r="L72" s="3"/>
      <c r="M72" s="2"/>
      <c r="N72" s="3"/>
      <c r="O72" s="2"/>
      <c r="P72" s="3"/>
      <c r="Q72" s="2"/>
      <c r="R72" s="3"/>
      <c r="S72" s="2"/>
      <c r="T72" s="3"/>
      <c r="U72" s="2"/>
      <c r="V72" s="3"/>
      <c r="W72" s="2"/>
      <c r="X72" s="3"/>
      <c r="Y72" s="2"/>
      <c r="Z72" s="3"/>
    </row>
    <row r="73">
      <c r="A73" s="1"/>
      <c r="B73" s="1"/>
      <c r="C73" s="2"/>
      <c r="D73" s="3"/>
      <c r="E73" s="2"/>
      <c r="F73" s="3"/>
      <c r="G73" s="2"/>
      <c r="H73" s="3"/>
      <c r="I73" s="2"/>
      <c r="J73" s="3"/>
      <c r="K73" s="2"/>
      <c r="L73" s="3"/>
      <c r="M73" s="2"/>
      <c r="N73" s="3"/>
      <c r="O73" s="2"/>
      <c r="P73" s="3"/>
      <c r="Q73" s="2"/>
      <c r="R73" s="3"/>
      <c r="S73" s="2"/>
      <c r="T73" s="3"/>
      <c r="U73" s="2"/>
      <c r="V73" s="3"/>
      <c r="W73" s="2"/>
      <c r="X73" s="3"/>
      <c r="Y73" s="2"/>
      <c r="Z73" s="3"/>
    </row>
    <row r="74">
      <c r="A74" s="1"/>
      <c r="B74" s="1"/>
      <c r="C74" s="2"/>
      <c r="D74" s="3"/>
      <c r="E74" s="2"/>
      <c r="F74" s="3"/>
      <c r="G74" s="2"/>
      <c r="H74" s="3"/>
      <c r="I74" s="2"/>
      <c r="J74" s="3"/>
      <c r="K74" s="2"/>
      <c r="L74" s="3"/>
      <c r="M74" s="2"/>
      <c r="N74" s="3"/>
      <c r="O74" s="2"/>
      <c r="P74" s="3"/>
      <c r="Q74" s="2"/>
      <c r="R74" s="3"/>
      <c r="S74" s="2"/>
      <c r="T74" s="3"/>
      <c r="U74" s="2"/>
      <c r="V74" s="3"/>
      <c r="W74" s="2"/>
      <c r="X74" s="3"/>
      <c r="Y74" s="2"/>
      <c r="Z74" s="3"/>
    </row>
    <row r="75">
      <c r="A75" s="1"/>
      <c r="B75" s="1"/>
      <c r="C75" s="2"/>
      <c r="D75" s="3"/>
      <c r="E75" s="2"/>
      <c r="F75" s="3"/>
      <c r="G75" s="2"/>
      <c r="H75" s="3"/>
      <c r="I75" s="2"/>
      <c r="J75" s="3"/>
      <c r="K75" s="2"/>
      <c r="L75" s="3"/>
      <c r="M75" s="2"/>
      <c r="N75" s="3"/>
      <c r="O75" s="2"/>
      <c r="P75" s="3"/>
      <c r="Q75" s="2"/>
      <c r="R75" s="3"/>
      <c r="S75" s="2"/>
      <c r="T75" s="3"/>
      <c r="U75" s="2"/>
      <c r="V75" s="3"/>
      <c r="W75" s="2"/>
      <c r="X75" s="3"/>
      <c r="Y75" s="2"/>
      <c r="Z75" s="3"/>
    </row>
    <row r="76">
      <c r="A76" s="1"/>
      <c r="B76" s="1"/>
      <c r="C76" s="2"/>
      <c r="D76" s="3"/>
      <c r="E76" s="2"/>
      <c r="F76" s="3"/>
      <c r="G76" s="2"/>
      <c r="H76" s="3"/>
      <c r="I76" s="2"/>
      <c r="J76" s="3"/>
      <c r="K76" s="2"/>
      <c r="L76" s="3"/>
      <c r="M76" s="2"/>
      <c r="N76" s="3"/>
      <c r="O76" s="2"/>
      <c r="P76" s="3"/>
      <c r="Q76" s="2"/>
      <c r="R76" s="3"/>
      <c r="S76" s="2"/>
      <c r="T76" s="3"/>
      <c r="U76" s="2"/>
      <c r="V76" s="3"/>
      <c r="W76" s="2"/>
      <c r="X76" s="3"/>
      <c r="Y76" s="2"/>
      <c r="Z76" s="3"/>
    </row>
    <row r="77">
      <c r="A77" s="1"/>
      <c r="B77" s="1"/>
      <c r="C77" s="2"/>
      <c r="D77" s="3"/>
      <c r="E77" s="2"/>
      <c r="F77" s="3"/>
      <c r="G77" s="2"/>
      <c r="H77" s="3"/>
      <c r="I77" s="2"/>
      <c r="J77" s="3"/>
      <c r="K77" s="2"/>
      <c r="L77" s="3"/>
      <c r="M77" s="2"/>
      <c r="N77" s="3"/>
      <c r="O77" s="2"/>
      <c r="P77" s="3"/>
      <c r="Q77" s="2"/>
      <c r="R77" s="3"/>
      <c r="S77" s="2"/>
      <c r="T77" s="3"/>
      <c r="U77" s="2"/>
      <c r="V77" s="3"/>
      <c r="W77" s="2"/>
      <c r="X77" s="3"/>
      <c r="Y77" s="2"/>
      <c r="Z77" s="3"/>
    </row>
    <row r="78">
      <c r="A78" s="1"/>
      <c r="B78" s="1"/>
      <c r="C78" s="2"/>
      <c r="D78" s="3"/>
      <c r="E78" s="2"/>
      <c r="F78" s="3"/>
      <c r="G78" s="2"/>
      <c r="H78" s="3"/>
      <c r="I78" s="2"/>
      <c r="J78" s="3"/>
      <c r="K78" s="2"/>
      <c r="L78" s="3"/>
      <c r="M78" s="2"/>
      <c r="N78" s="3"/>
      <c r="O78" s="2"/>
      <c r="P78" s="3"/>
      <c r="Q78" s="2"/>
      <c r="R78" s="3"/>
      <c r="S78" s="2"/>
      <c r="T78" s="3"/>
      <c r="U78" s="2"/>
      <c r="V78" s="3"/>
      <c r="W78" s="2"/>
      <c r="X78" s="3"/>
      <c r="Y78" s="2"/>
      <c r="Z78" s="3"/>
    </row>
    <row r="79">
      <c r="A79" s="1"/>
      <c r="B79" s="1"/>
      <c r="C79" s="2"/>
      <c r="D79" s="3"/>
      <c r="E79" s="2"/>
      <c r="F79" s="3"/>
      <c r="G79" s="2"/>
      <c r="H79" s="3"/>
      <c r="I79" s="2"/>
      <c r="J79" s="3"/>
      <c r="K79" s="2"/>
      <c r="L79" s="3"/>
      <c r="M79" s="2"/>
      <c r="N79" s="3"/>
      <c r="O79" s="2"/>
      <c r="P79" s="3"/>
      <c r="Q79" s="2"/>
      <c r="R79" s="3"/>
      <c r="S79" s="2"/>
      <c r="T79" s="3"/>
      <c r="U79" s="2"/>
      <c r="V79" s="3"/>
      <c r="W79" s="2"/>
      <c r="X79" s="3"/>
      <c r="Y79" s="2"/>
      <c r="Z79" s="3"/>
    </row>
    <row r="80">
      <c r="A80" s="1"/>
      <c r="B80" s="1"/>
      <c r="C80" s="2"/>
      <c r="D80" s="3"/>
      <c r="E80" s="2"/>
      <c r="F80" s="3"/>
      <c r="G80" s="2"/>
      <c r="H80" s="3"/>
      <c r="I80" s="2"/>
      <c r="J80" s="3"/>
      <c r="K80" s="2"/>
      <c r="L80" s="3"/>
      <c r="M80" s="2"/>
      <c r="N80" s="3"/>
      <c r="O80" s="2"/>
      <c r="P80" s="3"/>
      <c r="Q80" s="2"/>
      <c r="R80" s="3"/>
      <c r="S80" s="2"/>
      <c r="T80" s="3"/>
      <c r="U80" s="2"/>
      <c r="V80" s="3"/>
      <c r="W80" s="2"/>
      <c r="X80" s="3"/>
      <c r="Y80" s="2"/>
      <c r="Z80" s="3"/>
    </row>
    <row r="81">
      <c r="A81" s="1"/>
      <c r="B81" s="1"/>
      <c r="C81" s="2"/>
      <c r="D81" s="3"/>
      <c r="E81" s="2"/>
      <c r="F81" s="3"/>
      <c r="G81" s="2"/>
      <c r="H81" s="3"/>
      <c r="I81" s="2"/>
      <c r="J81" s="3"/>
      <c r="K81" s="2"/>
      <c r="L81" s="3"/>
      <c r="M81" s="2"/>
      <c r="N81" s="3"/>
      <c r="O81" s="2"/>
      <c r="P81" s="3"/>
      <c r="Q81" s="2"/>
      <c r="R81" s="3"/>
      <c r="S81" s="2"/>
      <c r="T81" s="3"/>
      <c r="U81" s="2"/>
      <c r="V81" s="3"/>
      <c r="W81" s="2"/>
      <c r="X81" s="3"/>
      <c r="Y81" s="2"/>
      <c r="Z81" s="3"/>
    </row>
    <row r="82">
      <c r="A82" s="1"/>
      <c r="B82" s="1"/>
      <c r="C82" s="2"/>
      <c r="D82" s="3"/>
      <c r="E82" s="2"/>
      <c r="F82" s="3"/>
      <c r="G82" s="2"/>
      <c r="H82" s="3"/>
      <c r="I82" s="2"/>
      <c r="J82" s="3"/>
      <c r="K82" s="2"/>
      <c r="L82" s="3"/>
      <c r="M82" s="2"/>
      <c r="N82" s="3"/>
      <c r="O82" s="2"/>
      <c r="P82" s="3"/>
      <c r="Q82" s="2"/>
      <c r="R82" s="3"/>
      <c r="S82" s="2"/>
      <c r="T82" s="3"/>
      <c r="U82" s="2"/>
      <c r="V82" s="3"/>
      <c r="W82" s="2"/>
      <c r="X82" s="3"/>
      <c r="Y82" s="2"/>
      <c r="Z82" s="3"/>
    </row>
    <row r="83">
      <c r="A83" s="1"/>
      <c r="B83" s="1"/>
      <c r="C83" s="2"/>
      <c r="D83" s="3"/>
      <c r="E83" s="2"/>
      <c r="F83" s="3"/>
      <c r="G83" s="2"/>
      <c r="H83" s="3"/>
      <c r="I83" s="2"/>
      <c r="J83" s="3"/>
      <c r="K83" s="2"/>
      <c r="L83" s="3"/>
      <c r="M83" s="2"/>
      <c r="N83" s="3"/>
      <c r="O83" s="2"/>
      <c r="P83" s="3"/>
      <c r="Q83" s="2"/>
      <c r="R83" s="3"/>
      <c r="S83" s="2"/>
      <c r="T83" s="3"/>
      <c r="U83" s="2"/>
      <c r="V83" s="3"/>
      <c r="W83" s="2"/>
      <c r="X83" s="3"/>
      <c r="Y83" s="2"/>
      <c r="Z83" s="3"/>
    </row>
    <row r="84">
      <c r="A84" s="1"/>
      <c r="B84" s="1"/>
      <c r="C84" s="2"/>
      <c r="D84" s="3"/>
      <c r="E84" s="2"/>
      <c r="F84" s="3"/>
      <c r="G84" s="2"/>
      <c r="H84" s="3"/>
      <c r="I84" s="2"/>
      <c r="J84" s="3"/>
      <c r="K84" s="2"/>
      <c r="L84" s="3"/>
      <c r="M84" s="2"/>
      <c r="N84" s="3"/>
      <c r="O84" s="2"/>
      <c r="P84" s="3"/>
      <c r="Q84" s="2"/>
      <c r="R84" s="3"/>
      <c r="S84" s="2"/>
      <c r="T84" s="3"/>
      <c r="U84" s="2"/>
      <c r="V84" s="3"/>
      <c r="W84" s="2"/>
      <c r="X84" s="3"/>
      <c r="Y84" s="2"/>
      <c r="Z84" s="3"/>
    </row>
    <row r="85">
      <c r="A85" s="1"/>
      <c r="B85" s="1"/>
      <c r="C85" s="2"/>
      <c r="D85" s="3"/>
      <c r="E85" s="2"/>
      <c r="F85" s="3"/>
      <c r="G85" s="2"/>
      <c r="H85" s="3"/>
      <c r="I85" s="2"/>
      <c r="J85" s="3"/>
      <c r="K85" s="2"/>
      <c r="L85" s="3"/>
      <c r="M85" s="2"/>
      <c r="N85" s="3"/>
      <c r="O85" s="2"/>
      <c r="P85" s="3"/>
      <c r="Q85" s="2"/>
      <c r="R85" s="3"/>
      <c r="S85" s="2"/>
      <c r="T85" s="3"/>
      <c r="U85" s="2"/>
      <c r="V85" s="3"/>
      <c r="W85" s="2"/>
      <c r="X85" s="3"/>
      <c r="Y85" s="2"/>
      <c r="Z85" s="3"/>
    </row>
    <row r="86">
      <c r="A86" s="1"/>
      <c r="B86" s="1"/>
      <c r="C86" s="2"/>
      <c r="D86" s="3"/>
      <c r="E86" s="2"/>
      <c r="F86" s="3"/>
      <c r="G86" s="2"/>
      <c r="H86" s="3"/>
      <c r="I86" s="2"/>
      <c r="J86" s="3"/>
      <c r="K86" s="2"/>
      <c r="L86" s="3"/>
      <c r="M86" s="2"/>
      <c r="N86" s="3"/>
      <c r="O86" s="2"/>
      <c r="P86" s="3"/>
      <c r="Q86" s="2"/>
      <c r="R86" s="3"/>
      <c r="S86" s="2"/>
      <c r="T86" s="3"/>
      <c r="U86" s="2"/>
      <c r="V86" s="3"/>
      <c r="W86" s="2"/>
      <c r="X86" s="3"/>
      <c r="Y86" s="2"/>
      <c r="Z86" s="3"/>
    </row>
    <row r="87">
      <c r="A87" s="1"/>
      <c r="B87" s="1"/>
      <c r="C87" s="2"/>
      <c r="D87" s="3"/>
      <c r="E87" s="2"/>
      <c r="F87" s="3"/>
      <c r="G87" s="2"/>
      <c r="H87" s="3"/>
      <c r="I87" s="2"/>
      <c r="J87" s="3"/>
      <c r="K87" s="2"/>
      <c r="L87" s="3"/>
      <c r="M87" s="2"/>
      <c r="N87" s="3"/>
      <c r="O87" s="2"/>
      <c r="P87" s="3"/>
      <c r="Q87" s="2"/>
      <c r="R87" s="3"/>
      <c r="S87" s="2"/>
      <c r="T87" s="3"/>
      <c r="U87" s="2"/>
      <c r="V87" s="3"/>
      <c r="W87" s="2"/>
      <c r="X87" s="3"/>
      <c r="Y87" s="2"/>
      <c r="Z87" s="3"/>
    </row>
    <row r="88">
      <c r="A88" s="1"/>
      <c r="B88" s="1"/>
      <c r="C88" s="2"/>
      <c r="D88" s="3"/>
      <c r="E88" s="2"/>
      <c r="F88" s="3"/>
      <c r="G88" s="2"/>
      <c r="H88" s="3"/>
      <c r="I88" s="2"/>
      <c r="J88" s="3"/>
      <c r="K88" s="2"/>
      <c r="L88" s="3"/>
      <c r="M88" s="2"/>
      <c r="N88" s="3"/>
      <c r="O88" s="2"/>
      <c r="P88" s="3"/>
      <c r="Q88" s="2"/>
      <c r="R88" s="3"/>
      <c r="S88" s="2"/>
      <c r="T88" s="3"/>
      <c r="U88" s="2"/>
      <c r="V88" s="3"/>
      <c r="W88" s="2"/>
      <c r="X88" s="3"/>
      <c r="Y88" s="2"/>
      <c r="Z88" s="3"/>
    </row>
    <row r="89">
      <c r="A89" s="1"/>
      <c r="B89" s="1"/>
      <c r="C89" s="2"/>
      <c r="D89" s="3"/>
      <c r="E89" s="2"/>
      <c r="F89" s="3"/>
      <c r="G89" s="2"/>
      <c r="H89" s="3"/>
      <c r="I89" s="2"/>
      <c r="J89" s="3"/>
      <c r="K89" s="2"/>
      <c r="L89" s="3"/>
      <c r="M89" s="2"/>
      <c r="N89" s="3"/>
      <c r="O89" s="2"/>
      <c r="P89" s="3"/>
      <c r="Q89" s="2"/>
      <c r="R89" s="3"/>
      <c r="S89" s="2"/>
      <c r="T89" s="3"/>
      <c r="U89" s="2"/>
      <c r="V89" s="3"/>
      <c r="W89" s="2"/>
      <c r="X89" s="3"/>
      <c r="Y89" s="2"/>
      <c r="Z89" s="3"/>
    </row>
    <row r="90">
      <c r="A90" s="1"/>
      <c r="B90" s="1"/>
      <c r="C90" s="2"/>
      <c r="D90" s="3"/>
      <c r="E90" s="2"/>
      <c r="F90" s="3"/>
      <c r="G90" s="2"/>
      <c r="H90" s="3"/>
      <c r="I90" s="2"/>
      <c r="J90" s="3"/>
      <c r="K90" s="2"/>
      <c r="L90" s="3"/>
      <c r="M90" s="2"/>
      <c r="N90" s="3"/>
      <c r="O90" s="2"/>
      <c r="P90" s="3"/>
      <c r="Q90" s="2"/>
      <c r="R90" s="3"/>
      <c r="S90" s="2"/>
      <c r="T90" s="3"/>
      <c r="U90" s="2"/>
      <c r="V90" s="3"/>
      <c r="W90" s="2"/>
      <c r="X90" s="3"/>
      <c r="Y90" s="2"/>
      <c r="Z90" s="3"/>
    </row>
    <row r="91">
      <c r="A91" s="1"/>
      <c r="B91" s="1"/>
      <c r="C91" s="2"/>
      <c r="D91" s="3"/>
      <c r="E91" s="2"/>
      <c r="F91" s="3"/>
      <c r="G91" s="2"/>
      <c r="H91" s="3"/>
      <c r="I91" s="2"/>
      <c r="J91" s="3"/>
      <c r="K91" s="2"/>
      <c r="L91" s="3"/>
      <c r="M91" s="2"/>
      <c r="N91" s="3"/>
      <c r="O91" s="2"/>
      <c r="P91" s="3"/>
      <c r="Q91" s="2"/>
      <c r="R91" s="3"/>
      <c r="S91" s="2"/>
      <c r="T91" s="3"/>
      <c r="U91" s="2"/>
      <c r="V91" s="3"/>
      <c r="W91" s="2"/>
      <c r="X91" s="3"/>
      <c r="Y91" s="2"/>
      <c r="Z91" s="3"/>
    </row>
    <row r="92">
      <c r="A92" s="1"/>
      <c r="B92" s="1"/>
      <c r="C92" s="2"/>
      <c r="D92" s="3"/>
      <c r="E92" s="2"/>
      <c r="F92" s="3"/>
      <c r="G92" s="2"/>
      <c r="H92" s="3"/>
      <c r="I92" s="2"/>
      <c r="J92" s="3"/>
      <c r="K92" s="2"/>
      <c r="L92" s="3"/>
      <c r="M92" s="2"/>
      <c r="N92" s="3"/>
      <c r="O92" s="2"/>
      <c r="P92" s="3"/>
      <c r="Q92" s="2"/>
      <c r="R92" s="3"/>
      <c r="S92" s="2"/>
      <c r="T92" s="3"/>
      <c r="U92" s="2"/>
      <c r="V92" s="3"/>
      <c r="W92" s="2"/>
      <c r="X92" s="3"/>
      <c r="Y92" s="2"/>
      <c r="Z92" s="3"/>
    </row>
    <row r="93">
      <c r="A93" s="1"/>
      <c r="B93" s="1"/>
      <c r="C93" s="2"/>
      <c r="D93" s="3"/>
      <c r="E93" s="2"/>
      <c r="F93" s="3"/>
      <c r="G93" s="2"/>
      <c r="H93" s="3"/>
      <c r="I93" s="2"/>
      <c r="J93" s="3"/>
      <c r="K93" s="2"/>
      <c r="L93" s="3"/>
      <c r="M93" s="2"/>
      <c r="N93" s="3"/>
      <c r="O93" s="2"/>
      <c r="P93" s="3"/>
      <c r="Q93" s="2"/>
      <c r="R93" s="3"/>
      <c r="S93" s="2"/>
      <c r="T93" s="3"/>
      <c r="U93" s="2"/>
      <c r="V93" s="3"/>
      <c r="W93" s="2"/>
      <c r="X93" s="3"/>
      <c r="Y93" s="2"/>
      <c r="Z93" s="3"/>
    </row>
    <row r="94">
      <c r="A94" s="1"/>
      <c r="B94" s="1"/>
      <c r="C94" s="2"/>
      <c r="D94" s="3"/>
      <c r="E94" s="2"/>
      <c r="F94" s="3"/>
      <c r="G94" s="2"/>
      <c r="H94" s="3"/>
      <c r="I94" s="2"/>
      <c r="J94" s="3"/>
      <c r="K94" s="2"/>
      <c r="L94" s="3"/>
      <c r="M94" s="2"/>
      <c r="N94" s="3"/>
      <c r="O94" s="2"/>
      <c r="P94" s="3"/>
      <c r="Q94" s="2"/>
      <c r="R94" s="3"/>
      <c r="S94" s="2"/>
      <c r="T94" s="3"/>
      <c r="U94" s="2"/>
      <c r="V94" s="3"/>
      <c r="W94" s="2"/>
      <c r="X94" s="3"/>
      <c r="Y94" s="2"/>
      <c r="Z94" s="3"/>
    </row>
    <row r="95">
      <c r="A95" s="1"/>
      <c r="B95" s="1"/>
      <c r="C95" s="2"/>
      <c r="D95" s="3"/>
      <c r="E95" s="2"/>
      <c r="F95" s="3"/>
      <c r="G95" s="2"/>
      <c r="H95" s="3"/>
      <c r="I95" s="2"/>
      <c r="J95" s="3"/>
      <c r="K95" s="2"/>
      <c r="L95" s="3"/>
      <c r="M95" s="2"/>
      <c r="N95" s="3"/>
      <c r="O95" s="2"/>
      <c r="P95" s="3"/>
      <c r="Q95" s="2"/>
      <c r="R95" s="3"/>
      <c r="S95" s="2"/>
      <c r="T95" s="3"/>
      <c r="U95" s="2"/>
      <c r="V95" s="3"/>
      <c r="W95" s="2"/>
      <c r="X95" s="3"/>
      <c r="Y95" s="2"/>
      <c r="Z95" s="3"/>
    </row>
    <row r="96">
      <c r="A96" s="1"/>
      <c r="B96" s="1"/>
      <c r="C96" s="2"/>
      <c r="D96" s="3"/>
      <c r="E96" s="2"/>
      <c r="F96" s="3"/>
      <c r="G96" s="2"/>
      <c r="H96" s="3"/>
      <c r="I96" s="2"/>
      <c r="J96" s="3"/>
      <c r="K96" s="2"/>
      <c r="L96" s="3"/>
      <c r="M96" s="2"/>
      <c r="N96" s="3"/>
      <c r="O96" s="2"/>
      <c r="P96" s="3"/>
      <c r="Q96" s="2"/>
      <c r="R96" s="3"/>
      <c r="S96" s="2"/>
      <c r="T96" s="3"/>
      <c r="U96" s="2"/>
      <c r="V96" s="3"/>
      <c r="W96" s="2"/>
      <c r="X96" s="3"/>
      <c r="Y96" s="2"/>
      <c r="Z96" s="3"/>
    </row>
    <row r="97">
      <c r="A97" s="1"/>
      <c r="B97" s="1"/>
      <c r="C97" s="2"/>
      <c r="D97" s="3"/>
      <c r="E97" s="2"/>
      <c r="F97" s="3"/>
      <c r="G97" s="2"/>
      <c r="H97" s="3"/>
      <c r="I97" s="2"/>
      <c r="J97" s="3"/>
      <c r="K97" s="2"/>
      <c r="L97" s="3"/>
      <c r="M97" s="2"/>
      <c r="N97" s="3"/>
      <c r="O97" s="2"/>
      <c r="P97" s="3"/>
      <c r="Q97" s="2"/>
      <c r="R97" s="3"/>
      <c r="S97" s="2"/>
      <c r="T97" s="3"/>
      <c r="U97" s="2"/>
      <c r="V97" s="3"/>
      <c r="W97" s="2"/>
      <c r="X97" s="3"/>
      <c r="Y97" s="2"/>
      <c r="Z97" s="3"/>
    </row>
    <row r="98">
      <c r="A98" s="1"/>
      <c r="B98" s="1"/>
      <c r="C98" s="2"/>
      <c r="D98" s="3"/>
      <c r="E98" s="2"/>
      <c r="F98" s="3"/>
      <c r="G98" s="2"/>
      <c r="H98" s="3"/>
      <c r="I98" s="2"/>
      <c r="J98" s="3"/>
      <c r="K98" s="2"/>
      <c r="L98" s="3"/>
      <c r="M98" s="2"/>
      <c r="N98" s="3"/>
      <c r="O98" s="2"/>
      <c r="P98" s="3"/>
      <c r="Q98" s="2"/>
      <c r="R98" s="3"/>
      <c r="S98" s="2"/>
      <c r="T98" s="3"/>
      <c r="U98" s="2"/>
      <c r="V98" s="3"/>
      <c r="W98" s="2"/>
      <c r="X98" s="3"/>
      <c r="Y98" s="2"/>
      <c r="Z98" s="3"/>
    </row>
    <row r="99">
      <c r="A99" s="1"/>
      <c r="B99" s="1"/>
      <c r="C99" s="2"/>
      <c r="D99" s="3"/>
      <c r="E99" s="2"/>
      <c r="F99" s="3"/>
      <c r="G99" s="2"/>
      <c r="H99" s="3"/>
      <c r="I99" s="2"/>
      <c r="J99" s="3"/>
      <c r="K99" s="2"/>
      <c r="L99" s="3"/>
      <c r="M99" s="2"/>
      <c r="N99" s="3"/>
      <c r="O99" s="2"/>
      <c r="P99" s="3"/>
      <c r="Q99" s="2"/>
      <c r="R99" s="3"/>
      <c r="S99" s="2"/>
      <c r="T99" s="3"/>
      <c r="U99" s="2"/>
      <c r="V99" s="3"/>
      <c r="W99" s="2"/>
      <c r="X99" s="3"/>
      <c r="Y99" s="2"/>
      <c r="Z99" s="3"/>
    </row>
    <row r="100">
      <c r="A100" s="1"/>
      <c r="B100" s="1"/>
      <c r="C100" s="2"/>
      <c r="D100" s="3"/>
      <c r="E100" s="2"/>
      <c r="F100" s="3"/>
      <c r="G100" s="2"/>
      <c r="H100" s="3"/>
      <c r="I100" s="2"/>
      <c r="J100" s="3"/>
      <c r="K100" s="2"/>
      <c r="L100" s="3"/>
      <c r="M100" s="2"/>
      <c r="N100" s="3"/>
      <c r="O100" s="2"/>
      <c r="P100" s="3"/>
      <c r="Q100" s="2"/>
      <c r="R100" s="3"/>
      <c r="S100" s="2"/>
      <c r="T100" s="3"/>
      <c r="U100" s="2"/>
      <c r="V100" s="3"/>
      <c r="W100" s="2"/>
      <c r="X100" s="3"/>
      <c r="Y100" s="2"/>
      <c r="Z100" s="3"/>
    </row>
    <row r="101">
      <c r="A101" s="1"/>
      <c r="B101" s="1"/>
      <c r="C101" s="2"/>
      <c r="D101" s="3"/>
      <c r="E101" s="2"/>
      <c r="F101" s="3"/>
      <c r="G101" s="2"/>
      <c r="H101" s="3"/>
      <c r="I101" s="2"/>
      <c r="J101" s="3"/>
      <c r="K101" s="2"/>
      <c r="L101" s="3"/>
      <c r="M101" s="2"/>
      <c r="N101" s="3"/>
      <c r="O101" s="2"/>
      <c r="P101" s="3"/>
      <c r="Q101" s="2"/>
      <c r="R101" s="3"/>
      <c r="S101" s="2"/>
      <c r="T101" s="3"/>
      <c r="U101" s="2"/>
      <c r="V101" s="3"/>
      <c r="W101" s="2"/>
      <c r="X101" s="3"/>
      <c r="Y101" s="2"/>
      <c r="Z101" s="3"/>
    </row>
    <row r="102">
      <c r="A102" s="1"/>
      <c r="B102" s="1"/>
      <c r="C102" s="2"/>
      <c r="D102" s="3"/>
      <c r="E102" s="2"/>
      <c r="F102" s="3"/>
      <c r="G102" s="2"/>
      <c r="H102" s="3"/>
      <c r="I102" s="2"/>
      <c r="J102" s="3"/>
      <c r="K102" s="2"/>
      <c r="L102" s="3"/>
      <c r="M102" s="2"/>
      <c r="N102" s="3"/>
      <c r="O102" s="2"/>
      <c r="P102" s="3"/>
      <c r="Q102" s="2"/>
      <c r="R102" s="3"/>
      <c r="S102" s="2"/>
      <c r="T102" s="3"/>
      <c r="U102" s="2"/>
      <c r="V102" s="3"/>
      <c r="W102" s="2"/>
      <c r="X102" s="3"/>
      <c r="Y102" s="2"/>
      <c r="Z102" s="3"/>
    </row>
    <row r="103">
      <c r="A103" s="1"/>
      <c r="B103" s="1"/>
      <c r="C103" s="2"/>
      <c r="D103" s="3"/>
      <c r="E103" s="2"/>
      <c r="F103" s="3"/>
      <c r="G103" s="2"/>
      <c r="H103" s="3"/>
      <c r="I103" s="2"/>
      <c r="J103" s="3"/>
      <c r="K103" s="2"/>
      <c r="L103" s="3"/>
      <c r="M103" s="2"/>
      <c r="N103" s="3"/>
      <c r="O103" s="2"/>
      <c r="P103" s="3"/>
      <c r="Q103" s="2"/>
      <c r="R103" s="3"/>
      <c r="S103" s="2"/>
      <c r="T103" s="3"/>
      <c r="U103" s="2"/>
      <c r="V103" s="3"/>
      <c r="W103" s="2"/>
      <c r="X103" s="3"/>
      <c r="Y103" s="2"/>
      <c r="Z103" s="3"/>
    </row>
    <row r="104">
      <c r="A104" s="1"/>
      <c r="B104" s="1"/>
      <c r="C104" s="2"/>
      <c r="D104" s="3"/>
      <c r="E104" s="2"/>
      <c r="F104" s="3"/>
      <c r="G104" s="2"/>
      <c r="H104" s="3"/>
      <c r="I104" s="2"/>
      <c r="J104" s="3"/>
      <c r="K104" s="2"/>
      <c r="L104" s="3"/>
      <c r="M104" s="2"/>
      <c r="N104" s="3"/>
      <c r="O104" s="2"/>
      <c r="P104" s="3"/>
      <c r="Q104" s="2"/>
      <c r="R104" s="3"/>
      <c r="S104" s="2"/>
      <c r="T104" s="3"/>
      <c r="U104" s="2"/>
      <c r="V104" s="3"/>
      <c r="W104" s="2"/>
      <c r="X104" s="3"/>
      <c r="Y104" s="2"/>
      <c r="Z104" s="3"/>
    </row>
    <row r="105">
      <c r="A105" s="1"/>
      <c r="B105" s="1"/>
      <c r="C105" s="2"/>
      <c r="D105" s="3"/>
      <c r="E105" s="2"/>
      <c r="F105" s="3"/>
      <c r="G105" s="2"/>
      <c r="H105" s="3"/>
      <c r="I105" s="2"/>
      <c r="J105" s="3"/>
      <c r="K105" s="2"/>
      <c r="L105" s="3"/>
      <c r="M105" s="2"/>
      <c r="N105" s="3"/>
      <c r="O105" s="2"/>
      <c r="P105" s="3"/>
      <c r="Q105" s="2"/>
      <c r="R105" s="3"/>
      <c r="S105" s="2"/>
      <c r="T105" s="3"/>
      <c r="U105" s="2"/>
      <c r="V105" s="3"/>
      <c r="W105" s="2"/>
      <c r="X105" s="3"/>
      <c r="Y105" s="2"/>
      <c r="Z105" s="3"/>
    </row>
    <row r="106">
      <c r="A106" s="1"/>
      <c r="B106" s="1"/>
      <c r="C106" s="2"/>
      <c r="D106" s="3"/>
      <c r="E106" s="2"/>
      <c r="F106" s="3"/>
      <c r="G106" s="2"/>
      <c r="H106" s="3"/>
      <c r="I106" s="2"/>
      <c r="J106" s="3"/>
      <c r="K106" s="2"/>
      <c r="L106" s="3"/>
      <c r="M106" s="2"/>
      <c r="N106" s="3"/>
      <c r="O106" s="2"/>
      <c r="P106" s="3"/>
      <c r="Q106" s="2"/>
      <c r="R106" s="3"/>
      <c r="S106" s="2"/>
      <c r="T106" s="3"/>
      <c r="U106" s="2"/>
      <c r="V106" s="3"/>
      <c r="W106" s="2"/>
      <c r="X106" s="3"/>
      <c r="Y106" s="2"/>
      <c r="Z106" s="3"/>
    </row>
    <row r="107">
      <c r="A107" s="1"/>
      <c r="B107" s="1"/>
      <c r="C107" s="2"/>
      <c r="D107" s="3"/>
      <c r="E107" s="2"/>
      <c r="F107" s="3"/>
      <c r="G107" s="2"/>
      <c r="H107" s="3"/>
      <c r="I107" s="2"/>
      <c r="J107" s="3"/>
      <c r="K107" s="2"/>
      <c r="L107" s="3"/>
      <c r="M107" s="2"/>
      <c r="N107" s="3"/>
      <c r="O107" s="2"/>
      <c r="P107" s="3"/>
      <c r="Q107" s="2"/>
      <c r="R107" s="3"/>
      <c r="S107" s="2"/>
      <c r="T107" s="3"/>
      <c r="U107" s="2"/>
      <c r="V107" s="3"/>
      <c r="W107" s="2"/>
      <c r="X107" s="3"/>
      <c r="Y107" s="2"/>
      <c r="Z107" s="3"/>
    </row>
    <row r="108">
      <c r="A108" s="1"/>
      <c r="B108" s="1"/>
      <c r="C108" s="2"/>
      <c r="D108" s="3"/>
      <c r="E108" s="2"/>
      <c r="F108" s="3"/>
      <c r="G108" s="2"/>
      <c r="H108" s="3"/>
      <c r="I108" s="2"/>
      <c r="J108" s="3"/>
      <c r="K108" s="2"/>
      <c r="L108" s="3"/>
      <c r="M108" s="2"/>
      <c r="N108" s="3"/>
      <c r="O108" s="2"/>
      <c r="P108" s="3"/>
      <c r="Q108" s="2"/>
      <c r="R108" s="3"/>
      <c r="S108" s="2"/>
      <c r="T108" s="3"/>
      <c r="U108" s="2"/>
      <c r="V108" s="3"/>
      <c r="W108" s="2"/>
      <c r="X108" s="3"/>
      <c r="Y108" s="2"/>
      <c r="Z108" s="3"/>
    </row>
    <row r="109">
      <c r="A109" s="1"/>
      <c r="B109" s="1"/>
      <c r="C109" s="2"/>
      <c r="D109" s="3"/>
      <c r="E109" s="2"/>
      <c r="F109" s="3"/>
      <c r="G109" s="2"/>
      <c r="H109" s="3"/>
      <c r="I109" s="2"/>
      <c r="J109" s="3"/>
      <c r="K109" s="2"/>
      <c r="L109" s="3"/>
      <c r="M109" s="2"/>
      <c r="N109" s="3"/>
      <c r="O109" s="2"/>
      <c r="P109" s="3"/>
      <c r="Q109" s="2"/>
      <c r="R109" s="3"/>
      <c r="S109" s="2"/>
      <c r="T109" s="3"/>
      <c r="U109" s="2"/>
      <c r="V109" s="3"/>
      <c r="W109" s="2"/>
      <c r="X109" s="3"/>
      <c r="Y109" s="2"/>
      <c r="Z109" s="3"/>
    </row>
    <row r="110">
      <c r="A110" s="1"/>
      <c r="B110" s="1"/>
      <c r="C110" s="2"/>
      <c r="D110" s="3"/>
      <c r="E110" s="2"/>
      <c r="F110" s="3"/>
      <c r="G110" s="2"/>
      <c r="H110" s="3"/>
      <c r="I110" s="2"/>
      <c r="J110" s="3"/>
      <c r="K110" s="2"/>
      <c r="L110" s="3"/>
      <c r="M110" s="2"/>
      <c r="N110" s="3"/>
      <c r="O110" s="2"/>
      <c r="P110" s="3"/>
      <c r="Q110" s="2"/>
      <c r="R110" s="3"/>
      <c r="S110" s="2"/>
      <c r="T110" s="3"/>
      <c r="U110" s="2"/>
      <c r="V110" s="3"/>
      <c r="W110" s="2"/>
      <c r="X110" s="3"/>
      <c r="Y110" s="2"/>
      <c r="Z110" s="3"/>
    </row>
    <row r="111">
      <c r="A111" s="1"/>
      <c r="B111" s="1"/>
      <c r="C111" s="2"/>
      <c r="D111" s="3"/>
      <c r="E111" s="2"/>
      <c r="F111" s="3"/>
      <c r="G111" s="2"/>
      <c r="H111" s="3"/>
      <c r="I111" s="2"/>
      <c r="J111" s="3"/>
      <c r="K111" s="2"/>
      <c r="L111" s="3"/>
      <c r="M111" s="2"/>
      <c r="N111" s="3"/>
      <c r="O111" s="2"/>
      <c r="P111" s="3"/>
      <c r="Q111" s="2"/>
      <c r="R111" s="3"/>
      <c r="S111" s="2"/>
      <c r="T111" s="3"/>
      <c r="U111" s="2"/>
      <c r="V111" s="3"/>
      <c r="W111" s="2"/>
      <c r="X111" s="3"/>
      <c r="Y111" s="2"/>
      <c r="Z111" s="3"/>
    </row>
    <row r="112">
      <c r="A112" s="1"/>
      <c r="B112" s="1"/>
      <c r="C112" s="2"/>
      <c r="D112" s="3"/>
      <c r="E112" s="2"/>
      <c r="F112" s="3"/>
      <c r="G112" s="2"/>
      <c r="H112" s="3"/>
      <c r="I112" s="2"/>
      <c r="J112" s="3"/>
      <c r="K112" s="2"/>
      <c r="L112" s="3"/>
      <c r="M112" s="2"/>
      <c r="N112" s="3"/>
      <c r="O112" s="2"/>
      <c r="P112" s="3"/>
      <c r="Q112" s="2"/>
      <c r="R112" s="3"/>
      <c r="S112" s="2"/>
      <c r="T112" s="3"/>
      <c r="U112" s="2"/>
      <c r="V112" s="3"/>
      <c r="W112" s="2"/>
      <c r="X112" s="3"/>
      <c r="Y112" s="2"/>
      <c r="Z112" s="3"/>
    </row>
    <row r="113">
      <c r="A113" s="1"/>
      <c r="B113" s="1"/>
      <c r="C113" s="2"/>
      <c r="D113" s="3"/>
      <c r="E113" s="2"/>
      <c r="F113" s="3"/>
      <c r="G113" s="2"/>
      <c r="H113" s="3"/>
      <c r="I113" s="2"/>
      <c r="J113" s="3"/>
      <c r="K113" s="2"/>
      <c r="L113" s="3"/>
      <c r="M113" s="2"/>
      <c r="N113" s="3"/>
      <c r="O113" s="2"/>
      <c r="P113" s="3"/>
      <c r="Q113" s="2"/>
      <c r="R113" s="3"/>
      <c r="S113" s="2"/>
      <c r="T113" s="3"/>
      <c r="U113" s="2"/>
      <c r="V113" s="3"/>
      <c r="W113" s="2"/>
      <c r="X113" s="3"/>
      <c r="Y113" s="2"/>
      <c r="Z113" s="3"/>
    </row>
    <row r="114">
      <c r="A114" s="1"/>
      <c r="B114" s="1"/>
      <c r="C114" s="2"/>
      <c r="D114" s="3"/>
      <c r="E114" s="2"/>
      <c r="F114" s="3"/>
      <c r="G114" s="2"/>
      <c r="H114" s="3"/>
      <c r="I114" s="2"/>
      <c r="J114" s="3"/>
      <c r="K114" s="2"/>
      <c r="L114" s="3"/>
      <c r="M114" s="2"/>
      <c r="N114" s="3"/>
      <c r="O114" s="2"/>
      <c r="P114" s="3"/>
      <c r="Q114" s="2"/>
      <c r="R114" s="3"/>
      <c r="S114" s="2"/>
      <c r="T114" s="3"/>
      <c r="U114" s="2"/>
      <c r="V114" s="3"/>
      <c r="W114" s="2"/>
      <c r="X114" s="3"/>
      <c r="Y114" s="2"/>
      <c r="Z114" s="3"/>
    </row>
    <row r="115">
      <c r="A115" s="1"/>
      <c r="B115" s="1"/>
      <c r="C115" s="2"/>
      <c r="D115" s="3"/>
      <c r="E115" s="2"/>
      <c r="F115" s="3"/>
      <c r="G115" s="2"/>
      <c r="H115" s="3"/>
      <c r="I115" s="2"/>
      <c r="J115" s="3"/>
      <c r="K115" s="2"/>
      <c r="L115" s="3"/>
      <c r="M115" s="2"/>
      <c r="N115" s="3"/>
      <c r="O115" s="2"/>
      <c r="P115" s="3"/>
      <c r="Q115" s="2"/>
      <c r="R115" s="3"/>
      <c r="S115" s="2"/>
      <c r="T115" s="3"/>
      <c r="U115" s="2"/>
      <c r="V115" s="3"/>
      <c r="W115" s="2"/>
      <c r="X115" s="3"/>
      <c r="Y115" s="2"/>
      <c r="Z115" s="3"/>
    </row>
    <row r="116">
      <c r="A116" s="1"/>
      <c r="B116" s="1"/>
      <c r="C116" s="2"/>
      <c r="D116" s="3"/>
      <c r="E116" s="2"/>
      <c r="F116" s="3"/>
      <c r="G116" s="2"/>
      <c r="H116" s="3"/>
      <c r="I116" s="2"/>
      <c r="J116" s="3"/>
      <c r="K116" s="2"/>
      <c r="L116" s="3"/>
      <c r="M116" s="2"/>
      <c r="N116" s="3"/>
      <c r="O116" s="2"/>
      <c r="P116" s="3"/>
      <c r="Q116" s="2"/>
      <c r="R116" s="3"/>
      <c r="S116" s="2"/>
      <c r="T116" s="3"/>
      <c r="U116" s="2"/>
      <c r="V116" s="3"/>
      <c r="W116" s="2"/>
      <c r="X116" s="3"/>
      <c r="Y116" s="2"/>
      <c r="Z116" s="3"/>
    </row>
    <row r="117">
      <c r="A117" s="1"/>
      <c r="B117" s="1"/>
      <c r="C117" s="2"/>
      <c r="D117" s="3"/>
      <c r="E117" s="2"/>
      <c r="F117" s="3"/>
      <c r="G117" s="2"/>
      <c r="H117" s="3"/>
      <c r="I117" s="2"/>
      <c r="J117" s="3"/>
      <c r="K117" s="2"/>
      <c r="L117" s="3"/>
      <c r="M117" s="2"/>
      <c r="N117" s="3"/>
      <c r="O117" s="2"/>
      <c r="P117" s="3"/>
      <c r="Q117" s="2"/>
      <c r="R117" s="3"/>
      <c r="S117" s="2"/>
      <c r="T117" s="3"/>
      <c r="U117" s="2"/>
      <c r="V117" s="3"/>
      <c r="W117" s="2"/>
      <c r="X117" s="3"/>
      <c r="Y117" s="2"/>
      <c r="Z117" s="3"/>
    </row>
    <row r="118">
      <c r="A118" s="1"/>
      <c r="B118" s="1"/>
      <c r="C118" s="2"/>
      <c r="D118" s="3"/>
      <c r="E118" s="2"/>
      <c r="F118" s="3"/>
      <c r="G118" s="2"/>
      <c r="H118" s="3"/>
      <c r="I118" s="2"/>
      <c r="J118" s="3"/>
      <c r="K118" s="2"/>
      <c r="L118" s="3"/>
      <c r="M118" s="2"/>
      <c r="N118" s="3"/>
      <c r="O118" s="2"/>
      <c r="P118" s="3"/>
      <c r="Q118" s="2"/>
      <c r="R118" s="3"/>
      <c r="S118" s="2"/>
      <c r="T118" s="3"/>
      <c r="U118" s="2"/>
      <c r="V118" s="3"/>
      <c r="W118" s="2"/>
      <c r="X118" s="3"/>
      <c r="Y118" s="2"/>
      <c r="Z118" s="3"/>
    </row>
    <row r="119">
      <c r="A119" s="1"/>
      <c r="B119" s="1"/>
      <c r="C119" s="2"/>
      <c r="D119" s="3"/>
      <c r="E119" s="2"/>
      <c r="F119" s="3"/>
      <c r="G119" s="2"/>
      <c r="H119" s="3"/>
      <c r="I119" s="2"/>
      <c r="J119" s="3"/>
      <c r="K119" s="2"/>
      <c r="L119" s="3"/>
      <c r="M119" s="2"/>
      <c r="N119" s="3"/>
      <c r="O119" s="2"/>
      <c r="P119" s="3"/>
      <c r="Q119" s="2"/>
      <c r="R119" s="3"/>
      <c r="S119" s="2"/>
      <c r="T119" s="3"/>
      <c r="U119" s="2"/>
      <c r="V119" s="3"/>
      <c r="W119" s="2"/>
      <c r="X119" s="3"/>
      <c r="Y119" s="2"/>
      <c r="Z119" s="3"/>
    </row>
    <row r="120">
      <c r="A120" s="1"/>
      <c r="B120" s="1"/>
      <c r="C120" s="2"/>
      <c r="D120" s="3"/>
      <c r="E120" s="2"/>
      <c r="F120" s="3"/>
      <c r="G120" s="2"/>
      <c r="H120" s="3"/>
      <c r="I120" s="2"/>
      <c r="J120" s="3"/>
      <c r="K120" s="2"/>
      <c r="L120" s="3"/>
      <c r="M120" s="2"/>
      <c r="N120" s="3"/>
      <c r="O120" s="2"/>
      <c r="P120" s="3"/>
      <c r="Q120" s="2"/>
      <c r="R120" s="3"/>
      <c r="S120" s="2"/>
      <c r="T120" s="3"/>
      <c r="U120" s="2"/>
      <c r="V120" s="3"/>
      <c r="W120" s="2"/>
      <c r="X120" s="3"/>
      <c r="Y120" s="2"/>
      <c r="Z120" s="3"/>
    </row>
    <row r="121">
      <c r="A121" s="1"/>
      <c r="B121" s="1"/>
      <c r="C121" s="2"/>
      <c r="D121" s="3"/>
      <c r="E121" s="2"/>
      <c r="F121" s="3"/>
      <c r="G121" s="2"/>
      <c r="H121" s="3"/>
      <c r="I121" s="2"/>
      <c r="J121" s="3"/>
      <c r="K121" s="2"/>
      <c r="L121" s="3"/>
      <c r="M121" s="2"/>
      <c r="N121" s="3"/>
      <c r="O121" s="2"/>
      <c r="P121" s="3"/>
      <c r="Q121" s="2"/>
      <c r="R121" s="3"/>
      <c r="S121" s="2"/>
      <c r="T121" s="3"/>
      <c r="U121" s="2"/>
      <c r="V121" s="3"/>
      <c r="W121" s="2"/>
      <c r="X121" s="3"/>
      <c r="Y121" s="2"/>
      <c r="Z121" s="3"/>
    </row>
    <row r="122">
      <c r="A122" s="1"/>
      <c r="B122" s="1"/>
      <c r="C122" s="2"/>
      <c r="D122" s="3"/>
      <c r="E122" s="2"/>
      <c r="F122" s="3"/>
      <c r="G122" s="2"/>
      <c r="H122" s="3"/>
      <c r="I122" s="2"/>
      <c r="J122" s="3"/>
      <c r="K122" s="2"/>
      <c r="L122" s="3"/>
      <c r="M122" s="2"/>
      <c r="N122" s="3"/>
      <c r="O122" s="2"/>
      <c r="P122" s="3"/>
      <c r="Q122" s="2"/>
      <c r="R122" s="3"/>
      <c r="S122" s="2"/>
      <c r="T122" s="3"/>
      <c r="U122" s="2"/>
      <c r="V122" s="3"/>
      <c r="W122" s="2"/>
      <c r="X122" s="3"/>
      <c r="Y122" s="2"/>
      <c r="Z122" s="3"/>
    </row>
    <row r="123">
      <c r="A123" s="1"/>
      <c r="B123" s="1"/>
      <c r="C123" s="2"/>
      <c r="D123" s="3"/>
      <c r="E123" s="2"/>
      <c r="F123" s="3"/>
      <c r="G123" s="2"/>
      <c r="H123" s="3"/>
      <c r="I123" s="2"/>
      <c r="J123" s="3"/>
      <c r="K123" s="2"/>
      <c r="L123" s="3"/>
      <c r="M123" s="2"/>
      <c r="N123" s="3"/>
      <c r="O123" s="2"/>
      <c r="P123" s="3"/>
      <c r="Q123" s="2"/>
      <c r="R123" s="3"/>
      <c r="S123" s="2"/>
      <c r="T123" s="3"/>
      <c r="U123" s="2"/>
      <c r="V123" s="3"/>
      <c r="W123" s="2"/>
      <c r="X123" s="3"/>
      <c r="Y123" s="2"/>
      <c r="Z123" s="3"/>
    </row>
    <row r="124">
      <c r="A124" s="1"/>
      <c r="B124" s="1"/>
      <c r="C124" s="2"/>
      <c r="D124" s="3"/>
      <c r="E124" s="2"/>
      <c r="F124" s="3"/>
      <c r="G124" s="2"/>
      <c r="H124" s="3"/>
      <c r="I124" s="2"/>
      <c r="J124" s="3"/>
      <c r="K124" s="2"/>
      <c r="L124" s="3"/>
      <c r="M124" s="2"/>
      <c r="N124" s="3"/>
      <c r="O124" s="2"/>
      <c r="P124" s="3"/>
      <c r="Q124" s="2"/>
      <c r="R124" s="3"/>
      <c r="S124" s="2"/>
      <c r="T124" s="3"/>
      <c r="U124" s="2"/>
      <c r="V124" s="3"/>
      <c r="W124" s="2"/>
      <c r="X124" s="3"/>
      <c r="Y124" s="2"/>
      <c r="Z124" s="3"/>
    </row>
    <row r="125">
      <c r="A125" s="1"/>
      <c r="B125" s="1"/>
      <c r="C125" s="2"/>
      <c r="D125" s="3"/>
      <c r="E125" s="2"/>
      <c r="F125" s="3"/>
      <c r="G125" s="2"/>
      <c r="H125" s="3"/>
      <c r="I125" s="2"/>
      <c r="J125" s="3"/>
      <c r="K125" s="2"/>
      <c r="L125" s="3"/>
      <c r="M125" s="2"/>
      <c r="N125" s="3"/>
      <c r="O125" s="2"/>
      <c r="P125" s="3"/>
      <c r="Q125" s="2"/>
      <c r="R125" s="3"/>
      <c r="S125" s="2"/>
      <c r="T125" s="3"/>
      <c r="U125" s="2"/>
      <c r="V125" s="3"/>
      <c r="W125" s="2"/>
      <c r="X125" s="3"/>
      <c r="Y125" s="2"/>
      <c r="Z125" s="3"/>
    </row>
    <row r="126">
      <c r="A126" s="1"/>
      <c r="B126" s="1"/>
      <c r="C126" s="2"/>
      <c r="D126" s="3"/>
      <c r="E126" s="2"/>
      <c r="F126" s="3"/>
      <c r="G126" s="2"/>
      <c r="H126" s="3"/>
      <c r="I126" s="2"/>
      <c r="J126" s="3"/>
      <c r="K126" s="2"/>
      <c r="L126" s="3"/>
      <c r="M126" s="2"/>
      <c r="N126" s="3"/>
      <c r="O126" s="2"/>
      <c r="P126" s="3"/>
      <c r="Q126" s="2"/>
      <c r="R126" s="3"/>
      <c r="S126" s="2"/>
      <c r="T126" s="3"/>
      <c r="U126" s="2"/>
      <c r="V126" s="3"/>
      <c r="W126" s="2"/>
      <c r="X126" s="3"/>
      <c r="Y126" s="2"/>
      <c r="Z126" s="3"/>
    </row>
    <row r="127">
      <c r="A127" s="1"/>
      <c r="B127" s="1"/>
      <c r="C127" s="2"/>
      <c r="D127" s="3"/>
      <c r="E127" s="2"/>
      <c r="F127" s="3"/>
      <c r="G127" s="2"/>
      <c r="H127" s="3"/>
      <c r="I127" s="2"/>
      <c r="J127" s="3"/>
      <c r="K127" s="2"/>
      <c r="L127" s="3"/>
      <c r="M127" s="2"/>
      <c r="N127" s="3"/>
      <c r="O127" s="2"/>
      <c r="P127" s="3"/>
      <c r="Q127" s="2"/>
      <c r="R127" s="3"/>
      <c r="S127" s="2"/>
      <c r="T127" s="3"/>
      <c r="U127" s="2"/>
      <c r="V127" s="3"/>
      <c r="W127" s="2"/>
      <c r="X127" s="3"/>
      <c r="Y127" s="2"/>
      <c r="Z127" s="3"/>
    </row>
    <row r="128">
      <c r="A128" s="1"/>
      <c r="B128" s="1"/>
      <c r="C128" s="2"/>
      <c r="D128" s="3"/>
      <c r="E128" s="2"/>
      <c r="F128" s="3"/>
      <c r="G128" s="2"/>
      <c r="H128" s="3"/>
      <c r="I128" s="2"/>
      <c r="J128" s="3"/>
      <c r="K128" s="2"/>
      <c r="L128" s="3"/>
      <c r="M128" s="2"/>
      <c r="N128" s="3"/>
      <c r="O128" s="2"/>
      <c r="P128" s="3"/>
      <c r="Q128" s="2"/>
      <c r="R128" s="3"/>
      <c r="S128" s="2"/>
      <c r="T128" s="3"/>
      <c r="U128" s="2"/>
      <c r="V128" s="3"/>
      <c r="W128" s="2"/>
      <c r="X128" s="3"/>
      <c r="Y128" s="2"/>
      <c r="Z128" s="3"/>
    </row>
    <row r="129">
      <c r="A129" s="1"/>
      <c r="B129" s="1"/>
      <c r="C129" s="2"/>
      <c r="D129" s="3"/>
      <c r="E129" s="2"/>
      <c r="F129" s="3"/>
      <c r="G129" s="2"/>
      <c r="H129" s="3"/>
      <c r="I129" s="2"/>
      <c r="J129" s="3"/>
      <c r="K129" s="2"/>
      <c r="L129" s="3"/>
      <c r="M129" s="2"/>
      <c r="N129" s="3"/>
      <c r="O129" s="2"/>
      <c r="P129" s="3"/>
      <c r="Q129" s="2"/>
      <c r="R129" s="3"/>
      <c r="S129" s="2"/>
      <c r="T129" s="3"/>
      <c r="U129" s="2"/>
      <c r="V129" s="3"/>
      <c r="W129" s="2"/>
      <c r="X129" s="3"/>
      <c r="Y129" s="2"/>
      <c r="Z129" s="3"/>
    </row>
    <row r="130">
      <c r="A130" s="1"/>
      <c r="B130" s="1"/>
      <c r="C130" s="2"/>
      <c r="D130" s="3"/>
      <c r="E130" s="2"/>
      <c r="F130" s="3"/>
      <c r="G130" s="2"/>
      <c r="H130" s="3"/>
      <c r="I130" s="2"/>
      <c r="J130" s="3"/>
      <c r="K130" s="2"/>
      <c r="L130" s="3"/>
      <c r="M130" s="2"/>
      <c r="N130" s="3"/>
      <c r="O130" s="2"/>
      <c r="P130" s="3"/>
      <c r="Q130" s="2"/>
      <c r="R130" s="3"/>
      <c r="S130" s="2"/>
      <c r="T130" s="3"/>
      <c r="U130" s="2"/>
      <c r="V130" s="3"/>
      <c r="W130" s="2"/>
      <c r="X130" s="3"/>
      <c r="Y130" s="2"/>
      <c r="Z130" s="3"/>
    </row>
    <row r="131">
      <c r="A131" s="1"/>
      <c r="B131" s="1"/>
      <c r="C131" s="2"/>
      <c r="D131" s="3"/>
      <c r="E131" s="2"/>
      <c r="F131" s="3"/>
      <c r="G131" s="2"/>
      <c r="H131" s="3"/>
      <c r="I131" s="2"/>
      <c r="J131" s="3"/>
      <c r="K131" s="2"/>
      <c r="L131" s="3"/>
      <c r="M131" s="2"/>
      <c r="N131" s="3"/>
      <c r="O131" s="2"/>
      <c r="P131" s="3"/>
      <c r="Q131" s="2"/>
      <c r="R131" s="3"/>
      <c r="S131" s="2"/>
      <c r="T131" s="3"/>
      <c r="U131" s="2"/>
      <c r="V131" s="3"/>
      <c r="W131" s="2"/>
      <c r="X131" s="3"/>
      <c r="Y131" s="2"/>
      <c r="Z131" s="3"/>
    </row>
    <row r="132">
      <c r="A132" s="1"/>
      <c r="B132" s="1"/>
      <c r="C132" s="2"/>
      <c r="D132" s="3"/>
      <c r="E132" s="2"/>
      <c r="F132" s="3"/>
      <c r="G132" s="2"/>
      <c r="H132" s="3"/>
      <c r="I132" s="2"/>
      <c r="J132" s="3"/>
      <c r="K132" s="2"/>
      <c r="L132" s="3"/>
      <c r="M132" s="2"/>
      <c r="N132" s="3"/>
      <c r="O132" s="2"/>
      <c r="P132" s="3"/>
      <c r="Q132" s="2"/>
      <c r="R132" s="3"/>
      <c r="S132" s="2"/>
      <c r="T132" s="3"/>
      <c r="U132" s="2"/>
      <c r="V132" s="3"/>
      <c r="W132" s="2"/>
      <c r="X132" s="3"/>
      <c r="Y132" s="2"/>
      <c r="Z132" s="3"/>
    </row>
    <row r="133">
      <c r="A133" s="1"/>
      <c r="B133" s="1"/>
      <c r="C133" s="2"/>
      <c r="D133" s="3"/>
      <c r="E133" s="2"/>
      <c r="F133" s="3"/>
      <c r="G133" s="2"/>
      <c r="H133" s="3"/>
      <c r="I133" s="2"/>
      <c r="J133" s="3"/>
      <c r="K133" s="2"/>
      <c r="L133" s="3"/>
      <c r="M133" s="2"/>
      <c r="N133" s="3"/>
      <c r="O133" s="2"/>
      <c r="P133" s="3"/>
      <c r="Q133" s="2"/>
      <c r="R133" s="3"/>
      <c r="S133" s="2"/>
      <c r="T133" s="3"/>
      <c r="U133" s="2"/>
      <c r="V133" s="3"/>
      <c r="W133" s="2"/>
      <c r="X133" s="3"/>
      <c r="Y133" s="2"/>
      <c r="Z133" s="3"/>
    </row>
    <row r="134">
      <c r="A134" s="1"/>
      <c r="B134" s="1"/>
      <c r="C134" s="2"/>
      <c r="D134" s="3"/>
      <c r="E134" s="2"/>
      <c r="F134" s="3"/>
      <c r="G134" s="2"/>
      <c r="H134" s="3"/>
      <c r="I134" s="2"/>
      <c r="J134" s="3"/>
      <c r="K134" s="2"/>
      <c r="L134" s="3"/>
      <c r="M134" s="2"/>
      <c r="N134" s="3"/>
      <c r="O134" s="2"/>
      <c r="P134" s="3"/>
      <c r="Q134" s="2"/>
      <c r="R134" s="3"/>
      <c r="S134" s="2"/>
      <c r="T134" s="3"/>
      <c r="U134" s="2"/>
      <c r="V134" s="3"/>
      <c r="W134" s="2"/>
      <c r="X134" s="3"/>
      <c r="Y134" s="2"/>
      <c r="Z134" s="3"/>
    </row>
    <row r="135">
      <c r="A135" s="1"/>
      <c r="B135" s="1"/>
      <c r="C135" s="2"/>
      <c r="D135" s="3"/>
      <c r="E135" s="2"/>
      <c r="F135" s="3"/>
      <c r="G135" s="2"/>
      <c r="H135" s="3"/>
      <c r="I135" s="2"/>
      <c r="J135" s="3"/>
      <c r="K135" s="2"/>
      <c r="L135" s="3"/>
      <c r="M135" s="2"/>
      <c r="N135" s="3"/>
      <c r="O135" s="2"/>
      <c r="P135" s="3"/>
      <c r="Q135" s="2"/>
      <c r="R135" s="3"/>
      <c r="S135" s="2"/>
      <c r="T135" s="3"/>
      <c r="U135" s="2"/>
      <c r="V135" s="3"/>
      <c r="W135" s="2"/>
      <c r="X135" s="3"/>
      <c r="Y135" s="2"/>
      <c r="Z135" s="3"/>
    </row>
    <row r="136">
      <c r="A136" s="1"/>
      <c r="B136" s="1"/>
      <c r="C136" s="2"/>
      <c r="D136" s="3"/>
      <c r="E136" s="2"/>
      <c r="F136" s="3"/>
      <c r="G136" s="2"/>
      <c r="H136" s="3"/>
      <c r="I136" s="2"/>
      <c r="J136" s="3"/>
      <c r="K136" s="2"/>
      <c r="L136" s="3"/>
      <c r="M136" s="2"/>
      <c r="N136" s="3"/>
      <c r="O136" s="2"/>
      <c r="P136" s="3"/>
      <c r="Q136" s="2"/>
      <c r="R136" s="3"/>
      <c r="S136" s="2"/>
      <c r="T136" s="3"/>
      <c r="U136" s="2"/>
      <c r="V136" s="3"/>
      <c r="W136" s="2"/>
      <c r="X136" s="3"/>
      <c r="Y136" s="2"/>
      <c r="Z136" s="3"/>
    </row>
    <row r="137">
      <c r="A137" s="1"/>
      <c r="B137" s="1"/>
      <c r="C137" s="2"/>
      <c r="D137" s="3"/>
      <c r="E137" s="2"/>
      <c r="F137" s="3"/>
      <c r="G137" s="2"/>
      <c r="H137" s="3"/>
      <c r="I137" s="2"/>
      <c r="J137" s="3"/>
      <c r="K137" s="2"/>
      <c r="L137" s="3"/>
      <c r="M137" s="2"/>
      <c r="N137" s="3"/>
      <c r="O137" s="2"/>
      <c r="P137" s="3"/>
      <c r="Q137" s="2"/>
      <c r="R137" s="3"/>
      <c r="S137" s="2"/>
      <c r="T137" s="3"/>
      <c r="U137" s="2"/>
      <c r="V137" s="3"/>
      <c r="W137" s="2"/>
      <c r="X137" s="3"/>
      <c r="Y137" s="2"/>
      <c r="Z137" s="3"/>
    </row>
    <row r="138">
      <c r="A138" s="1"/>
      <c r="B138" s="1"/>
      <c r="C138" s="2"/>
      <c r="D138" s="3"/>
      <c r="E138" s="2"/>
      <c r="F138" s="3"/>
      <c r="G138" s="2"/>
      <c r="H138" s="3"/>
      <c r="I138" s="2"/>
      <c r="J138" s="3"/>
      <c r="K138" s="2"/>
      <c r="L138" s="3"/>
      <c r="M138" s="2"/>
      <c r="N138" s="3"/>
      <c r="O138" s="2"/>
      <c r="P138" s="3"/>
      <c r="Q138" s="2"/>
      <c r="R138" s="3"/>
      <c r="S138" s="2"/>
      <c r="T138" s="3"/>
      <c r="U138" s="2"/>
      <c r="V138" s="3"/>
      <c r="W138" s="2"/>
      <c r="X138" s="3"/>
      <c r="Y138" s="2"/>
      <c r="Z138" s="3"/>
    </row>
    <row r="139">
      <c r="A139" s="1"/>
      <c r="B139" s="1"/>
      <c r="C139" s="2"/>
      <c r="D139" s="3"/>
      <c r="E139" s="2"/>
      <c r="F139" s="3"/>
      <c r="G139" s="2"/>
      <c r="H139" s="3"/>
      <c r="I139" s="2"/>
      <c r="J139" s="3"/>
      <c r="K139" s="2"/>
      <c r="L139" s="3"/>
      <c r="M139" s="2"/>
      <c r="N139" s="3"/>
      <c r="O139" s="2"/>
      <c r="P139" s="3"/>
      <c r="Q139" s="2"/>
      <c r="R139" s="3"/>
      <c r="S139" s="2"/>
      <c r="T139" s="3"/>
      <c r="U139" s="2"/>
      <c r="V139" s="3"/>
      <c r="W139" s="2"/>
      <c r="X139" s="3"/>
      <c r="Y139" s="2"/>
      <c r="Z139" s="3"/>
    </row>
    <row r="140">
      <c r="A140" s="1"/>
      <c r="B140" s="1"/>
      <c r="C140" s="2"/>
      <c r="D140" s="3"/>
      <c r="E140" s="2"/>
      <c r="F140" s="3"/>
      <c r="G140" s="2"/>
      <c r="H140" s="3"/>
      <c r="I140" s="2"/>
      <c r="J140" s="3"/>
      <c r="K140" s="2"/>
      <c r="L140" s="3"/>
      <c r="M140" s="2"/>
      <c r="N140" s="3"/>
      <c r="O140" s="2"/>
      <c r="P140" s="3"/>
      <c r="Q140" s="2"/>
      <c r="R140" s="3"/>
      <c r="S140" s="2"/>
      <c r="T140" s="3"/>
      <c r="U140" s="2"/>
      <c r="V140" s="3"/>
      <c r="W140" s="2"/>
      <c r="X140" s="3"/>
      <c r="Y140" s="2"/>
      <c r="Z140" s="3"/>
    </row>
    <row r="141">
      <c r="A141" s="1"/>
      <c r="B141" s="1"/>
      <c r="C141" s="2"/>
      <c r="D141" s="3"/>
      <c r="E141" s="2"/>
      <c r="F141" s="3"/>
      <c r="G141" s="2"/>
      <c r="H141" s="3"/>
      <c r="I141" s="2"/>
      <c r="J141" s="3"/>
      <c r="K141" s="2"/>
      <c r="L141" s="3"/>
      <c r="M141" s="2"/>
      <c r="N141" s="3"/>
      <c r="O141" s="2"/>
      <c r="P141" s="3"/>
      <c r="Q141" s="2"/>
      <c r="R141" s="3"/>
      <c r="S141" s="2"/>
      <c r="T141" s="3"/>
      <c r="U141" s="2"/>
      <c r="V141" s="3"/>
      <c r="W141" s="2"/>
      <c r="X141" s="3"/>
      <c r="Y141" s="2"/>
      <c r="Z141" s="3"/>
    </row>
    <row r="142">
      <c r="A142" s="1"/>
      <c r="B142" s="1"/>
      <c r="C142" s="2"/>
      <c r="D142" s="3"/>
      <c r="E142" s="2"/>
      <c r="F142" s="3"/>
      <c r="G142" s="2"/>
      <c r="H142" s="3"/>
      <c r="I142" s="2"/>
      <c r="J142" s="3"/>
      <c r="K142" s="2"/>
      <c r="L142" s="3"/>
      <c r="M142" s="2"/>
      <c r="N142" s="3"/>
      <c r="O142" s="2"/>
      <c r="P142" s="3"/>
      <c r="Q142" s="2"/>
      <c r="R142" s="3"/>
      <c r="S142" s="2"/>
      <c r="T142" s="3"/>
      <c r="U142" s="2"/>
      <c r="V142" s="3"/>
      <c r="W142" s="2"/>
      <c r="X142" s="3"/>
      <c r="Y142" s="2"/>
      <c r="Z142" s="3"/>
    </row>
    <row r="143">
      <c r="A143" s="1"/>
      <c r="B143" s="1"/>
      <c r="C143" s="2"/>
      <c r="D143" s="3"/>
      <c r="E143" s="2"/>
      <c r="F143" s="3"/>
      <c r="G143" s="2"/>
      <c r="H143" s="3"/>
      <c r="I143" s="2"/>
      <c r="J143" s="3"/>
      <c r="K143" s="2"/>
      <c r="L143" s="3"/>
      <c r="M143" s="2"/>
      <c r="N143" s="3"/>
      <c r="O143" s="2"/>
      <c r="P143" s="3"/>
      <c r="Q143" s="2"/>
      <c r="R143" s="3"/>
      <c r="S143" s="2"/>
      <c r="T143" s="3"/>
      <c r="U143" s="2"/>
      <c r="V143" s="3"/>
      <c r="W143" s="2"/>
      <c r="X143" s="3"/>
      <c r="Y143" s="2"/>
      <c r="Z143" s="3"/>
    </row>
    <row r="144">
      <c r="A144" s="1"/>
      <c r="B144" s="1"/>
      <c r="C144" s="2"/>
      <c r="D144" s="3"/>
      <c r="E144" s="2"/>
      <c r="F144" s="3"/>
      <c r="G144" s="2"/>
      <c r="H144" s="3"/>
      <c r="I144" s="2"/>
      <c r="J144" s="3"/>
      <c r="K144" s="2"/>
      <c r="L144" s="3"/>
      <c r="M144" s="2"/>
      <c r="N144" s="3"/>
      <c r="O144" s="2"/>
      <c r="P144" s="3"/>
      <c r="Q144" s="2"/>
      <c r="R144" s="3"/>
      <c r="S144" s="2"/>
      <c r="T144" s="3"/>
      <c r="U144" s="2"/>
      <c r="V144" s="3"/>
      <c r="W144" s="2"/>
      <c r="X144" s="3"/>
      <c r="Y144" s="2"/>
      <c r="Z144" s="3"/>
    </row>
    <row r="145">
      <c r="A145" s="1"/>
      <c r="B145" s="1"/>
      <c r="C145" s="2"/>
      <c r="D145" s="3"/>
      <c r="E145" s="2"/>
      <c r="F145" s="3"/>
      <c r="G145" s="2"/>
      <c r="H145" s="3"/>
      <c r="I145" s="2"/>
      <c r="J145" s="3"/>
      <c r="K145" s="2"/>
      <c r="L145" s="3"/>
      <c r="M145" s="2"/>
      <c r="N145" s="3"/>
      <c r="O145" s="2"/>
      <c r="P145" s="3"/>
      <c r="Q145" s="2"/>
      <c r="R145" s="3"/>
      <c r="S145" s="2"/>
      <c r="T145" s="3"/>
      <c r="U145" s="2"/>
      <c r="V145" s="3"/>
      <c r="W145" s="2"/>
      <c r="X145" s="3"/>
      <c r="Y145" s="2"/>
      <c r="Z145" s="3"/>
    </row>
    <row r="146">
      <c r="A146" s="1"/>
      <c r="B146" s="1"/>
      <c r="C146" s="2"/>
      <c r="D146" s="3"/>
      <c r="E146" s="2"/>
      <c r="F146" s="3"/>
      <c r="G146" s="2"/>
      <c r="H146" s="3"/>
      <c r="I146" s="2"/>
      <c r="J146" s="3"/>
      <c r="K146" s="2"/>
      <c r="L146" s="3"/>
      <c r="M146" s="2"/>
      <c r="N146" s="3"/>
      <c r="O146" s="2"/>
      <c r="P146" s="3"/>
      <c r="Q146" s="2"/>
      <c r="R146" s="3"/>
      <c r="S146" s="2"/>
      <c r="T146" s="3"/>
      <c r="U146" s="2"/>
      <c r="V146" s="3"/>
      <c r="W146" s="2"/>
      <c r="X146" s="3"/>
      <c r="Y146" s="2"/>
      <c r="Z146" s="3"/>
    </row>
    <row r="147">
      <c r="A147" s="1"/>
      <c r="B147" s="1"/>
      <c r="C147" s="2"/>
      <c r="D147" s="3"/>
      <c r="E147" s="2"/>
      <c r="F147" s="3"/>
      <c r="G147" s="2"/>
      <c r="H147" s="3"/>
      <c r="I147" s="2"/>
      <c r="J147" s="3"/>
      <c r="K147" s="2"/>
      <c r="L147" s="3"/>
      <c r="M147" s="2"/>
      <c r="N147" s="3"/>
      <c r="O147" s="2"/>
      <c r="P147" s="3"/>
      <c r="Q147" s="2"/>
      <c r="R147" s="3"/>
      <c r="S147" s="2"/>
      <c r="T147" s="3"/>
      <c r="U147" s="2"/>
      <c r="V147" s="3"/>
      <c r="W147" s="2"/>
      <c r="X147" s="3"/>
      <c r="Y147" s="2"/>
      <c r="Z147" s="3"/>
    </row>
    <row r="148">
      <c r="A148" s="1"/>
      <c r="B148" s="1"/>
      <c r="C148" s="2"/>
      <c r="D148" s="3"/>
      <c r="E148" s="2"/>
      <c r="F148" s="3"/>
      <c r="G148" s="2"/>
      <c r="H148" s="3"/>
      <c r="I148" s="2"/>
      <c r="J148" s="3"/>
      <c r="K148" s="2"/>
      <c r="L148" s="3"/>
      <c r="M148" s="2"/>
      <c r="N148" s="3"/>
      <c r="O148" s="2"/>
      <c r="P148" s="3"/>
      <c r="Q148" s="2"/>
      <c r="R148" s="3"/>
      <c r="S148" s="2"/>
      <c r="T148" s="3"/>
      <c r="U148" s="2"/>
      <c r="V148" s="3"/>
      <c r="W148" s="2"/>
      <c r="X148" s="3"/>
      <c r="Y148" s="2"/>
      <c r="Z148" s="3"/>
    </row>
    <row r="149">
      <c r="A149" s="1"/>
      <c r="B149" s="1"/>
      <c r="C149" s="2"/>
      <c r="D149" s="3"/>
      <c r="E149" s="2"/>
      <c r="F149" s="3"/>
      <c r="G149" s="2"/>
      <c r="H149" s="3"/>
      <c r="I149" s="2"/>
      <c r="J149" s="3"/>
      <c r="K149" s="2"/>
      <c r="L149" s="3"/>
      <c r="M149" s="2"/>
      <c r="N149" s="3"/>
      <c r="O149" s="2"/>
      <c r="P149" s="3"/>
      <c r="Q149" s="2"/>
      <c r="R149" s="3"/>
      <c r="S149" s="2"/>
      <c r="T149" s="3"/>
      <c r="U149" s="2"/>
      <c r="V149" s="3"/>
      <c r="W149" s="2"/>
      <c r="X149" s="3"/>
      <c r="Y149" s="2"/>
      <c r="Z149" s="3"/>
    </row>
    <row r="150">
      <c r="A150" s="1"/>
      <c r="B150" s="1"/>
      <c r="C150" s="2"/>
      <c r="D150" s="3"/>
      <c r="E150" s="2"/>
      <c r="F150" s="3"/>
      <c r="G150" s="2"/>
      <c r="H150" s="3"/>
      <c r="I150" s="2"/>
      <c r="J150" s="3"/>
      <c r="K150" s="2"/>
      <c r="L150" s="3"/>
      <c r="M150" s="2"/>
      <c r="N150" s="3"/>
      <c r="O150" s="2"/>
      <c r="P150" s="3"/>
      <c r="Q150" s="2"/>
      <c r="R150" s="3"/>
      <c r="S150" s="2"/>
      <c r="T150" s="3"/>
      <c r="U150" s="2"/>
      <c r="V150" s="3"/>
      <c r="W150" s="2"/>
      <c r="X150" s="3"/>
      <c r="Y150" s="2"/>
      <c r="Z150" s="3"/>
    </row>
    <row r="151">
      <c r="A151" s="1"/>
      <c r="B151" s="1"/>
      <c r="C151" s="2"/>
      <c r="D151" s="3"/>
      <c r="E151" s="2"/>
      <c r="F151" s="3"/>
      <c r="G151" s="2"/>
      <c r="H151" s="3"/>
      <c r="I151" s="2"/>
      <c r="J151" s="3"/>
      <c r="K151" s="2"/>
      <c r="L151" s="3"/>
      <c r="M151" s="2"/>
      <c r="N151" s="3"/>
      <c r="O151" s="2"/>
      <c r="P151" s="3"/>
      <c r="Q151" s="2"/>
      <c r="R151" s="3"/>
      <c r="S151" s="2"/>
      <c r="T151" s="3"/>
      <c r="U151" s="2"/>
      <c r="V151" s="3"/>
      <c r="W151" s="2"/>
      <c r="X151" s="3"/>
      <c r="Y151" s="2"/>
      <c r="Z151" s="3"/>
    </row>
    <row r="152">
      <c r="A152" s="1"/>
      <c r="B152" s="1"/>
      <c r="C152" s="2"/>
      <c r="D152" s="3"/>
      <c r="E152" s="2"/>
      <c r="F152" s="3"/>
      <c r="G152" s="2"/>
      <c r="H152" s="3"/>
      <c r="I152" s="2"/>
      <c r="J152" s="3"/>
      <c r="K152" s="2"/>
      <c r="L152" s="3"/>
      <c r="M152" s="2"/>
      <c r="N152" s="3"/>
      <c r="O152" s="2"/>
      <c r="P152" s="3"/>
      <c r="Q152" s="2"/>
      <c r="R152" s="3"/>
      <c r="S152" s="2"/>
      <c r="T152" s="3"/>
      <c r="U152" s="2"/>
      <c r="V152" s="3"/>
      <c r="W152" s="2"/>
      <c r="X152" s="3"/>
      <c r="Y152" s="2"/>
      <c r="Z152" s="3"/>
    </row>
    <row r="153">
      <c r="A153" s="1"/>
      <c r="B153" s="1"/>
      <c r="C153" s="2"/>
      <c r="D153" s="3"/>
      <c r="E153" s="2"/>
      <c r="F153" s="3"/>
      <c r="G153" s="2"/>
      <c r="H153" s="3"/>
      <c r="I153" s="2"/>
      <c r="J153" s="3"/>
      <c r="K153" s="2"/>
      <c r="L153" s="3"/>
      <c r="M153" s="2"/>
      <c r="N153" s="3"/>
      <c r="O153" s="2"/>
      <c r="P153" s="3"/>
      <c r="Q153" s="2"/>
      <c r="R153" s="3"/>
      <c r="S153" s="2"/>
      <c r="T153" s="3"/>
      <c r="U153" s="2"/>
      <c r="V153" s="3"/>
      <c r="W153" s="2"/>
      <c r="X153" s="3"/>
      <c r="Y153" s="2"/>
      <c r="Z153" s="3"/>
    </row>
    <row r="154">
      <c r="A154" s="1"/>
      <c r="B154" s="1"/>
      <c r="C154" s="2"/>
      <c r="D154" s="3"/>
      <c r="E154" s="2"/>
      <c r="F154" s="3"/>
      <c r="G154" s="2"/>
      <c r="H154" s="3"/>
      <c r="I154" s="2"/>
      <c r="J154" s="3"/>
      <c r="K154" s="2"/>
      <c r="L154" s="3"/>
      <c r="M154" s="2"/>
      <c r="N154" s="3"/>
      <c r="O154" s="2"/>
      <c r="P154" s="3"/>
      <c r="Q154" s="2"/>
      <c r="R154" s="3"/>
      <c r="S154" s="2"/>
      <c r="T154" s="3"/>
      <c r="U154" s="2"/>
      <c r="V154" s="3"/>
      <c r="W154" s="2"/>
      <c r="X154" s="3"/>
      <c r="Y154" s="2"/>
      <c r="Z154" s="3"/>
    </row>
    <row r="155">
      <c r="A155" s="1"/>
      <c r="B155" s="1"/>
      <c r="C155" s="2"/>
      <c r="D155" s="3"/>
      <c r="E155" s="2"/>
      <c r="F155" s="3"/>
      <c r="G155" s="2"/>
      <c r="H155" s="3"/>
      <c r="I155" s="2"/>
      <c r="J155" s="3"/>
      <c r="K155" s="2"/>
      <c r="L155" s="3"/>
      <c r="M155" s="2"/>
      <c r="N155" s="3"/>
      <c r="O155" s="2"/>
      <c r="P155" s="3"/>
      <c r="Q155" s="2"/>
      <c r="R155" s="3"/>
      <c r="S155" s="2"/>
      <c r="T155" s="3"/>
      <c r="U155" s="2"/>
      <c r="V155" s="3"/>
      <c r="W155" s="2"/>
      <c r="X155" s="3"/>
      <c r="Y155" s="2"/>
      <c r="Z155" s="3"/>
    </row>
    <row r="156">
      <c r="A156" s="1"/>
      <c r="B156" s="1"/>
      <c r="C156" s="2"/>
      <c r="D156" s="3"/>
      <c r="E156" s="2"/>
      <c r="F156" s="3"/>
      <c r="G156" s="2"/>
      <c r="H156" s="3"/>
      <c r="I156" s="2"/>
      <c r="J156" s="3"/>
      <c r="K156" s="2"/>
      <c r="L156" s="3"/>
      <c r="M156" s="2"/>
      <c r="N156" s="3"/>
      <c r="O156" s="2"/>
      <c r="P156" s="3"/>
      <c r="Q156" s="2"/>
      <c r="R156" s="3"/>
      <c r="S156" s="2"/>
      <c r="T156" s="3"/>
      <c r="U156" s="2"/>
      <c r="V156" s="3"/>
      <c r="W156" s="2"/>
      <c r="X156" s="3"/>
      <c r="Y156" s="2"/>
      <c r="Z156" s="3"/>
    </row>
    <row r="157">
      <c r="A157" s="1"/>
      <c r="B157" s="1"/>
      <c r="C157" s="2"/>
      <c r="D157" s="3"/>
      <c r="E157" s="2"/>
      <c r="F157" s="3"/>
      <c r="G157" s="2"/>
      <c r="H157" s="3"/>
      <c r="I157" s="2"/>
      <c r="J157" s="3"/>
      <c r="K157" s="2"/>
      <c r="L157" s="3"/>
      <c r="M157" s="2"/>
      <c r="N157" s="3"/>
      <c r="O157" s="2"/>
      <c r="P157" s="3"/>
      <c r="Q157" s="2"/>
      <c r="R157" s="3"/>
      <c r="S157" s="2"/>
      <c r="T157" s="3"/>
      <c r="U157" s="2"/>
      <c r="V157" s="3"/>
      <c r="W157" s="2"/>
      <c r="X157" s="3"/>
      <c r="Y157" s="2"/>
      <c r="Z157" s="3"/>
    </row>
    <row r="158">
      <c r="A158" s="1"/>
      <c r="B158" s="1"/>
      <c r="C158" s="2"/>
      <c r="D158" s="3"/>
      <c r="E158" s="2"/>
      <c r="F158" s="3"/>
      <c r="G158" s="2"/>
      <c r="H158" s="3"/>
      <c r="I158" s="2"/>
      <c r="J158" s="3"/>
      <c r="K158" s="2"/>
      <c r="L158" s="3"/>
      <c r="M158" s="2"/>
      <c r="N158" s="3"/>
      <c r="O158" s="2"/>
      <c r="P158" s="3"/>
      <c r="Q158" s="2"/>
      <c r="R158" s="3"/>
      <c r="S158" s="2"/>
      <c r="T158" s="3"/>
      <c r="U158" s="2"/>
      <c r="V158" s="3"/>
      <c r="W158" s="2"/>
      <c r="X158" s="3"/>
      <c r="Y158" s="2"/>
      <c r="Z158" s="3"/>
    </row>
    <row r="159">
      <c r="A159" s="1"/>
      <c r="B159" s="1"/>
      <c r="C159" s="2"/>
      <c r="D159" s="3"/>
      <c r="E159" s="2"/>
      <c r="F159" s="3"/>
      <c r="G159" s="2"/>
      <c r="H159" s="3"/>
      <c r="I159" s="2"/>
      <c r="J159" s="3"/>
      <c r="K159" s="2"/>
      <c r="L159" s="3"/>
      <c r="M159" s="2"/>
      <c r="N159" s="3"/>
      <c r="O159" s="2"/>
      <c r="P159" s="3"/>
      <c r="Q159" s="2"/>
      <c r="R159" s="3"/>
      <c r="S159" s="2"/>
      <c r="T159" s="3"/>
      <c r="U159" s="2"/>
      <c r="V159" s="3"/>
      <c r="W159" s="2"/>
      <c r="X159" s="3"/>
      <c r="Y159" s="2"/>
      <c r="Z159" s="3"/>
    </row>
    <row r="160">
      <c r="A160" s="1"/>
      <c r="B160" s="1"/>
      <c r="C160" s="2"/>
      <c r="D160" s="3"/>
      <c r="E160" s="2"/>
      <c r="F160" s="3"/>
      <c r="G160" s="2"/>
      <c r="H160" s="3"/>
      <c r="I160" s="2"/>
      <c r="J160" s="3"/>
      <c r="K160" s="2"/>
      <c r="L160" s="3"/>
      <c r="M160" s="2"/>
      <c r="N160" s="3"/>
      <c r="O160" s="2"/>
      <c r="P160" s="3"/>
      <c r="Q160" s="2"/>
      <c r="R160" s="3"/>
      <c r="S160" s="2"/>
      <c r="T160" s="3"/>
      <c r="U160" s="2"/>
      <c r="V160" s="3"/>
      <c r="W160" s="2"/>
      <c r="X160" s="3"/>
      <c r="Y160" s="2"/>
      <c r="Z160" s="3"/>
    </row>
    <row r="161">
      <c r="A161" s="1"/>
      <c r="B161" s="1"/>
      <c r="C161" s="2"/>
      <c r="D161" s="3"/>
      <c r="E161" s="2"/>
      <c r="F161" s="3"/>
      <c r="G161" s="2"/>
      <c r="H161" s="3"/>
      <c r="I161" s="2"/>
      <c r="J161" s="3"/>
      <c r="K161" s="2"/>
      <c r="L161" s="3"/>
      <c r="M161" s="2"/>
      <c r="N161" s="3"/>
      <c r="O161" s="2"/>
      <c r="P161" s="3"/>
      <c r="Q161" s="2"/>
      <c r="R161" s="3"/>
      <c r="S161" s="2"/>
      <c r="T161" s="3"/>
      <c r="U161" s="2"/>
      <c r="V161" s="3"/>
      <c r="W161" s="2"/>
      <c r="X161" s="3"/>
      <c r="Y161" s="2"/>
      <c r="Z161" s="3"/>
    </row>
    <row r="162">
      <c r="A162" s="1"/>
      <c r="B162" s="1"/>
      <c r="C162" s="2"/>
      <c r="D162" s="3"/>
      <c r="E162" s="2"/>
      <c r="F162" s="3"/>
      <c r="G162" s="2"/>
      <c r="H162" s="3"/>
      <c r="I162" s="2"/>
      <c r="J162" s="3"/>
      <c r="K162" s="2"/>
      <c r="L162" s="3"/>
      <c r="M162" s="2"/>
      <c r="N162" s="3"/>
      <c r="O162" s="2"/>
      <c r="P162" s="3"/>
      <c r="Q162" s="2"/>
      <c r="R162" s="3"/>
      <c r="S162" s="2"/>
      <c r="T162" s="3"/>
      <c r="U162" s="2"/>
      <c r="V162" s="3"/>
      <c r="W162" s="2"/>
      <c r="X162" s="3"/>
      <c r="Y162" s="2"/>
      <c r="Z162" s="3"/>
    </row>
    <row r="163">
      <c r="A163" s="1"/>
      <c r="B163" s="1"/>
      <c r="C163" s="2"/>
      <c r="D163" s="3"/>
      <c r="E163" s="2"/>
      <c r="F163" s="3"/>
      <c r="G163" s="2"/>
      <c r="H163" s="3"/>
      <c r="I163" s="2"/>
      <c r="J163" s="3"/>
      <c r="K163" s="2"/>
      <c r="L163" s="3"/>
      <c r="M163" s="2"/>
      <c r="N163" s="3"/>
      <c r="O163" s="2"/>
      <c r="P163" s="3"/>
      <c r="Q163" s="2"/>
      <c r="R163" s="3"/>
      <c r="S163" s="2"/>
      <c r="T163" s="3"/>
      <c r="U163" s="2"/>
      <c r="V163" s="3"/>
      <c r="W163" s="2"/>
      <c r="X163" s="3"/>
      <c r="Y163" s="2"/>
      <c r="Z163" s="3"/>
    </row>
    <row r="164">
      <c r="A164" s="1"/>
      <c r="B164" s="1"/>
      <c r="C164" s="2"/>
      <c r="D164" s="3"/>
      <c r="E164" s="2"/>
      <c r="F164" s="3"/>
      <c r="G164" s="2"/>
      <c r="H164" s="3"/>
      <c r="I164" s="2"/>
      <c r="J164" s="3"/>
      <c r="K164" s="2"/>
      <c r="L164" s="3"/>
      <c r="M164" s="2"/>
      <c r="N164" s="3"/>
      <c r="O164" s="2"/>
      <c r="P164" s="3"/>
      <c r="Q164" s="2"/>
      <c r="R164" s="3"/>
      <c r="S164" s="2"/>
      <c r="T164" s="3"/>
      <c r="U164" s="2"/>
      <c r="V164" s="3"/>
      <c r="W164" s="2"/>
      <c r="X164" s="3"/>
      <c r="Y164" s="2"/>
      <c r="Z164" s="3"/>
    </row>
    <row r="165">
      <c r="A165" s="1"/>
      <c r="B165" s="1"/>
      <c r="C165" s="2"/>
      <c r="D165" s="3"/>
      <c r="E165" s="2"/>
      <c r="F165" s="3"/>
      <c r="G165" s="2"/>
      <c r="H165" s="3"/>
      <c r="I165" s="2"/>
      <c r="J165" s="3"/>
      <c r="K165" s="2"/>
      <c r="L165" s="3"/>
      <c r="M165" s="2"/>
      <c r="N165" s="3"/>
      <c r="O165" s="2"/>
      <c r="P165" s="3"/>
      <c r="Q165" s="2"/>
      <c r="R165" s="3"/>
      <c r="S165" s="2"/>
      <c r="T165" s="3"/>
      <c r="U165" s="2"/>
      <c r="V165" s="3"/>
      <c r="W165" s="2"/>
      <c r="X165" s="3"/>
      <c r="Y165" s="2"/>
      <c r="Z165" s="3"/>
    </row>
    <row r="166">
      <c r="A166" s="1"/>
      <c r="B166" s="1"/>
      <c r="C166" s="2"/>
      <c r="D166" s="3"/>
      <c r="E166" s="2"/>
      <c r="F166" s="3"/>
      <c r="G166" s="2"/>
      <c r="H166" s="3"/>
      <c r="I166" s="2"/>
      <c r="J166" s="3"/>
      <c r="K166" s="2"/>
      <c r="L166" s="3"/>
      <c r="M166" s="2"/>
      <c r="N166" s="3"/>
      <c r="O166" s="2"/>
      <c r="P166" s="3"/>
      <c r="Q166" s="2"/>
      <c r="R166" s="3"/>
      <c r="S166" s="2"/>
      <c r="T166" s="3"/>
      <c r="U166" s="2"/>
      <c r="V166" s="3"/>
      <c r="W166" s="2"/>
      <c r="X166" s="3"/>
      <c r="Y166" s="2"/>
      <c r="Z166" s="3"/>
    </row>
    <row r="167">
      <c r="A167" s="1"/>
      <c r="B167" s="1"/>
      <c r="C167" s="2"/>
      <c r="D167" s="3"/>
      <c r="E167" s="2"/>
      <c r="F167" s="3"/>
      <c r="G167" s="2"/>
      <c r="H167" s="3"/>
      <c r="I167" s="2"/>
      <c r="J167" s="3"/>
      <c r="K167" s="2"/>
      <c r="L167" s="3"/>
      <c r="M167" s="2"/>
      <c r="N167" s="3"/>
      <c r="O167" s="2"/>
      <c r="P167" s="3"/>
      <c r="Q167" s="2"/>
      <c r="R167" s="3"/>
      <c r="S167" s="2"/>
      <c r="T167" s="3"/>
      <c r="U167" s="2"/>
      <c r="V167" s="3"/>
      <c r="W167" s="2"/>
      <c r="X167" s="3"/>
      <c r="Y167" s="2"/>
      <c r="Z167" s="3"/>
    </row>
    <row r="168">
      <c r="A168" s="1"/>
      <c r="B168" s="1"/>
      <c r="C168" s="2"/>
      <c r="D168" s="3"/>
      <c r="E168" s="2"/>
      <c r="F168" s="3"/>
      <c r="G168" s="2"/>
      <c r="H168" s="3"/>
      <c r="I168" s="2"/>
      <c r="J168" s="3"/>
      <c r="K168" s="2"/>
      <c r="L168" s="3"/>
      <c r="M168" s="2"/>
      <c r="N168" s="3"/>
      <c r="O168" s="2"/>
      <c r="P168" s="3"/>
      <c r="Q168" s="2"/>
      <c r="R168" s="3"/>
      <c r="S168" s="2"/>
      <c r="T168" s="3"/>
      <c r="U168" s="2"/>
      <c r="V168" s="3"/>
      <c r="W168" s="2"/>
      <c r="X168" s="3"/>
      <c r="Y168" s="2"/>
      <c r="Z168" s="3"/>
    </row>
    <row r="169">
      <c r="A169" s="1"/>
      <c r="B169" s="1"/>
      <c r="C169" s="2"/>
      <c r="D169" s="3"/>
      <c r="E169" s="2"/>
      <c r="F169" s="3"/>
      <c r="G169" s="2"/>
      <c r="H169" s="3"/>
      <c r="I169" s="2"/>
      <c r="J169" s="3"/>
      <c r="K169" s="2"/>
      <c r="L169" s="3"/>
      <c r="M169" s="2"/>
      <c r="N169" s="3"/>
      <c r="O169" s="2"/>
      <c r="P169" s="3"/>
      <c r="Q169" s="2"/>
      <c r="R169" s="3"/>
      <c r="S169" s="2"/>
      <c r="T169" s="3"/>
      <c r="U169" s="2"/>
      <c r="V169" s="3"/>
      <c r="W169" s="2"/>
      <c r="X169" s="3"/>
      <c r="Y169" s="2"/>
      <c r="Z169" s="3"/>
    </row>
    <row r="170">
      <c r="A170" s="1"/>
      <c r="B170" s="1"/>
      <c r="C170" s="2"/>
      <c r="D170" s="3"/>
      <c r="E170" s="2"/>
      <c r="F170" s="3"/>
      <c r="G170" s="2"/>
      <c r="H170" s="3"/>
      <c r="I170" s="2"/>
      <c r="J170" s="3"/>
      <c r="K170" s="2"/>
      <c r="L170" s="3"/>
      <c r="M170" s="2"/>
      <c r="N170" s="3"/>
      <c r="O170" s="2"/>
      <c r="P170" s="3"/>
      <c r="Q170" s="2"/>
      <c r="R170" s="3"/>
      <c r="S170" s="2"/>
      <c r="T170" s="3"/>
      <c r="U170" s="2"/>
      <c r="V170" s="3"/>
      <c r="W170" s="2"/>
      <c r="X170" s="3"/>
      <c r="Y170" s="2"/>
      <c r="Z170" s="3"/>
    </row>
    <row r="171">
      <c r="A171" s="1"/>
      <c r="B171" s="1"/>
      <c r="C171" s="2"/>
      <c r="D171" s="3"/>
      <c r="E171" s="2"/>
      <c r="F171" s="3"/>
      <c r="G171" s="2"/>
      <c r="H171" s="3"/>
      <c r="I171" s="2"/>
      <c r="J171" s="3"/>
      <c r="K171" s="2"/>
      <c r="L171" s="3"/>
      <c r="M171" s="2"/>
      <c r="N171" s="3"/>
      <c r="O171" s="2"/>
      <c r="P171" s="3"/>
      <c r="Q171" s="2"/>
      <c r="R171" s="3"/>
      <c r="S171" s="2"/>
      <c r="T171" s="3"/>
      <c r="U171" s="2"/>
      <c r="V171" s="3"/>
      <c r="W171" s="2"/>
      <c r="X171" s="3"/>
      <c r="Y171" s="2"/>
      <c r="Z171" s="3"/>
    </row>
    <row r="172">
      <c r="A172" s="1"/>
      <c r="B172" s="1"/>
      <c r="C172" s="2"/>
      <c r="D172" s="3"/>
      <c r="E172" s="2"/>
      <c r="F172" s="3"/>
      <c r="G172" s="2"/>
      <c r="H172" s="3"/>
      <c r="I172" s="2"/>
      <c r="J172" s="3"/>
      <c r="K172" s="2"/>
      <c r="L172" s="3"/>
      <c r="M172" s="2"/>
      <c r="N172" s="3"/>
      <c r="O172" s="2"/>
      <c r="P172" s="3"/>
      <c r="Q172" s="2"/>
      <c r="R172" s="3"/>
      <c r="S172" s="2"/>
      <c r="T172" s="3"/>
      <c r="U172" s="2"/>
      <c r="V172" s="3"/>
      <c r="W172" s="2"/>
      <c r="X172" s="3"/>
      <c r="Y172" s="2"/>
      <c r="Z172" s="3"/>
    </row>
    <row r="173">
      <c r="A173" s="1"/>
      <c r="B173" s="1"/>
      <c r="C173" s="2"/>
      <c r="D173" s="3"/>
      <c r="E173" s="2"/>
      <c r="F173" s="3"/>
      <c r="G173" s="2"/>
      <c r="H173" s="3"/>
      <c r="I173" s="2"/>
      <c r="J173" s="3"/>
      <c r="K173" s="2"/>
      <c r="L173" s="3"/>
      <c r="M173" s="2"/>
      <c r="N173" s="3"/>
      <c r="O173" s="2"/>
      <c r="P173" s="3"/>
      <c r="Q173" s="2"/>
      <c r="R173" s="3"/>
      <c r="S173" s="2"/>
      <c r="T173" s="3"/>
      <c r="U173" s="2"/>
      <c r="V173" s="3"/>
      <c r="W173" s="2"/>
      <c r="X173" s="3"/>
      <c r="Y173" s="2"/>
      <c r="Z173" s="3"/>
    </row>
    <row r="174">
      <c r="A174" s="1"/>
      <c r="B174" s="1"/>
      <c r="C174" s="2"/>
      <c r="D174" s="3"/>
      <c r="E174" s="2"/>
      <c r="F174" s="3"/>
      <c r="G174" s="2"/>
      <c r="H174" s="3"/>
      <c r="I174" s="2"/>
      <c r="J174" s="3"/>
      <c r="K174" s="2"/>
      <c r="L174" s="3"/>
      <c r="M174" s="2"/>
      <c r="N174" s="3"/>
      <c r="O174" s="2"/>
      <c r="P174" s="3"/>
      <c r="Q174" s="2"/>
      <c r="R174" s="3"/>
      <c r="S174" s="2"/>
      <c r="T174" s="3"/>
      <c r="U174" s="2"/>
      <c r="V174" s="3"/>
      <c r="W174" s="2"/>
      <c r="X174" s="3"/>
      <c r="Y174" s="2"/>
      <c r="Z174" s="3"/>
    </row>
    <row r="175">
      <c r="A175" s="1"/>
      <c r="B175" s="1"/>
      <c r="C175" s="2"/>
      <c r="D175" s="3"/>
      <c r="E175" s="2"/>
      <c r="F175" s="3"/>
      <c r="G175" s="2"/>
      <c r="H175" s="3"/>
      <c r="I175" s="2"/>
      <c r="J175" s="3"/>
      <c r="K175" s="2"/>
      <c r="L175" s="3"/>
      <c r="M175" s="2"/>
      <c r="N175" s="3"/>
      <c r="O175" s="2"/>
      <c r="P175" s="3"/>
      <c r="Q175" s="2"/>
      <c r="R175" s="3"/>
      <c r="S175" s="2"/>
      <c r="T175" s="3"/>
      <c r="U175" s="2"/>
      <c r="V175" s="3"/>
      <c r="W175" s="2"/>
      <c r="X175" s="3"/>
      <c r="Y175" s="2"/>
      <c r="Z175" s="3"/>
    </row>
    <row r="176">
      <c r="A176" s="1"/>
      <c r="B176" s="1"/>
      <c r="C176" s="2"/>
      <c r="D176" s="3"/>
      <c r="E176" s="2"/>
      <c r="F176" s="3"/>
      <c r="G176" s="2"/>
      <c r="H176" s="3"/>
      <c r="I176" s="2"/>
      <c r="J176" s="3"/>
      <c r="K176" s="2"/>
      <c r="L176" s="3"/>
      <c r="M176" s="2"/>
      <c r="N176" s="3"/>
      <c r="O176" s="2"/>
      <c r="P176" s="3"/>
      <c r="Q176" s="2"/>
      <c r="R176" s="3"/>
      <c r="S176" s="2"/>
      <c r="T176" s="3"/>
      <c r="U176" s="2"/>
      <c r="V176" s="3"/>
      <c r="W176" s="2"/>
      <c r="X176" s="3"/>
      <c r="Y176" s="2"/>
      <c r="Z176" s="3"/>
    </row>
    <row r="177">
      <c r="A177" s="1"/>
      <c r="B177" s="1"/>
      <c r="C177" s="2"/>
      <c r="D177" s="3"/>
      <c r="E177" s="2"/>
      <c r="F177" s="3"/>
      <c r="G177" s="2"/>
      <c r="H177" s="3"/>
      <c r="I177" s="2"/>
      <c r="J177" s="3"/>
      <c r="K177" s="2"/>
      <c r="L177" s="3"/>
      <c r="M177" s="2"/>
      <c r="N177" s="3"/>
      <c r="O177" s="2"/>
      <c r="P177" s="3"/>
      <c r="Q177" s="2"/>
      <c r="R177" s="3"/>
      <c r="S177" s="2"/>
      <c r="T177" s="3"/>
      <c r="U177" s="2"/>
      <c r="V177" s="3"/>
      <c r="W177" s="2"/>
      <c r="X177" s="3"/>
      <c r="Y177" s="2"/>
      <c r="Z177" s="3"/>
    </row>
    <row r="178">
      <c r="A178" s="1"/>
      <c r="B178" s="1"/>
      <c r="C178" s="2"/>
      <c r="D178" s="3"/>
      <c r="E178" s="2"/>
      <c r="F178" s="3"/>
      <c r="G178" s="2"/>
      <c r="H178" s="3"/>
      <c r="I178" s="2"/>
      <c r="J178" s="3"/>
      <c r="K178" s="2"/>
      <c r="L178" s="3"/>
      <c r="M178" s="2"/>
      <c r="N178" s="3"/>
      <c r="O178" s="2"/>
      <c r="P178" s="3"/>
      <c r="Q178" s="2"/>
      <c r="R178" s="3"/>
      <c r="S178" s="2"/>
      <c r="T178" s="3"/>
      <c r="U178" s="2"/>
      <c r="V178" s="3"/>
      <c r="W178" s="2"/>
      <c r="X178" s="3"/>
      <c r="Y178" s="2"/>
      <c r="Z178" s="3"/>
    </row>
    <row r="179">
      <c r="A179" s="1"/>
      <c r="B179" s="1"/>
      <c r="C179" s="2"/>
      <c r="D179" s="3"/>
      <c r="E179" s="2"/>
      <c r="F179" s="3"/>
      <c r="G179" s="2"/>
      <c r="H179" s="3"/>
      <c r="I179" s="2"/>
      <c r="J179" s="3"/>
      <c r="K179" s="2"/>
      <c r="L179" s="3"/>
      <c r="M179" s="2"/>
      <c r="N179" s="3"/>
      <c r="O179" s="2"/>
      <c r="P179" s="3"/>
      <c r="Q179" s="2"/>
      <c r="R179" s="3"/>
      <c r="S179" s="2"/>
      <c r="T179" s="3"/>
      <c r="U179" s="2"/>
      <c r="V179" s="3"/>
      <c r="W179" s="2"/>
      <c r="X179" s="3"/>
      <c r="Y179" s="2"/>
      <c r="Z179" s="3"/>
    </row>
    <row r="180">
      <c r="A180" s="1"/>
      <c r="B180" s="1"/>
      <c r="C180" s="2"/>
      <c r="D180" s="3"/>
      <c r="E180" s="2"/>
      <c r="F180" s="3"/>
      <c r="G180" s="2"/>
      <c r="H180" s="3"/>
      <c r="I180" s="2"/>
      <c r="J180" s="3"/>
      <c r="K180" s="2"/>
      <c r="L180" s="3"/>
      <c r="M180" s="2"/>
      <c r="N180" s="3"/>
      <c r="O180" s="2"/>
      <c r="P180" s="3"/>
      <c r="Q180" s="2"/>
      <c r="R180" s="3"/>
      <c r="S180" s="2"/>
      <c r="T180" s="3"/>
      <c r="U180" s="2"/>
      <c r="V180" s="3"/>
      <c r="W180" s="2"/>
      <c r="X180" s="3"/>
      <c r="Y180" s="2"/>
      <c r="Z180" s="3"/>
    </row>
    <row r="181">
      <c r="A181" s="1"/>
      <c r="B181" s="1"/>
      <c r="C181" s="2"/>
      <c r="D181" s="3"/>
      <c r="E181" s="2"/>
      <c r="F181" s="3"/>
      <c r="G181" s="2"/>
      <c r="H181" s="3"/>
      <c r="I181" s="2"/>
      <c r="J181" s="3"/>
      <c r="K181" s="2"/>
      <c r="L181" s="3"/>
      <c r="M181" s="2"/>
      <c r="N181" s="3"/>
      <c r="O181" s="2"/>
      <c r="P181" s="3"/>
      <c r="Q181" s="2"/>
      <c r="R181" s="3"/>
      <c r="S181" s="2"/>
      <c r="T181" s="3"/>
      <c r="U181" s="2"/>
      <c r="V181" s="3"/>
      <c r="W181" s="2"/>
      <c r="X181" s="3"/>
      <c r="Y181" s="2"/>
      <c r="Z181" s="3"/>
    </row>
    <row r="182">
      <c r="A182" s="1"/>
      <c r="B182" s="1"/>
      <c r="C182" s="2"/>
      <c r="D182" s="3"/>
      <c r="E182" s="2"/>
      <c r="F182" s="3"/>
      <c r="G182" s="2"/>
      <c r="H182" s="3"/>
      <c r="I182" s="2"/>
      <c r="J182" s="3"/>
      <c r="K182" s="2"/>
      <c r="L182" s="3"/>
      <c r="M182" s="2"/>
      <c r="N182" s="3"/>
      <c r="O182" s="2"/>
      <c r="P182" s="3"/>
      <c r="Q182" s="2"/>
      <c r="R182" s="3"/>
      <c r="S182" s="2"/>
      <c r="T182" s="3"/>
      <c r="U182" s="2"/>
      <c r="V182" s="3"/>
      <c r="W182" s="2"/>
      <c r="X182" s="3"/>
      <c r="Y182" s="2"/>
      <c r="Z182" s="3"/>
    </row>
    <row r="183">
      <c r="A183" s="1"/>
      <c r="B183" s="1"/>
      <c r="C183" s="2"/>
      <c r="D183" s="3"/>
      <c r="E183" s="2"/>
      <c r="F183" s="3"/>
      <c r="G183" s="2"/>
      <c r="H183" s="3"/>
      <c r="I183" s="2"/>
      <c r="J183" s="3"/>
      <c r="K183" s="2"/>
      <c r="L183" s="3"/>
      <c r="M183" s="2"/>
      <c r="N183" s="3"/>
      <c r="O183" s="2"/>
      <c r="P183" s="3"/>
      <c r="Q183" s="2"/>
      <c r="R183" s="3"/>
      <c r="S183" s="2"/>
      <c r="T183" s="3"/>
      <c r="U183" s="2"/>
      <c r="V183" s="3"/>
      <c r="W183" s="2"/>
      <c r="X183" s="3"/>
      <c r="Y183" s="2"/>
      <c r="Z183" s="3"/>
    </row>
    <row r="184">
      <c r="A184" s="1"/>
      <c r="B184" s="1"/>
      <c r="C184" s="2"/>
      <c r="D184" s="3"/>
      <c r="E184" s="2"/>
      <c r="F184" s="3"/>
      <c r="G184" s="2"/>
      <c r="H184" s="3"/>
      <c r="I184" s="2"/>
      <c r="J184" s="3"/>
      <c r="K184" s="2"/>
      <c r="L184" s="3"/>
      <c r="M184" s="2"/>
      <c r="N184" s="3"/>
      <c r="O184" s="2"/>
      <c r="P184" s="3"/>
      <c r="Q184" s="2"/>
      <c r="R184" s="3"/>
      <c r="S184" s="2"/>
      <c r="T184" s="3"/>
      <c r="U184" s="2"/>
      <c r="V184" s="3"/>
      <c r="W184" s="2"/>
      <c r="X184" s="3"/>
      <c r="Y184" s="2"/>
      <c r="Z184" s="3"/>
    </row>
    <row r="185">
      <c r="A185" s="1"/>
      <c r="B185" s="1"/>
      <c r="C185" s="2"/>
      <c r="D185" s="3"/>
      <c r="E185" s="2"/>
      <c r="F185" s="3"/>
      <c r="G185" s="2"/>
      <c r="H185" s="3"/>
      <c r="I185" s="2"/>
      <c r="J185" s="3"/>
      <c r="K185" s="2"/>
      <c r="L185" s="3"/>
      <c r="M185" s="2"/>
      <c r="N185" s="3"/>
      <c r="O185" s="2"/>
      <c r="P185" s="3"/>
      <c r="Q185" s="2"/>
      <c r="R185" s="3"/>
      <c r="S185" s="2"/>
      <c r="T185" s="3"/>
      <c r="U185" s="2"/>
      <c r="V185" s="3"/>
      <c r="W185" s="2"/>
      <c r="X185" s="3"/>
      <c r="Y185" s="2"/>
      <c r="Z185" s="3"/>
    </row>
    <row r="186">
      <c r="A186" s="1"/>
      <c r="B186" s="1"/>
      <c r="C186" s="2"/>
      <c r="D186" s="3"/>
      <c r="E186" s="2"/>
      <c r="F186" s="3"/>
      <c r="G186" s="2"/>
      <c r="H186" s="3"/>
      <c r="I186" s="2"/>
      <c r="J186" s="3"/>
      <c r="K186" s="2"/>
      <c r="L186" s="3"/>
      <c r="M186" s="2"/>
      <c r="N186" s="3"/>
      <c r="O186" s="2"/>
      <c r="P186" s="3"/>
      <c r="Q186" s="2"/>
      <c r="R186" s="3"/>
      <c r="S186" s="2"/>
      <c r="T186" s="3"/>
      <c r="U186" s="2"/>
      <c r="V186" s="3"/>
      <c r="W186" s="2"/>
      <c r="X186" s="3"/>
      <c r="Y186" s="2"/>
      <c r="Z186" s="3"/>
    </row>
    <row r="187">
      <c r="A187" s="1"/>
      <c r="B187" s="1"/>
      <c r="C187" s="2"/>
      <c r="D187" s="3"/>
      <c r="E187" s="2"/>
      <c r="F187" s="3"/>
      <c r="G187" s="2"/>
      <c r="H187" s="3"/>
      <c r="I187" s="2"/>
      <c r="J187" s="3"/>
      <c r="K187" s="2"/>
      <c r="L187" s="3"/>
      <c r="M187" s="2"/>
      <c r="N187" s="3"/>
      <c r="O187" s="2"/>
      <c r="P187" s="3"/>
      <c r="Q187" s="2"/>
      <c r="R187" s="3"/>
      <c r="S187" s="2"/>
      <c r="T187" s="3"/>
      <c r="U187" s="2"/>
      <c r="V187" s="3"/>
      <c r="W187" s="2"/>
      <c r="X187" s="3"/>
      <c r="Y187" s="2"/>
      <c r="Z187" s="3"/>
    </row>
    <row r="188">
      <c r="A188" s="1"/>
      <c r="B188" s="1"/>
      <c r="C188" s="2"/>
      <c r="D188" s="3"/>
      <c r="E188" s="2"/>
      <c r="F188" s="3"/>
      <c r="G188" s="2"/>
      <c r="H188" s="3"/>
      <c r="I188" s="2"/>
      <c r="J188" s="3"/>
      <c r="K188" s="2"/>
      <c r="L188" s="3"/>
      <c r="M188" s="2"/>
      <c r="N188" s="3"/>
      <c r="O188" s="2"/>
      <c r="P188" s="3"/>
      <c r="Q188" s="2"/>
      <c r="R188" s="3"/>
      <c r="S188" s="2"/>
      <c r="T188" s="3"/>
      <c r="U188" s="2"/>
      <c r="V188" s="3"/>
      <c r="W188" s="2"/>
      <c r="X188" s="3"/>
      <c r="Y188" s="2"/>
      <c r="Z188" s="3"/>
    </row>
    <row r="189">
      <c r="A189" s="1"/>
      <c r="B189" s="1"/>
      <c r="C189" s="2"/>
      <c r="D189" s="3"/>
      <c r="E189" s="2"/>
      <c r="F189" s="3"/>
      <c r="G189" s="2"/>
      <c r="H189" s="3"/>
      <c r="I189" s="2"/>
      <c r="J189" s="3"/>
      <c r="K189" s="2"/>
      <c r="L189" s="3"/>
      <c r="M189" s="2"/>
      <c r="N189" s="3"/>
      <c r="O189" s="2"/>
      <c r="P189" s="3"/>
      <c r="Q189" s="2"/>
      <c r="R189" s="3"/>
      <c r="S189" s="2"/>
      <c r="T189" s="3"/>
      <c r="U189" s="2"/>
      <c r="V189" s="3"/>
      <c r="W189" s="2"/>
      <c r="X189" s="3"/>
      <c r="Y189" s="2"/>
      <c r="Z189" s="3"/>
    </row>
    <row r="190">
      <c r="A190" s="1"/>
      <c r="B190" s="1"/>
      <c r="C190" s="2"/>
      <c r="D190" s="3"/>
      <c r="E190" s="2"/>
      <c r="F190" s="3"/>
      <c r="G190" s="2"/>
      <c r="H190" s="3"/>
      <c r="I190" s="2"/>
      <c r="J190" s="3"/>
      <c r="K190" s="2"/>
      <c r="L190" s="3"/>
      <c r="M190" s="2"/>
      <c r="N190" s="3"/>
      <c r="O190" s="2"/>
      <c r="P190" s="3"/>
      <c r="Q190" s="2"/>
      <c r="R190" s="3"/>
      <c r="S190" s="2"/>
      <c r="T190" s="3"/>
      <c r="U190" s="2"/>
      <c r="V190" s="3"/>
      <c r="W190" s="2"/>
      <c r="X190" s="3"/>
      <c r="Y190" s="2"/>
      <c r="Z190" s="3"/>
    </row>
    <row r="191">
      <c r="A191" s="1"/>
      <c r="B191" s="1"/>
      <c r="C191" s="2"/>
      <c r="D191" s="3"/>
      <c r="E191" s="2"/>
      <c r="F191" s="3"/>
      <c r="G191" s="2"/>
      <c r="H191" s="3"/>
      <c r="I191" s="2"/>
      <c r="J191" s="3"/>
      <c r="K191" s="2"/>
      <c r="L191" s="3"/>
      <c r="M191" s="2"/>
      <c r="N191" s="3"/>
      <c r="O191" s="2"/>
      <c r="P191" s="3"/>
      <c r="Q191" s="2"/>
      <c r="R191" s="3"/>
      <c r="S191" s="2"/>
      <c r="T191" s="3"/>
      <c r="U191" s="2"/>
      <c r="V191" s="3"/>
      <c r="W191" s="2"/>
      <c r="X191" s="3"/>
      <c r="Y191" s="2"/>
      <c r="Z191" s="3"/>
    </row>
    <row r="192">
      <c r="A192" s="1"/>
      <c r="B192" s="1"/>
      <c r="C192" s="2"/>
      <c r="D192" s="3"/>
      <c r="E192" s="2"/>
      <c r="F192" s="3"/>
      <c r="G192" s="2"/>
      <c r="H192" s="3"/>
      <c r="I192" s="2"/>
      <c r="J192" s="3"/>
      <c r="K192" s="2"/>
      <c r="L192" s="3"/>
      <c r="M192" s="2"/>
      <c r="N192" s="3"/>
      <c r="O192" s="2"/>
      <c r="P192" s="3"/>
      <c r="Q192" s="2"/>
      <c r="R192" s="3"/>
      <c r="S192" s="2"/>
      <c r="T192" s="3"/>
      <c r="U192" s="2"/>
      <c r="V192" s="3"/>
      <c r="W192" s="2"/>
      <c r="X192" s="3"/>
      <c r="Y192" s="2"/>
      <c r="Z192" s="3"/>
    </row>
    <row r="193">
      <c r="A193" s="1"/>
      <c r="B193" s="1"/>
      <c r="C193" s="2"/>
      <c r="D193" s="3"/>
      <c r="E193" s="2"/>
      <c r="F193" s="3"/>
      <c r="G193" s="2"/>
      <c r="H193" s="3"/>
      <c r="I193" s="2"/>
      <c r="J193" s="3"/>
      <c r="K193" s="2"/>
      <c r="L193" s="3"/>
      <c r="M193" s="2"/>
      <c r="N193" s="3"/>
      <c r="O193" s="2"/>
      <c r="P193" s="3"/>
      <c r="Q193" s="2"/>
      <c r="R193" s="3"/>
      <c r="S193" s="2"/>
      <c r="T193" s="3"/>
      <c r="U193" s="2"/>
      <c r="V193" s="3"/>
      <c r="W193" s="2"/>
      <c r="X193" s="3"/>
      <c r="Y193" s="2"/>
      <c r="Z193" s="3"/>
    </row>
    <row r="194">
      <c r="A194" s="1"/>
      <c r="B194" s="1"/>
      <c r="C194" s="2"/>
      <c r="D194" s="3"/>
      <c r="E194" s="2"/>
      <c r="F194" s="3"/>
      <c r="G194" s="2"/>
      <c r="H194" s="3"/>
      <c r="I194" s="2"/>
      <c r="J194" s="3"/>
      <c r="K194" s="2"/>
      <c r="L194" s="3"/>
      <c r="M194" s="2"/>
      <c r="N194" s="3"/>
      <c r="O194" s="2"/>
      <c r="P194" s="3"/>
      <c r="Q194" s="2"/>
      <c r="R194" s="3"/>
      <c r="S194" s="2"/>
      <c r="T194" s="3"/>
      <c r="U194" s="2"/>
      <c r="V194" s="3"/>
      <c r="W194" s="2"/>
      <c r="X194" s="3"/>
      <c r="Y194" s="2"/>
      <c r="Z194" s="3"/>
    </row>
    <row r="195">
      <c r="A195" s="1"/>
      <c r="B195" s="1"/>
      <c r="C195" s="2"/>
      <c r="D195" s="3"/>
      <c r="E195" s="2"/>
      <c r="F195" s="3"/>
      <c r="G195" s="2"/>
      <c r="H195" s="3"/>
      <c r="I195" s="2"/>
      <c r="J195" s="3"/>
      <c r="K195" s="2"/>
      <c r="L195" s="3"/>
      <c r="M195" s="2"/>
      <c r="N195" s="3"/>
      <c r="O195" s="2"/>
      <c r="P195" s="3"/>
      <c r="Q195" s="2"/>
      <c r="R195" s="3"/>
      <c r="S195" s="2"/>
      <c r="T195" s="3"/>
      <c r="U195" s="2"/>
      <c r="V195" s="3"/>
      <c r="W195" s="2"/>
      <c r="X195" s="3"/>
      <c r="Y195" s="2"/>
      <c r="Z195" s="3"/>
    </row>
    <row r="196">
      <c r="A196" s="1"/>
      <c r="B196" s="1"/>
      <c r="C196" s="2"/>
      <c r="D196" s="3"/>
      <c r="E196" s="2"/>
      <c r="F196" s="3"/>
      <c r="G196" s="2"/>
      <c r="H196" s="3"/>
      <c r="I196" s="2"/>
      <c r="J196" s="3"/>
      <c r="K196" s="2"/>
      <c r="L196" s="3"/>
      <c r="M196" s="2"/>
      <c r="N196" s="3"/>
      <c r="O196" s="2"/>
      <c r="P196" s="3"/>
      <c r="Q196" s="2"/>
      <c r="R196" s="3"/>
      <c r="S196" s="2"/>
      <c r="T196" s="3"/>
      <c r="U196" s="2"/>
      <c r="V196" s="3"/>
      <c r="W196" s="2"/>
      <c r="X196" s="3"/>
      <c r="Y196" s="2"/>
      <c r="Z196" s="3"/>
    </row>
    <row r="197">
      <c r="A197" s="1"/>
      <c r="B197" s="1"/>
      <c r="C197" s="2"/>
      <c r="D197" s="3"/>
      <c r="E197" s="2"/>
      <c r="F197" s="3"/>
      <c r="G197" s="2"/>
      <c r="H197" s="3"/>
      <c r="I197" s="2"/>
      <c r="J197" s="3"/>
      <c r="K197" s="2"/>
      <c r="L197" s="3"/>
      <c r="M197" s="2"/>
      <c r="N197" s="3"/>
      <c r="O197" s="2"/>
      <c r="P197" s="3"/>
      <c r="Q197" s="2"/>
      <c r="R197" s="3"/>
      <c r="S197" s="2"/>
      <c r="T197" s="3"/>
      <c r="U197" s="2"/>
      <c r="V197" s="3"/>
      <c r="W197" s="2"/>
      <c r="X197" s="3"/>
      <c r="Y197" s="2"/>
      <c r="Z197" s="3"/>
    </row>
    <row r="198">
      <c r="A198" s="1"/>
      <c r="B198" s="1"/>
      <c r="C198" s="2"/>
      <c r="D198" s="3"/>
      <c r="E198" s="2"/>
      <c r="F198" s="3"/>
      <c r="G198" s="2"/>
      <c r="H198" s="3"/>
      <c r="I198" s="2"/>
      <c r="J198" s="3"/>
      <c r="K198" s="2"/>
      <c r="L198" s="3"/>
      <c r="M198" s="2"/>
      <c r="N198" s="3"/>
      <c r="O198" s="2"/>
      <c r="P198" s="3"/>
      <c r="Q198" s="2"/>
      <c r="R198" s="3"/>
      <c r="S198" s="2"/>
      <c r="T198" s="3"/>
      <c r="U198" s="2"/>
      <c r="V198" s="3"/>
      <c r="W198" s="2"/>
      <c r="X198" s="3"/>
      <c r="Y198" s="2"/>
      <c r="Z198" s="3"/>
    </row>
    <row r="199">
      <c r="A199" s="1"/>
      <c r="B199" s="1"/>
      <c r="C199" s="2"/>
      <c r="D199" s="3"/>
      <c r="E199" s="2"/>
      <c r="F199" s="3"/>
      <c r="G199" s="2"/>
      <c r="H199" s="3"/>
      <c r="I199" s="2"/>
      <c r="J199" s="3"/>
      <c r="K199" s="2"/>
      <c r="L199" s="3"/>
      <c r="M199" s="2"/>
      <c r="N199" s="3"/>
      <c r="O199" s="2"/>
      <c r="P199" s="3"/>
      <c r="Q199" s="2"/>
      <c r="R199" s="3"/>
      <c r="S199" s="2"/>
      <c r="T199" s="3"/>
      <c r="U199" s="2"/>
      <c r="V199" s="3"/>
      <c r="W199" s="2"/>
      <c r="X199" s="3"/>
      <c r="Y199" s="2"/>
      <c r="Z199" s="3"/>
    </row>
    <row r="200">
      <c r="A200" s="1"/>
      <c r="B200" s="1"/>
      <c r="C200" s="2"/>
      <c r="D200" s="3"/>
      <c r="E200" s="2"/>
      <c r="F200" s="3"/>
      <c r="G200" s="2"/>
      <c r="H200" s="3"/>
      <c r="I200" s="2"/>
      <c r="J200" s="3"/>
      <c r="K200" s="2"/>
      <c r="L200" s="3"/>
      <c r="M200" s="2"/>
      <c r="N200" s="3"/>
      <c r="O200" s="2"/>
      <c r="P200" s="3"/>
      <c r="Q200" s="2"/>
      <c r="R200" s="3"/>
      <c r="S200" s="2"/>
      <c r="T200" s="3"/>
      <c r="U200" s="2"/>
      <c r="V200" s="3"/>
      <c r="W200" s="2"/>
      <c r="X200" s="3"/>
      <c r="Y200" s="2"/>
      <c r="Z200" s="3"/>
    </row>
    <row r="201">
      <c r="A201" s="1"/>
      <c r="B201" s="1"/>
      <c r="C201" s="2"/>
      <c r="D201" s="3"/>
      <c r="E201" s="2"/>
      <c r="F201" s="3"/>
      <c r="G201" s="2"/>
      <c r="H201" s="3"/>
      <c r="I201" s="2"/>
      <c r="J201" s="3"/>
      <c r="K201" s="2"/>
      <c r="L201" s="3"/>
      <c r="M201" s="2"/>
      <c r="N201" s="3"/>
      <c r="O201" s="2"/>
      <c r="P201" s="3"/>
      <c r="Q201" s="2"/>
      <c r="R201" s="3"/>
      <c r="S201" s="2"/>
      <c r="T201" s="3"/>
      <c r="U201" s="2"/>
      <c r="V201" s="3"/>
      <c r="W201" s="2"/>
      <c r="X201" s="3"/>
      <c r="Y201" s="2"/>
      <c r="Z201" s="3"/>
    </row>
    <row r="202">
      <c r="A202" s="1"/>
      <c r="B202" s="1"/>
      <c r="C202" s="2"/>
      <c r="D202" s="3"/>
      <c r="E202" s="2"/>
      <c r="F202" s="3"/>
      <c r="G202" s="2"/>
      <c r="H202" s="3"/>
      <c r="I202" s="2"/>
      <c r="J202" s="3"/>
      <c r="K202" s="2"/>
      <c r="L202" s="3"/>
      <c r="M202" s="2"/>
      <c r="N202" s="3"/>
      <c r="O202" s="2"/>
      <c r="P202" s="3"/>
      <c r="Q202" s="2"/>
      <c r="R202" s="3"/>
      <c r="S202" s="2"/>
      <c r="T202" s="3"/>
      <c r="U202" s="2"/>
      <c r="V202" s="3"/>
      <c r="W202" s="2"/>
      <c r="X202" s="3"/>
      <c r="Y202" s="2"/>
      <c r="Z202" s="3"/>
    </row>
    <row r="203">
      <c r="A203" s="1"/>
      <c r="B203" s="1"/>
      <c r="C203" s="2"/>
      <c r="D203" s="3"/>
      <c r="E203" s="2"/>
      <c r="F203" s="3"/>
      <c r="G203" s="2"/>
      <c r="H203" s="3"/>
      <c r="I203" s="2"/>
      <c r="J203" s="3"/>
      <c r="K203" s="2"/>
      <c r="L203" s="3"/>
      <c r="M203" s="2"/>
      <c r="N203" s="3"/>
      <c r="O203" s="2"/>
      <c r="P203" s="3"/>
      <c r="Q203" s="2"/>
      <c r="R203" s="3"/>
      <c r="S203" s="2"/>
      <c r="T203" s="3"/>
      <c r="U203" s="2"/>
      <c r="V203" s="3"/>
      <c r="W203" s="2"/>
      <c r="X203" s="3"/>
      <c r="Y203" s="2"/>
      <c r="Z203" s="3"/>
    </row>
    <row r="204">
      <c r="A204" s="1"/>
      <c r="B204" s="1"/>
      <c r="C204" s="2"/>
      <c r="D204" s="3"/>
      <c r="E204" s="2"/>
      <c r="F204" s="3"/>
      <c r="G204" s="2"/>
      <c r="H204" s="3"/>
      <c r="I204" s="2"/>
      <c r="J204" s="3"/>
      <c r="K204" s="2"/>
      <c r="L204" s="3"/>
      <c r="M204" s="2"/>
      <c r="N204" s="3"/>
      <c r="O204" s="2"/>
      <c r="P204" s="3"/>
      <c r="Q204" s="2"/>
      <c r="R204" s="3"/>
      <c r="S204" s="2"/>
      <c r="T204" s="3"/>
      <c r="U204" s="2"/>
      <c r="V204" s="3"/>
      <c r="W204" s="2"/>
      <c r="X204" s="3"/>
      <c r="Y204" s="2"/>
      <c r="Z204" s="3"/>
    </row>
    <row r="205">
      <c r="A205" s="1"/>
      <c r="B205" s="1"/>
      <c r="C205" s="2"/>
      <c r="D205" s="3"/>
      <c r="E205" s="2"/>
      <c r="F205" s="3"/>
      <c r="G205" s="2"/>
      <c r="H205" s="3"/>
      <c r="I205" s="2"/>
      <c r="J205" s="3"/>
      <c r="K205" s="2"/>
      <c r="L205" s="3"/>
      <c r="M205" s="2"/>
      <c r="N205" s="3"/>
      <c r="O205" s="2"/>
      <c r="P205" s="3"/>
      <c r="Q205" s="2"/>
      <c r="R205" s="3"/>
      <c r="S205" s="2"/>
      <c r="T205" s="3"/>
      <c r="U205" s="2"/>
      <c r="V205" s="3"/>
      <c r="W205" s="2"/>
      <c r="X205" s="3"/>
      <c r="Y205" s="2"/>
      <c r="Z205" s="3"/>
    </row>
    <row r="206">
      <c r="A206" s="1"/>
      <c r="B206" s="1"/>
      <c r="C206" s="2"/>
      <c r="D206" s="3"/>
      <c r="E206" s="2"/>
      <c r="F206" s="3"/>
      <c r="G206" s="2"/>
      <c r="H206" s="3"/>
      <c r="I206" s="2"/>
      <c r="J206" s="3"/>
      <c r="K206" s="2"/>
      <c r="L206" s="3"/>
      <c r="M206" s="2"/>
      <c r="N206" s="3"/>
      <c r="O206" s="2"/>
      <c r="P206" s="3"/>
      <c r="Q206" s="2"/>
      <c r="R206" s="3"/>
      <c r="S206" s="2"/>
      <c r="T206" s="3"/>
      <c r="U206" s="2"/>
      <c r="V206" s="3"/>
      <c r="W206" s="2"/>
      <c r="X206" s="3"/>
      <c r="Y206" s="2"/>
      <c r="Z206" s="3"/>
    </row>
    <row r="207">
      <c r="A207" s="1"/>
      <c r="B207" s="1"/>
      <c r="C207" s="2"/>
      <c r="D207" s="3"/>
      <c r="E207" s="2"/>
      <c r="F207" s="3"/>
      <c r="G207" s="2"/>
      <c r="H207" s="3"/>
      <c r="I207" s="2"/>
      <c r="J207" s="3"/>
      <c r="K207" s="2"/>
      <c r="L207" s="3"/>
      <c r="M207" s="2"/>
      <c r="N207" s="3"/>
      <c r="O207" s="2"/>
      <c r="P207" s="3"/>
      <c r="Q207" s="2"/>
      <c r="R207" s="3"/>
      <c r="S207" s="2"/>
      <c r="T207" s="3"/>
      <c r="U207" s="2"/>
      <c r="V207" s="3"/>
      <c r="W207" s="2"/>
      <c r="X207" s="3"/>
      <c r="Y207" s="2"/>
      <c r="Z207" s="3"/>
    </row>
    <row r="208">
      <c r="A208" s="1"/>
      <c r="B208" s="1"/>
      <c r="C208" s="2"/>
      <c r="D208" s="3"/>
      <c r="E208" s="2"/>
      <c r="F208" s="3"/>
      <c r="G208" s="2"/>
      <c r="H208" s="3"/>
      <c r="I208" s="2"/>
      <c r="J208" s="3"/>
      <c r="K208" s="2"/>
      <c r="L208" s="3"/>
      <c r="M208" s="2"/>
      <c r="N208" s="3"/>
      <c r="O208" s="2"/>
      <c r="P208" s="3"/>
      <c r="Q208" s="2"/>
      <c r="R208" s="3"/>
      <c r="S208" s="2"/>
      <c r="T208" s="3"/>
      <c r="U208" s="2"/>
      <c r="V208" s="3"/>
      <c r="W208" s="2"/>
      <c r="X208" s="3"/>
      <c r="Y208" s="2"/>
      <c r="Z208" s="3"/>
    </row>
    <row r="209">
      <c r="A209" s="1"/>
      <c r="B209" s="1"/>
      <c r="C209" s="2"/>
      <c r="D209" s="3"/>
      <c r="E209" s="2"/>
      <c r="F209" s="3"/>
      <c r="G209" s="2"/>
      <c r="H209" s="3"/>
      <c r="I209" s="2"/>
      <c r="J209" s="3"/>
      <c r="K209" s="2"/>
      <c r="L209" s="3"/>
      <c r="M209" s="2"/>
      <c r="N209" s="3"/>
      <c r="O209" s="2"/>
      <c r="P209" s="3"/>
      <c r="Q209" s="2"/>
      <c r="R209" s="3"/>
      <c r="S209" s="2"/>
      <c r="T209" s="3"/>
      <c r="U209" s="2"/>
      <c r="V209" s="3"/>
      <c r="W209" s="2"/>
      <c r="X209" s="3"/>
      <c r="Y209" s="2"/>
      <c r="Z209" s="3"/>
    </row>
    <row r="210">
      <c r="A210" s="1"/>
      <c r="B210" s="1"/>
      <c r="C210" s="2"/>
      <c r="D210" s="3"/>
      <c r="E210" s="2"/>
      <c r="F210" s="3"/>
      <c r="G210" s="2"/>
      <c r="H210" s="3"/>
      <c r="I210" s="2"/>
      <c r="J210" s="3"/>
      <c r="K210" s="2"/>
      <c r="L210" s="3"/>
      <c r="M210" s="2"/>
      <c r="N210" s="3"/>
      <c r="O210" s="2"/>
      <c r="P210" s="3"/>
      <c r="Q210" s="2"/>
      <c r="R210" s="3"/>
      <c r="S210" s="2"/>
      <c r="T210" s="3"/>
      <c r="U210" s="2"/>
      <c r="V210" s="3"/>
      <c r="W210" s="2"/>
      <c r="X210" s="3"/>
      <c r="Y210" s="2"/>
      <c r="Z210" s="3"/>
    </row>
    <row r="211">
      <c r="A211" s="1"/>
      <c r="B211" s="1"/>
      <c r="C211" s="2"/>
      <c r="D211" s="3"/>
      <c r="E211" s="2"/>
      <c r="F211" s="3"/>
      <c r="G211" s="2"/>
      <c r="H211" s="3"/>
      <c r="I211" s="2"/>
      <c r="J211" s="3"/>
      <c r="K211" s="2"/>
      <c r="L211" s="3"/>
      <c r="M211" s="2"/>
      <c r="N211" s="3"/>
      <c r="O211" s="2"/>
      <c r="P211" s="3"/>
      <c r="Q211" s="2"/>
      <c r="R211" s="3"/>
      <c r="S211" s="2"/>
      <c r="T211" s="3"/>
      <c r="U211" s="2"/>
      <c r="V211" s="3"/>
      <c r="W211" s="2"/>
      <c r="X211" s="3"/>
      <c r="Y211" s="2"/>
      <c r="Z211" s="3"/>
    </row>
    <row r="212">
      <c r="A212" s="1"/>
      <c r="B212" s="1"/>
      <c r="C212" s="2"/>
      <c r="D212" s="3"/>
      <c r="E212" s="2"/>
      <c r="F212" s="3"/>
      <c r="G212" s="2"/>
      <c r="H212" s="3"/>
      <c r="I212" s="2"/>
      <c r="J212" s="3"/>
      <c r="K212" s="2"/>
      <c r="L212" s="3"/>
      <c r="M212" s="2"/>
      <c r="N212" s="3"/>
      <c r="O212" s="2"/>
      <c r="P212" s="3"/>
      <c r="Q212" s="2"/>
      <c r="R212" s="3"/>
      <c r="S212" s="2"/>
      <c r="T212" s="3"/>
      <c r="U212" s="2"/>
      <c r="V212" s="3"/>
      <c r="W212" s="2"/>
      <c r="X212" s="3"/>
      <c r="Y212" s="2"/>
      <c r="Z212" s="3"/>
    </row>
    <row r="213">
      <c r="A213" s="1"/>
      <c r="B213" s="1"/>
      <c r="C213" s="2"/>
      <c r="D213" s="3"/>
      <c r="E213" s="2"/>
      <c r="F213" s="3"/>
      <c r="G213" s="2"/>
      <c r="H213" s="3"/>
      <c r="I213" s="2"/>
      <c r="J213" s="3"/>
      <c r="K213" s="2"/>
      <c r="L213" s="3"/>
      <c r="M213" s="2"/>
      <c r="N213" s="3"/>
      <c r="O213" s="2"/>
      <c r="P213" s="3"/>
      <c r="Q213" s="2"/>
      <c r="R213" s="3"/>
      <c r="S213" s="2"/>
      <c r="T213" s="3"/>
      <c r="U213" s="2"/>
      <c r="V213" s="3"/>
      <c r="W213" s="2"/>
      <c r="X213" s="3"/>
      <c r="Y213" s="2"/>
      <c r="Z213" s="3"/>
    </row>
    <row r="214">
      <c r="A214" s="1"/>
      <c r="B214" s="1"/>
      <c r="C214" s="2"/>
      <c r="D214" s="3"/>
      <c r="E214" s="2"/>
      <c r="F214" s="3"/>
      <c r="G214" s="2"/>
      <c r="H214" s="3"/>
      <c r="I214" s="2"/>
      <c r="J214" s="3"/>
      <c r="K214" s="2"/>
      <c r="L214" s="3"/>
      <c r="M214" s="2"/>
      <c r="N214" s="3"/>
      <c r="O214" s="2"/>
      <c r="P214" s="3"/>
      <c r="Q214" s="2"/>
      <c r="R214" s="3"/>
      <c r="S214" s="2"/>
      <c r="T214" s="3"/>
      <c r="U214" s="2"/>
      <c r="V214" s="3"/>
      <c r="W214" s="2"/>
      <c r="X214" s="3"/>
      <c r="Y214" s="2"/>
      <c r="Z214" s="3"/>
    </row>
    <row r="215">
      <c r="A215" s="1"/>
      <c r="B215" s="1"/>
      <c r="C215" s="2"/>
      <c r="D215" s="3"/>
      <c r="E215" s="2"/>
      <c r="F215" s="3"/>
      <c r="G215" s="2"/>
      <c r="H215" s="3"/>
      <c r="I215" s="2"/>
      <c r="J215" s="3"/>
      <c r="K215" s="2"/>
      <c r="L215" s="3"/>
      <c r="M215" s="2"/>
      <c r="N215" s="3"/>
      <c r="O215" s="2"/>
      <c r="P215" s="3"/>
      <c r="Q215" s="2"/>
      <c r="R215" s="3"/>
      <c r="S215" s="2"/>
      <c r="T215" s="3"/>
      <c r="U215" s="2"/>
      <c r="V215" s="3"/>
      <c r="W215" s="2"/>
      <c r="X215" s="3"/>
      <c r="Y215" s="2"/>
      <c r="Z215" s="3"/>
    </row>
    <row r="216">
      <c r="A216" s="1"/>
      <c r="B216" s="1"/>
      <c r="C216" s="2"/>
      <c r="D216" s="3"/>
      <c r="E216" s="2"/>
      <c r="F216" s="3"/>
      <c r="G216" s="2"/>
      <c r="H216" s="3"/>
      <c r="I216" s="2"/>
      <c r="J216" s="3"/>
      <c r="K216" s="2"/>
      <c r="L216" s="3"/>
      <c r="M216" s="2"/>
      <c r="N216" s="3"/>
      <c r="O216" s="2"/>
      <c r="P216" s="3"/>
      <c r="Q216" s="2"/>
      <c r="R216" s="3"/>
      <c r="S216" s="2"/>
      <c r="T216" s="3"/>
      <c r="U216" s="2"/>
      <c r="V216" s="3"/>
      <c r="W216" s="2"/>
      <c r="X216" s="3"/>
      <c r="Y216" s="2"/>
      <c r="Z216" s="3"/>
    </row>
    <row r="217">
      <c r="A217" s="1"/>
      <c r="B217" s="1"/>
      <c r="C217" s="2"/>
      <c r="D217" s="3"/>
      <c r="E217" s="2"/>
      <c r="F217" s="3"/>
      <c r="G217" s="2"/>
      <c r="H217" s="3"/>
      <c r="I217" s="2"/>
      <c r="J217" s="3"/>
      <c r="K217" s="2"/>
      <c r="L217" s="3"/>
      <c r="M217" s="2"/>
      <c r="N217" s="3"/>
      <c r="O217" s="2"/>
      <c r="P217" s="3"/>
      <c r="Q217" s="2"/>
      <c r="R217" s="3"/>
      <c r="S217" s="2"/>
      <c r="T217" s="3"/>
      <c r="U217" s="2"/>
      <c r="V217" s="3"/>
      <c r="W217" s="2"/>
      <c r="X217" s="3"/>
      <c r="Y217" s="2"/>
      <c r="Z217" s="3"/>
    </row>
    <row r="218">
      <c r="A218" s="1"/>
      <c r="B218" s="1"/>
      <c r="C218" s="2"/>
      <c r="D218" s="3"/>
      <c r="E218" s="2"/>
      <c r="F218" s="3"/>
      <c r="G218" s="2"/>
      <c r="H218" s="3"/>
      <c r="I218" s="2"/>
      <c r="J218" s="3"/>
      <c r="K218" s="2"/>
      <c r="L218" s="3"/>
      <c r="M218" s="2"/>
      <c r="N218" s="3"/>
      <c r="O218" s="2"/>
      <c r="P218" s="3"/>
      <c r="Q218" s="2"/>
      <c r="R218" s="3"/>
      <c r="S218" s="2"/>
      <c r="T218" s="3"/>
      <c r="U218" s="2"/>
      <c r="V218" s="3"/>
      <c r="W218" s="2"/>
      <c r="X218" s="3"/>
      <c r="Y218" s="2"/>
      <c r="Z218" s="3"/>
    </row>
    <row r="219">
      <c r="A219" s="1"/>
      <c r="B219" s="1"/>
      <c r="C219" s="2"/>
      <c r="D219" s="3"/>
      <c r="E219" s="2"/>
      <c r="F219" s="3"/>
      <c r="G219" s="2"/>
      <c r="H219" s="3"/>
      <c r="I219" s="2"/>
      <c r="J219" s="3"/>
      <c r="K219" s="2"/>
      <c r="L219" s="3"/>
      <c r="M219" s="2"/>
      <c r="N219" s="3"/>
      <c r="O219" s="2"/>
      <c r="P219" s="3"/>
      <c r="Q219" s="2"/>
      <c r="R219" s="3"/>
      <c r="S219" s="2"/>
      <c r="T219" s="3"/>
      <c r="U219" s="2"/>
      <c r="V219" s="3"/>
      <c r="W219" s="2"/>
      <c r="X219" s="3"/>
      <c r="Y219" s="2"/>
      <c r="Z219" s="3"/>
    </row>
    <row r="220">
      <c r="A220" s="1"/>
      <c r="B220" s="1"/>
      <c r="C220" s="2"/>
      <c r="D220" s="3"/>
      <c r="E220" s="2"/>
      <c r="F220" s="3"/>
      <c r="G220" s="2"/>
      <c r="H220" s="3"/>
      <c r="I220" s="2"/>
      <c r="J220" s="3"/>
      <c r="K220" s="2"/>
      <c r="L220" s="3"/>
      <c r="M220" s="2"/>
      <c r="N220" s="3"/>
      <c r="O220" s="2"/>
      <c r="P220" s="3"/>
      <c r="Q220" s="2"/>
      <c r="R220" s="3"/>
      <c r="S220" s="2"/>
      <c r="T220" s="3"/>
      <c r="U220" s="2"/>
      <c r="V220" s="3"/>
      <c r="W220" s="2"/>
      <c r="X220" s="3"/>
      <c r="Y220" s="2"/>
      <c r="Z220" s="3"/>
    </row>
    <row r="221">
      <c r="A221" s="1"/>
      <c r="B221" s="1"/>
      <c r="C221" s="2"/>
      <c r="D221" s="3"/>
      <c r="E221" s="2"/>
      <c r="F221" s="3"/>
      <c r="G221" s="2"/>
      <c r="H221" s="3"/>
      <c r="I221" s="2"/>
      <c r="J221" s="3"/>
      <c r="K221" s="2"/>
      <c r="L221" s="3"/>
      <c r="M221" s="2"/>
      <c r="N221" s="3"/>
      <c r="O221" s="2"/>
      <c r="P221" s="3"/>
      <c r="Q221" s="2"/>
      <c r="R221" s="3"/>
      <c r="S221" s="2"/>
      <c r="T221" s="3"/>
      <c r="U221" s="2"/>
      <c r="V221" s="3"/>
      <c r="W221" s="2"/>
      <c r="X221" s="3"/>
      <c r="Y221" s="2"/>
      <c r="Z221" s="3"/>
    </row>
    <row r="222">
      <c r="A222" s="1"/>
      <c r="B222" s="1"/>
      <c r="C222" s="2"/>
      <c r="D222" s="3"/>
      <c r="E222" s="2"/>
      <c r="F222" s="3"/>
      <c r="G222" s="2"/>
      <c r="H222" s="3"/>
      <c r="I222" s="2"/>
      <c r="J222" s="3"/>
      <c r="K222" s="2"/>
      <c r="L222" s="3"/>
      <c r="M222" s="2"/>
      <c r="N222" s="3"/>
      <c r="O222" s="2"/>
      <c r="P222" s="3"/>
      <c r="Q222" s="2"/>
      <c r="R222" s="3"/>
      <c r="S222" s="2"/>
      <c r="T222" s="3"/>
      <c r="U222" s="2"/>
      <c r="V222" s="3"/>
      <c r="W222" s="2"/>
      <c r="X222" s="3"/>
      <c r="Y222" s="2"/>
      <c r="Z222" s="3"/>
    </row>
    <row r="223">
      <c r="A223" s="1"/>
      <c r="B223" s="1"/>
      <c r="C223" s="2"/>
      <c r="D223" s="3"/>
      <c r="E223" s="2"/>
      <c r="F223" s="3"/>
      <c r="G223" s="2"/>
      <c r="H223" s="3"/>
      <c r="I223" s="2"/>
      <c r="J223" s="3"/>
      <c r="K223" s="2"/>
      <c r="L223" s="3"/>
      <c r="M223" s="2"/>
      <c r="N223" s="3"/>
      <c r="O223" s="2"/>
      <c r="P223" s="3"/>
      <c r="Q223" s="2"/>
      <c r="R223" s="3"/>
      <c r="S223" s="2"/>
      <c r="T223" s="3"/>
      <c r="U223" s="2"/>
      <c r="V223" s="3"/>
      <c r="W223" s="2"/>
      <c r="X223" s="3"/>
      <c r="Y223" s="2"/>
      <c r="Z223" s="3"/>
    </row>
    <row r="224">
      <c r="A224" s="1"/>
      <c r="B224" s="1"/>
      <c r="C224" s="2"/>
      <c r="D224" s="3"/>
      <c r="E224" s="2"/>
      <c r="F224" s="3"/>
      <c r="G224" s="2"/>
      <c r="H224" s="3"/>
      <c r="I224" s="2"/>
      <c r="J224" s="3"/>
      <c r="K224" s="2"/>
      <c r="L224" s="3"/>
      <c r="M224" s="2"/>
      <c r="N224" s="3"/>
      <c r="O224" s="2"/>
      <c r="P224" s="3"/>
      <c r="Q224" s="2"/>
      <c r="R224" s="3"/>
      <c r="S224" s="2"/>
      <c r="T224" s="3"/>
      <c r="U224" s="2"/>
      <c r="V224" s="3"/>
      <c r="W224" s="2"/>
      <c r="X224" s="3"/>
      <c r="Y224" s="2"/>
      <c r="Z224" s="3"/>
    </row>
    <row r="225">
      <c r="A225" s="1"/>
      <c r="B225" s="1"/>
      <c r="C225" s="2"/>
      <c r="D225" s="3"/>
      <c r="E225" s="2"/>
      <c r="F225" s="3"/>
      <c r="G225" s="2"/>
      <c r="H225" s="3"/>
      <c r="I225" s="2"/>
      <c r="J225" s="3"/>
      <c r="K225" s="2"/>
      <c r="L225" s="3"/>
      <c r="M225" s="2"/>
      <c r="N225" s="3"/>
      <c r="O225" s="2"/>
      <c r="P225" s="3"/>
      <c r="Q225" s="2"/>
      <c r="R225" s="3"/>
      <c r="S225" s="2"/>
      <c r="T225" s="3"/>
      <c r="U225" s="2"/>
      <c r="V225" s="3"/>
      <c r="W225" s="2"/>
      <c r="X225" s="3"/>
      <c r="Y225" s="2"/>
      <c r="Z225" s="3"/>
    </row>
    <row r="226">
      <c r="A226" s="1"/>
      <c r="B226" s="1"/>
      <c r="C226" s="2"/>
      <c r="D226" s="3"/>
      <c r="E226" s="2"/>
      <c r="F226" s="3"/>
      <c r="G226" s="2"/>
      <c r="H226" s="3"/>
      <c r="I226" s="2"/>
      <c r="J226" s="3"/>
      <c r="K226" s="2"/>
      <c r="L226" s="3"/>
      <c r="M226" s="2"/>
      <c r="N226" s="3"/>
      <c r="O226" s="2"/>
      <c r="P226" s="3"/>
      <c r="Q226" s="2"/>
      <c r="R226" s="3"/>
      <c r="S226" s="2"/>
      <c r="T226" s="3"/>
      <c r="U226" s="2"/>
      <c r="V226" s="3"/>
      <c r="W226" s="2"/>
      <c r="X226" s="3"/>
      <c r="Y226" s="2"/>
      <c r="Z226" s="3"/>
    </row>
    <row r="227">
      <c r="A227" s="1"/>
      <c r="B227" s="1"/>
      <c r="C227" s="2"/>
      <c r="D227" s="3"/>
      <c r="E227" s="2"/>
      <c r="F227" s="3"/>
      <c r="G227" s="2"/>
      <c r="H227" s="3"/>
      <c r="I227" s="2"/>
      <c r="J227" s="3"/>
      <c r="K227" s="2"/>
      <c r="L227" s="3"/>
      <c r="M227" s="2"/>
      <c r="N227" s="3"/>
      <c r="O227" s="2"/>
      <c r="P227" s="3"/>
      <c r="Q227" s="2"/>
      <c r="R227" s="3"/>
      <c r="S227" s="2"/>
      <c r="T227" s="3"/>
      <c r="U227" s="2"/>
      <c r="V227" s="3"/>
      <c r="W227" s="2"/>
      <c r="X227" s="3"/>
      <c r="Y227" s="2"/>
      <c r="Z227" s="3"/>
    </row>
    <row r="228">
      <c r="A228" s="1"/>
      <c r="B228" s="1"/>
      <c r="C228" s="2"/>
      <c r="D228" s="3"/>
      <c r="E228" s="2"/>
      <c r="F228" s="3"/>
      <c r="G228" s="2"/>
      <c r="H228" s="3"/>
      <c r="I228" s="2"/>
      <c r="J228" s="3"/>
      <c r="K228" s="2"/>
      <c r="L228" s="3"/>
      <c r="M228" s="2"/>
      <c r="N228" s="3"/>
      <c r="O228" s="2"/>
      <c r="P228" s="3"/>
      <c r="Q228" s="2"/>
      <c r="R228" s="3"/>
      <c r="S228" s="2"/>
      <c r="T228" s="3"/>
      <c r="U228" s="2"/>
      <c r="V228" s="3"/>
      <c r="W228" s="2"/>
      <c r="X228" s="3"/>
      <c r="Y228" s="2"/>
      <c r="Z228" s="3"/>
    </row>
    <row r="229">
      <c r="A229" s="1"/>
      <c r="B229" s="1"/>
      <c r="C229" s="2"/>
      <c r="D229" s="3"/>
      <c r="E229" s="2"/>
      <c r="F229" s="3"/>
      <c r="G229" s="2"/>
      <c r="H229" s="3"/>
      <c r="I229" s="2"/>
      <c r="J229" s="3"/>
      <c r="K229" s="2"/>
      <c r="L229" s="3"/>
      <c r="M229" s="2"/>
      <c r="N229" s="3"/>
      <c r="O229" s="2"/>
      <c r="P229" s="3"/>
      <c r="Q229" s="2"/>
      <c r="R229" s="3"/>
      <c r="S229" s="2"/>
      <c r="T229" s="3"/>
      <c r="U229" s="2"/>
      <c r="V229" s="3"/>
      <c r="W229" s="2"/>
      <c r="X229" s="3"/>
      <c r="Y229" s="2"/>
      <c r="Z229" s="3"/>
    </row>
    <row r="230">
      <c r="A230" s="1"/>
      <c r="B230" s="1"/>
      <c r="C230" s="2"/>
      <c r="D230" s="3"/>
      <c r="E230" s="2"/>
      <c r="F230" s="3"/>
      <c r="G230" s="2"/>
      <c r="H230" s="3"/>
      <c r="I230" s="2"/>
      <c r="J230" s="3"/>
      <c r="K230" s="2"/>
      <c r="L230" s="3"/>
      <c r="M230" s="2"/>
      <c r="N230" s="3"/>
      <c r="O230" s="2"/>
      <c r="P230" s="3"/>
      <c r="Q230" s="2"/>
      <c r="R230" s="3"/>
      <c r="S230" s="2"/>
      <c r="T230" s="3"/>
      <c r="U230" s="2"/>
      <c r="V230" s="3"/>
      <c r="W230" s="2"/>
      <c r="X230" s="3"/>
      <c r="Y230" s="2"/>
      <c r="Z230" s="3"/>
    </row>
    <row r="231">
      <c r="A231" s="1"/>
      <c r="B231" s="1"/>
      <c r="C231" s="2"/>
      <c r="D231" s="3"/>
      <c r="E231" s="2"/>
      <c r="F231" s="3"/>
      <c r="G231" s="2"/>
      <c r="H231" s="3"/>
      <c r="I231" s="2"/>
      <c r="J231" s="3"/>
      <c r="K231" s="2"/>
      <c r="L231" s="3"/>
      <c r="M231" s="2"/>
      <c r="N231" s="3"/>
      <c r="O231" s="2"/>
      <c r="P231" s="3"/>
      <c r="Q231" s="2"/>
      <c r="R231" s="3"/>
      <c r="S231" s="2"/>
      <c r="T231" s="3"/>
      <c r="U231" s="2"/>
      <c r="V231" s="3"/>
      <c r="W231" s="2"/>
      <c r="X231" s="3"/>
      <c r="Y231" s="2"/>
      <c r="Z231" s="3"/>
    </row>
    <row r="232">
      <c r="A232" s="1"/>
      <c r="B232" s="1"/>
      <c r="C232" s="2"/>
      <c r="D232" s="3"/>
      <c r="E232" s="2"/>
      <c r="F232" s="3"/>
      <c r="G232" s="2"/>
      <c r="H232" s="3"/>
      <c r="I232" s="2"/>
      <c r="J232" s="3"/>
      <c r="K232" s="2"/>
      <c r="L232" s="3"/>
      <c r="M232" s="2"/>
      <c r="N232" s="3"/>
      <c r="O232" s="2"/>
      <c r="P232" s="3"/>
      <c r="Q232" s="2"/>
      <c r="R232" s="3"/>
      <c r="S232" s="2"/>
      <c r="T232" s="3"/>
      <c r="U232" s="2"/>
      <c r="V232" s="3"/>
      <c r="W232" s="2"/>
      <c r="X232" s="3"/>
      <c r="Y232" s="2"/>
      <c r="Z232" s="3"/>
    </row>
    <row r="233">
      <c r="A233" s="1"/>
      <c r="B233" s="1"/>
      <c r="C233" s="2"/>
      <c r="D233" s="3"/>
      <c r="E233" s="2"/>
      <c r="F233" s="3"/>
      <c r="G233" s="2"/>
      <c r="H233" s="3"/>
      <c r="I233" s="2"/>
      <c r="J233" s="3"/>
      <c r="K233" s="2"/>
      <c r="L233" s="3"/>
      <c r="M233" s="2"/>
      <c r="N233" s="3"/>
      <c r="O233" s="2"/>
      <c r="P233" s="3"/>
      <c r="Q233" s="2"/>
      <c r="R233" s="3"/>
      <c r="S233" s="2"/>
      <c r="T233" s="3"/>
      <c r="U233" s="2"/>
      <c r="V233" s="3"/>
      <c r="W233" s="2"/>
      <c r="X233" s="3"/>
      <c r="Y233" s="2"/>
      <c r="Z233" s="3"/>
    </row>
    <row r="234">
      <c r="A234" s="1"/>
      <c r="B234" s="1"/>
      <c r="C234" s="2"/>
      <c r="D234" s="3"/>
      <c r="E234" s="2"/>
      <c r="F234" s="3"/>
      <c r="G234" s="2"/>
      <c r="H234" s="3"/>
      <c r="I234" s="2"/>
      <c r="J234" s="3"/>
      <c r="K234" s="2"/>
      <c r="L234" s="3"/>
      <c r="M234" s="2"/>
      <c r="N234" s="3"/>
      <c r="O234" s="2"/>
      <c r="P234" s="3"/>
      <c r="Q234" s="2"/>
      <c r="R234" s="3"/>
      <c r="S234" s="2"/>
      <c r="T234" s="3"/>
      <c r="U234" s="2"/>
      <c r="V234" s="3"/>
      <c r="W234" s="2"/>
      <c r="X234" s="3"/>
      <c r="Y234" s="2"/>
      <c r="Z234" s="3"/>
    </row>
    <row r="235">
      <c r="A235" s="1"/>
      <c r="B235" s="1"/>
      <c r="C235" s="2"/>
      <c r="D235" s="3"/>
      <c r="E235" s="2"/>
      <c r="F235" s="3"/>
      <c r="G235" s="2"/>
      <c r="H235" s="3"/>
      <c r="I235" s="2"/>
      <c r="J235" s="3"/>
      <c r="K235" s="2"/>
      <c r="L235" s="3"/>
      <c r="M235" s="2"/>
      <c r="N235" s="3"/>
      <c r="O235" s="2"/>
      <c r="P235" s="3"/>
      <c r="Q235" s="2"/>
      <c r="R235" s="3"/>
      <c r="S235" s="2"/>
      <c r="T235" s="3"/>
      <c r="U235" s="2"/>
      <c r="V235" s="3"/>
      <c r="W235" s="2"/>
      <c r="X235" s="3"/>
      <c r="Y235" s="2"/>
      <c r="Z235" s="3"/>
    </row>
    <row r="236">
      <c r="A236" s="1"/>
      <c r="B236" s="1"/>
      <c r="C236" s="2"/>
      <c r="D236" s="3"/>
      <c r="E236" s="2"/>
      <c r="F236" s="3"/>
      <c r="G236" s="2"/>
      <c r="H236" s="3"/>
      <c r="I236" s="2"/>
      <c r="J236" s="3"/>
      <c r="K236" s="2"/>
      <c r="L236" s="3"/>
      <c r="M236" s="2"/>
      <c r="N236" s="3"/>
      <c r="O236" s="2"/>
      <c r="P236" s="3"/>
      <c r="Q236" s="2"/>
      <c r="R236" s="3"/>
      <c r="S236" s="2"/>
      <c r="T236" s="3"/>
      <c r="U236" s="2"/>
      <c r="V236" s="3"/>
      <c r="W236" s="2"/>
      <c r="X236" s="3"/>
      <c r="Y236" s="2"/>
      <c r="Z236" s="3"/>
    </row>
    <row r="237">
      <c r="A237" s="1"/>
      <c r="B237" s="1"/>
      <c r="C237" s="2"/>
      <c r="D237" s="3"/>
      <c r="E237" s="2"/>
      <c r="F237" s="3"/>
      <c r="G237" s="2"/>
      <c r="H237" s="3"/>
      <c r="I237" s="2"/>
      <c r="J237" s="3"/>
      <c r="K237" s="2"/>
      <c r="L237" s="3"/>
      <c r="M237" s="2"/>
      <c r="N237" s="3"/>
      <c r="O237" s="2"/>
      <c r="P237" s="3"/>
      <c r="Q237" s="2"/>
      <c r="R237" s="3"/>
      <c r="S237" s="2"/>
      <c r="T237" s="3"/>
      <c r="U237" s="2"/>
      <c r="V237" s="3"/>
      <c r="W237" s="2"/>
      <c r="X237" s="3"/>
      <c r="Y237" s="2"/>
      <c r="Z237" s="3"/>
    </row>
    <row r="238">
      <c r="A238" s="1"/>
      <c r="B238" s="1"/>
      <c r="C238" s="2"/>
      <c r="D238" s="3"/>
      <c r="E238" s="2"/>
      <c r="F238" s="3"/>
      <c r="G238" s="2"/>
      <c r="H238" s="3"/>
      <c r="I238" s="2"/>
      <c r="J238" s="3"/>
      <c r="K238" s="2"/>
      <c r="L238" s="3"/>
      <c r="M238" s="2"/>
      <c r="N238" s="3"/>
      <c r="O238" s="2"/>
      <c r="P238" s="3"/>
      <c r="Q238" s="2"/>
      <c r="R238" s="3"/>
      <c r="S238" s="2"/>
      <c r="T238" s="3"/>
      <c r="U238" s="2"/>
      <c r="V238" s="3"/>
      <c r="W238" s="2"/>
      <c r="X238" s="3"/>
      <c r="Y238" s="2"/>
      <c r="Z238" s="3"/>
    </row>
    <row r="239">
      <c r="A239" s="1"/>
      <c r="B239" s="1"/>
      <c r="C239" s="2"/>
      <c r="D239" s="3"/>
      <c r="E239" s="2"/>
      <c r="F239" s="3"/>
      <c r="G239" s="2"/>
      <c r="H239" s="3"/>
      <c r="I239" s="2"/>
      <c r="J239" s="3"/>
      <c r="K239" s="2"/>
      <c r="L239" s="3"/>
      <c r="M239" s="2"/>
      <c r="N239" s="3"/>
      <c r="O239" s="2"/>
      <c r="P239" s="3"/>
      <c r="Q239" s="2"/>
      <c r="R239" s="3"/>
      <c r="S239" s="2"/>
      <c r="T239" s="3"/>
      <c r="U239" s="2"/>
      <c r="V239" s="3"/>
      <c r="W239" s="2"/>
      <c r="X239" s="3"/>
      <c r="Y239" s="2"/>
      <c r="Z239" s="3"/>
    </row>
    <row r="240">
      <c r="A240" s="1"/>
      <c r="B240" s="1"/>
      <c r="C240" s="2"/>
      <c r="D240" s="3"/>
      <c r="E240" s="2"/>
      <c r="F240" s="3"/>
      <c r="G240" s="2"/>
      <c r="H240" s="3"/>
      <c r="I240" s="2"/>
      <c r="J240" s="3"/>
      <c r="K240" s="2"/>
      <c r="L240" s="3"/>
      <c r="M240" s="2"/>
      <c r="N240" s="3"/>
      <c r="O240" s="2"/>
      <c r="P240" s="3"/>
      <c r="Q240" s="2"/>
      <c r="R240" s="3"/>
      <c r="S240" s="2"/>
      <c r="T240" s="3"/>
      <c r="U240" s="2"/>
      <c r="V240" s="3"/>
      <c r="W240" s="2"/>
      <c r="X240" s="3"/>
      <c r="Y240" s="2"/>
      <c r="Z240" s="3"/>
    </row>
    <row r="241">
      <c r="A241" s="1"/>
      <c r="B241" s="1"/>
      <c r="C241" s="2"/>
      <c r="D241" s="3"/>
      <c r="E241" s="2"/>
      <c r="F241" s="3"/>
      <c r="G241" s="2"/>
      <c r="H241" s="3"/>
      <c r="I241" s="2"/>
      <c r="J241" s="3"/>
      <c r="K241" s="2"/>
      <c r="L241" s="3"/>
      <c r="M241" s="2"/>
      <c r="N241" s="3"/>
      <c r="O241" s="2"/>
      <c r="P241" s="3"/>
      <c r="Q241" s="2"/>
      <c r="R241" s="3"/>
      <c r="S241" s="2"/>
      <c r="T241" s="3"/>
      <c r="U241" s="2"/>
      <c r="V241" s="3"/>
      <c r="W241" s="2"/>
      <c r="X241" s="3"/>
      <c r="Y241" s="2"/>
      <c r="Z241" s="3"/>
    </row>
    <row r="242">
      <c r="A242" s="1"/>
      <c r="B242" s="1"/>
      <c r="C242" s="2"/>
      <c r="D242" s="3"/>
      <c r="E242" s="2"/>
      <c r="F242" s="3"/>
      <c r="G242" s="2"/>
      <c r="H242" s="3"/>
      <c r="I242" s="2"/>
      <c r="J242" s="3"/>
      <c r="K242" s="2"/>
      <c r="L242" s="3"/>
      <c r="M242" s="2"/>
      <c r="N242" s="3"/>
      <c r="O242" s="2"/>
      <c r="P242" s="3"/>
      <c r="Q242" s="2"/>
      <c r="R242" s="3"/>
      <c r="S242" s="2"/>
      <c r="T242" s="3"/>
      <c r="U242" s="2"/>
      <c r="V242" s="3"/>
      <c r="W242" s="2"/>
      <c r="X242" s="3"/>
      <c r="Y242" s="2"/>
      <c r="Z242" s="3"/>
    </row>
    <row r="243">
      <c r="A243" s="1"/>
      <c r="B243" s="1"/>
      <c r="C243" s="2"/>
      <c r="D243" s="3"/>
      <c r="E243" s="2"/>
      <c r="F243" s="3"/>
      <c r="G243" s="2"/>
      <c r="H243" s="3"/>
      <c r="I243" s="2"/>
      <c r="J243" s="3"/>
      <c r="K243" s="2"/>
      <c r="L243" s="3"/>
      <c r="M243" s="2"/>
      <c r="N243" s="3"/>
      <c r="O243" s="2"/>
      <c r="P243" s="3"/>
      <c r="Q243" s="2"/>
      <c r="R243" s="3"/>
      <c r="S243" s="2"/>
      <c r="T243" s="3"/>
      <c r="U243" s="2"/>
      <c r="V243" s="3"/>
      <c r="W243" s="2"/>
      <c r="X243" s="3"/>
      <c r="Y243" s="2"/>
      <c r="Z243" s="3"/>
    </row>
    <row r="244">
      <c r="A244" s="1"/>
      <c r="B244" s="1"/>
      <c r="C244" s="2"/>
      <c r="D244" s="3"/>
      <c r="E244" s="2"/>
      <c r="F244" s="3"/>
      <c r="G244" s="2"/>
      <c r="H244" s="3"/>
      <c r="I244" s="2"/>
      <c r="J244" s="3"/>
      <c r="K244" s="2"/>
      <c r="L244" s="3"/>
      <c r="M244" s="2"/>
      <c r="N244" s="3"/>
      <c r="O244" s="2"/>
      <c r="P244" s="3"/>
      <c r="Q244" s="2"/>
      <c r="R244" s="3"/>
      <c r="S244" s="2"/>
      <c r="T244" s="3"/>
      <c r="U244" s="2"/>
      <c r="V244" s="3"/>
      <c r="W244" s="2"/>
      <c r="X244" s="3"/>
      <c r="Y244" s="2"/>
      <c r="Z244" s="3"/>
    </row>
    <row r="245">
      <c r="A245" s="1"/>
      <c r="B245" s="1"/>
      <c r="C245" s="2"/>
      <c r="D245" s="3"/>
      <c r="E245" s="2"/>
      <c r="F245" s="3"/>
      <c r="G245" s="2"/>
      <c r="H245" s="3"/>
      <c r="I245" s="2"/>
      <c r="J245" s="3"/>
      <c r="K245" s="2"/>
      <c r="L245" s="3"/>
      <c r="M245" s="2"/>
      <c r="N245" s="3"/>
      <c r="O245" s="2"/>
      <c r="P245" s="3"/>
      <c r="Q245" s="2"/>
      <c r="R245" s="3"/>
      <c r="S245" s="2"/>
      <c r="T245" s="3"/>
      <c r="U245" s="2"/>
      <c r="V245" s="3"/>
      <c r="W245" s="2"/>
      <c r="X245" s="3"/>
      <c r="Y245" s="2"/>
      <c r="Z245" s="3"/>
    </row>
    <row r="246">
      <c r="A246" s="1"/>
      <c r="B246" s="1"/>
      <c r="C246" s="2"/>
      <c r="D246" s="3"/>
      <c r="E246" s="2"/>
      <c r="F246" s="3"/>
      <c r="G246" s="2"/>
      <c r="H246" s="3"/>
      <c r="I246" s="2"/>
      <c r="J246" s="3"/>
      <c r="K246" s="2"/>
      <c r="L246" s="3"/>
      <c r="M246" s="2"/>
      <c r="N246" s="3"/>
      <c r="O246" s="2"/>
      <c r="P246" s="3"/>
      <c r="Q246" s="2"/>
      <c r="R246" s="3"/>
      <c r="S246" s="2"/>
      <c r="T246" s="3"/>
      <c r="U246" s="2"/>
      <c r="V246" s="3"/>
      <c r="W246" s="2"/>
      <c r="X246" s="3"/>
      <c r="Y246" s="2"/>
      <c r="Z246" s="3"/>
    </row>
    <row r="247">
      <c r="A247" s="1"/>
      <c r="B247" s="1"/>
      <c r="C247" s="2"/>
      <c r="D247" s="3"/>
      <c r="E247" s="2"/>
      <c r="F247" s="3"/>
      <c r="G247" s="2"/>
      <c r="H247" s="3"/>
      <c r="I247" s="2"/>
      <c r="J247" s="3"/>
      <c r="K247" s="2"/>
      <c r="L247" s="3"/>
      <c r="M247" s="2"/>
      <c r="N247" s="3"/>
      <c r="O247" s="2"/>
      <c r="P247" s="3"/>
      <c r="Q247" s="2"/>
      <c r="R247" s="3"/>
      <c r="S247" s="2"/>
      <c r="T247" s="3"/>
      <c r="U247" s="2"/>
      <c r="V247" s="3"/>
      <c r="W247" s="2"/>
      <c r="X247" s="3"/>
      <c r="Y247" s="2"/>
      <c r="Z247" s="3"/>
    </row>
    <row r="248">
      <c r="A248" s="1"/>
      <c r="B248" s="1"/>
      <c r="C248" s="2"/>
      <c r="D248" s="3"/>
      <c r="E248" s="2"/>
      <c r="F248" s="3"/>
      <c r="G248" s="2"/>
      <c r="H248" s="3"/>
      <c r="I248" s="2"/>
      <c r="J248" s="3"/>
      <c r="K248" s="2"/>
      <c r="L248" s="3"/>
      <c r="M248" s="2"/>
      <c r="N248" s="3"/>
      <c r="O248" s="2"/>
      <c r="P248" s="3"/>
      <c r="Q248" s="2"/>
      <c r="R248" s="3"/>
      <c r="S248" s="2"/>
      <c r="T248" s="3"/>
      <c r="U248" s="2"/>
      <c r="V248" s="3"/>
      <c r="W248" s="2"/>
      <c r="X248" s="3"/>
      <c r="Y248" s="2"/>
      <c r="Z248" s="3"/>
    </row>
    <row r="249">
      <c r="A249" s="1"/>
      <c r="B249" s="1"/>
      <c r="C249" s="2"/>
      <c r="D249" s="3"/>
      <c r="E249" s="2"/>
      <c r="F249" s="3"/>
      <c r="G249" s="2"/>
      <c r="H249" s="3"/>
      <c r="I249" s="2"/>
      <c r="J249" s="3"/>
      <c r="K249" s="2"/>
      <c r="L249" s="3"/>
      <c r="M249" s="2"/>
      <c r="N249" s="3"/>
      <c r="O249" s="2"/>
      <c r="P249" s="3"/>
      <c r="Q249" s="2"/>
      <c r="R249" s="3"/>
      <c r="S249" s="2"/>
      <c r="T249" s="3"/>
      <c r="U249" s="2"/>
      <c r="V249" s="3"/>
      <c r="W249" s="2"/>
      <c r="X249" s="3"/>
      <c r="Y249" s="2"/>
      <c r="Z249" s="3"/>
    </row>
    <row r="250">
      <c r="A250" s="1"/>
      <c r="B250" s="1"/>
      <c r="C250" s="2"/>
      <c r="D250" s="3"/>
      <c r="E250" s="2"/>
      <c r="F250" s="3"/>
      <c r="G250" s="2"/>
      <c r="H250" s="3"/>
      <c r="I250" s="2"/>
      <c r="J250" s="3"/>
      <c r="K250" s="2"/>
      <c r="L250" s="3"/>
      <c r="M250" s="2"/>
      <c r="N250" s="3"/>
      <c r="O250" s="2"/>
      <c r="P250" s="3"/>
      <c r="Q250" s="2"/>
      <c r="R250" s="3"/>
      <c r="S250" s="2"/>
      <c r="T250" s="3"/>
      <c r="U250" s="2"/>
      <c r="V250" s="3"/>
      <c r="W250" s="2"/>
      <c r="X250" s="3"/>
      <c r="Y250" s="2"/>
      <c r="Z250" s="3"/>
    </row>
    <row r="251">
      <c r="A251" s="1"/>
      <c r="B251" s="1"/>
      <c r="C251" s="2"/>
      <c r="D251" s="3"/>
      <c r="E251" s="2"/>
      <c r="F251" s="3"/>
      <c r="G251" s="2"/>
      <c r="H251" s="3"/>
      <c r="I251" s="2"/>
      <c r="J251" s="3"/>
      <c r="K251" s="2"/>
      <c r="L251" s="3"/>
      <c r="M251" s="2"/>
      <c r="N251" s="3"/>
      <c r="O251" s="2"/>
      <c r="P251" s="3"/>
      <c r="Q251" s="2"/>
      <c r="R251" s="3"/>
      <c r="S251" s="2"/>
      <c r="T251" s="3"/>
      <c r="U251" s="2"/>
      <c r="V251" s="3"/>
      <c r="W251" s="2"/>
      <c r="X251" s="3"/>
      <c r="Y251" s="2"/>
      <c r="Z251" s="3"/>
    </row>
    <row r="252">
      <c r="A252" s="1"/>
      <c r="B252" s="1"/>
      <c r="C252" s="2"/>
      <c r="D252" s="3"/>
      <c r="E252" s="2"/>
      <c r="F252" s="3"/>
      <c r="G252" s="2"/>
      <c r="H252" s="3"/>
      <c r="I252" s="2"/>
      <c r="J252" s="3"/>
      <c r="K252" s="2"/>
      <c r="L252" s="3"/>
      <c r="M252" s="2"/>
      <c r="N252" s="3"/>
      <c r="O252" s="2"/>
      <c r="P252" s="3"/>
      <c r="Q252" s="2"/>
      <c r="R252" s="3"/>
      <c r="S252" s="2"/>
      <c r="T252" s="3"/>
      <c r="U252" s="2"/>
      <c r="V252" s="3"/>
      <c r="W252" s="2"/>
      <c r="X252" s="3"/>
      <c r="Y252" s="2"/>
      <c r="Z252" s="3"/>
    </row>
    <row r="253">
      <c r="A253" s="1"/>
      <c r="B253" s="1"/>
      <c r="C253" s="2"/>
      <c r="D253" s="3"/>
      <c r="E253" s="2"/>
      <c r="F253" s="3"/>
      <c r="G253" s="2"/>
      <c r="H253" s="3"/>
      <c r="I253" s="2"/>
      <c r="J253" s="3"/>
      <c r="K253" s="2"/>
      <c r="L253" s="3"/>
      <c r="M253" s="2"/>
      <c r="N253" s="3"/>
      <c r="O253" s="2"/>
      <c r="P253" s="3"/>
      <c r="Q253" s="2"/>
      <c r="R253" s="3"/>
      <c r="S253" s="2"/>
      <c r="T253" s="3"/>
      <c r="U253" s="2"/>
      <c r="V253" s="3"/>
      <c r="W253" s="2"/>
      <c r="X253" s="3"/>
      <c r="Y253" s="2"/>
      <c r="Z253" s="3"/>
    </row>
    <row r="254">
      <c r="A254" s="1"/>
      <c r="B254" s="1"/>
      <c r="C254" s="2"/>
      <c r="D254" s="3"/>
      <c r="E254" s="2"/>
      <c r="F254" s="3"/>
      <c r="G254" s="2"/>
      <c r="H254" s="3"/>
      <c r="I254" s="2"/>
      <c r="J254" s="3"/>
      <c r="K254" s="2"/>
      <c r="L254" s="3"/>
      <c r="M254" s="2"/>
      <c r="N254" s="3"/>
      <c r="O254" s="2"/>
      <c r="P254" s="3"/>
      <c r="Q254" s="2"/>
      <c r="R254" s="3"/>
      <c r="S254" s="2"/>
      <c r="T254" s="3"/>
      <c r="U254" s="2"/>
      <c r="V254" s="3"/>
      <c r="W254" s="2"/>
      <c r="X254" s="3"/>
      <c r="Y254" s="2"/>
      <c r="Z254" s="3"/>
    </row>
    <row r="255">
      <c r="A255" s="1"/>
      <c r="B255" s="1"/>
      <c r="C255" s="2"/>
      <c r="D255" s="3"/>
      <c r="E255" s="2"/>
      <c r="F255" s="3"/>
      <c r="G255" s="2"/>
      <c r="H255" s="3"/>
      <c r="I255" s="2"/>
      <c r="J255" s="3"/>
      <c r="K255" s="2"/>
      <c r="L255" s="3"/>
      <c r="M255" s="2"/>
      <c r="N255" s="3"/>
      <c r="O255" s="2"/>
      <c r="P255" s="3"/>
      <c r="Q255" s="2"/>
      <c r="R255" s="3"/>
      <c r="S255" s="2"/>
      <c r="T255" s="3"/>
      <c r="U255" s="2"/>
      <c r="V255" s="3"/>
      <c r="W255" s="2"/>
      <c r="X255" s="3"/>
      <c r="Y255" s="2"/>
      <c r="Z255" s="3"/>
    </row>
    <row r="256">
      <c r="A256" s="1"/>
      <c r="B256" s="1"/>
      <c r="C256" s="2"/>
      <c r="D256" s="3"/>
      <c r="E256" s="2"/>
      <c r="F256" s="3"/>
      <c r="G256" s="2"/>
      <c r="H256" s="3"/>
      <c r="I256" s="2"/>
      <c r="J256" s="3"/>
      <c r="K256" s="2"/>
      <c r="L256" s="3"/>
      <c r="M256" s="2"/>
      <c r="N256" s="3"/>
      <c r="O256" s="2"/>
      <c r="P256" s="3"/>
      <c r="Q256" s="2"/>
      <c r="R256" s="3"/>
      <c r="S256" s="2"/>
      <c r="T256" s="3"/>
      <c r="U256" s="2"/>
      <c r="V256" s="3"/>
      <c r="W256" s="2"/>
      <c r="X256" s="3"/>
      <c r="Y256" s="2"/>
      <c r="Z256" s="3"/>
    </row>
    <row r="257">
      <c r="A257" s="1"/>
      <c r="B257" s="1"/>
      <c r="C257" s="2"/>
      <c r="D257" s="3"/>
      <c r="E257" s="2"/>
      <c r="F257" s="3"/>
      <c r="G257" s="2"/>
      <c r="H257" s="3"/>
      <c r="I257" s="2"/>
      <c r="J257" s="3"/>
      <c r="K257" s="2"/>
      <c r="L257" s="3"/>
      <c r="M257" s="2"/>
      <c r="N257" s="3"/>
      <c r="O257" s="2"/>
      <c r="P257" s="3"/>
      <c r="Q257" s="2"/>
      <c r="R257" s="3"/>
      <c r="S257" s="2"/>
      <c r="T257" s="3"/>
      <c r="U257" s="2"/>
      <c r="V257" s="3"/>
      <c r="W257" s="2"/>
      <c r="X257" s="3"/>
      <c r="Y257" s="2"/>
      <c r="Z257" s="3"/>
    </row>
    <row r="258">
      <c r="A258" s="1"/>
      <c r="B258" s="1"/>
      <c r="C258" s="2"/>
      <c r="D258" s="3"/>
      <c r="E258" s="2"/>
      <c r="F258" s="3"/>
      <c r="G258" s="2"/>
      <c r="H258" s="3"/>
      <c r="I258" s="2"/>
      <c r="J258" s="3"/>
      <c r="K258" s="2"/>
      <c r="L258" s="3"/>
      <c r="M258" s="2"/>
      <c r="N258" s="3"/>
      <c r="O258" s="2"/>
      <c r="P258" s="3"/>
      <c r="Q258" s="2"/>
      <c r="R258" s="3"/>
      <c r="S258" s="2"/>
      <c r="T258" s="3"/>
      <c r="U258" s="2"/>
      <c r="V258" s="3"/>
      <c r="W258" s="2"/>
      <c r="X258" s="3"/>
      <c r="Y258" s="2"/>
      <c r="Z258" s="3"/>
    </row>
    <row r="259">
      <c r="A259" s="1"/>
      <c r="B259" s="1"/>
      <c r="C259" s="2"/>
      <c r="D259" s="3"/>
      <c r="E259" s="2"/>
      <c r="F259" s="3"/>
      <c r="G259" s="2"/>
      <c r="H259" s="3"/>
      <c r="I259" s="2"/>
      <c r="J259" s="3"/>
      <c r="K259" s="2"/>
      <c r="L259" s="3"/>
      <c r="M259" s="2"/>
      <c r="N259" s="3"/>
      <c r="O259" s="2"/>
      <c r="P259" s="3"/>
      <c r="Q259" s="2"/>
      <c r="R259" s="3"/>
      <c r="S259" s="2"/>
      <c r="T259" s="3"/>
      <c r="U259" s="2"/>
      <c r="V259" s="3"/>
      <c r="W259" s="2"/>
      <c r="X259" s="3"/>
      <c r="Y259" s="2"/>
      <c r="Z259" s="3"/>
    </row>
    <row r="260">
      <c r="A260" s="1"/>
      <c r="B260" s="1"/>
      <c r="C260" s="2"/>
      <c r="D260" s="3"/>
      <c r="E260" s="2"/>
      <c r="F260" s="3"/>
      <c r="G260" s="2"/>
      <c r="H260" s="3"/>
      <c r="I260" s="2"/>
      <c r="J260" s="3"/>
      <c r="K260" s="2"/>
      <c r="L260" s="3"/>
      <c r="M260" s="2"/>
      <c r="N260" s="3"/>
      <c r="O260" s="2"/>
      <c r="P260" s="3"/>
      <c r="Q260" s="2"/>
      <c r="R260" s="3"/>
      <c r="S260" s="2"/>
      <c r="T260" s="3"/>
      <c r="U260" s="2"/>
      <c r="V260" s="3"/>
      <c r="W260" s="2"/>
      <c r="X260" s="3"/>
      <c r="Y260" s="2"/>
      <c r="Z260" s="3"/>
    </row>
    <row r="261">
      <c r="A261" s="1"/>
      <c r="B261" s="1"/>
      <c r="C261" s="2"/>
      <c r="D261" s="3"/>
      <c r="E261" s="2"/>
      <c r="F261" s="3"/>
      <c r="G261" s="2"/>
      <c r="H261" s="3"/>
      <c r="I261" s="2"/>
      <c r="J261" s="3"/>
      <c r="K261" s="2"/>
      <c r="L261" s="3"/>
      <c r="M261" s="2"/>
      <c r="N261" s="3"/>
      <c r="O261" s="2"/>
      <c r="P261" s="3"/>
      <c r="Q261" s="2"/>
      <c r="R261" s="3"/>
      <c r="S261" s="2"/>
      <c r="T261" s="3"/>
      <c r="U261" s="2"/>
      <c r="V261" s="3"/>
      <c r="W261" s="2"/>
      <c r="X261" s="3"/>
      <c r="Y261" s="2"/>
      <c r="Z261" s="3"/>
    </row>
    <row r="262">
      <c r="A262" s="1"/>
      <c r="B262" s="1"/>
      <c r="C262" s="2"/>
      <c r="D262" s="3"/>
      <c r="E262" s="2"/>
      <c r="F262" s="3"/>
      <c r="G262" s="2"/>
      <c r="H262" s="3"/>
      <c r="I262" s="2"/>
      <c r="J262" s="3"/>
      <c r="K262" s="2"/>
      <c r="L262" s="3"/>
      <c r="M262" s="2"/>
      <c r="N262" s="3"/>
      <c r="O262" s="2"/>
      <c r="P262" s="3"/>
      <c r="Q262" s="2"/>
      <c r="R262" s="3"/>
      <c r="S262" s="2"/>
      <c r="T262" s="3"/>
      <c r="U262" s="2"/>
      <c r="V262" s="3"/>
      <c r="W262" s="2"/>
      <c r="X262" s="3"/>
      <c r="Y262" s="2"/>
      <c r="Z262" s="3"/>
    </row>
    <row r="263">
      <c r="A263" s="1"/>
      <c r="B263" s="1"/>
      <c r="C263" s="2"/>
      <c r="D263" s="3"/>
      <c r="E263" s="2"/>
      <c r="F263" s="3"/>
      <c r="G263" s="2"/>
      <c r="H263" s="3"/>
      <c r="I263" s="2"/>
      <c r="J263" s="3"/>
      <c r="K263" s="2"/>
      <c r="L263" s="3"/>
      <c r="M263" s="2"/>
      <c r="N263" s="3"/>
      <c r="O263" s="2"/>
      <c r="P263" s="3"/>
      <c r="Q263" s="2"/>
      <c r="R263" s="3"/>
      <c r="S263" s="2"/>
      <c r="T263" s="3"/>
      <c r="U263" s="2"/>
      <c r="V263" s="3"/>
      <c r="W263" s="2"/>
      <c r="X263" s="3"/>
      <c r="Y263" s="2"/>
      <c r="Z263" s="3"/>
    </row>
    <row r="264">
      <c r="A264" s="1"/>
      <c r="B264" s="1"/>
      <c r="C264" s="2"/>
      <c r="D264" s="3"/>
      <c r="E264" s="2"/>
      <c r="F264" s="3"/>
      <c r="G264" s="2"/>
      <c r="H264" s="3"/>
      <c r="I264" s="2"/>
      <c r="J264" s="3"/>
      <c r="K264" s="2"/>
      <c r="L264" s="3"/>
      <c r="M264" s="2"/>
      <c r="N264" s="3"/>
      <c r="O264" s="2"/>
      <c r="P264" s="3"/>
      <c r="Q264" s="2"/>
      <c r="R264" s="3"/>
      <c r="S264" s="2"/>
      <c r="T264" s="3"/>
      <c r="U264" s="2"/>
      <c r="V264" s="3"/>
      <c r="W264" s="2"/>
      <c r="X264" s="3"/>
      <c r="Y264" s="2"/>
      <c r="Z264" s="3"/>
    </row>
    <row r="265">
      <c r="A265" s="1"/>
      <c r="B265" s="1"/>
      <c r="C265" s="2"/>
      <c r="D265" s="3"/>
      <c r="E265" s="2"/>
      <c r="F265" s="3"/>
      <c r="G265" s="2"/>
      <c r="H265" s="3"/>
      <c r="I265" s="2"/>
      <c r="J265" s="3"/>
      <c r="K265" s="2"/>
      <c r="L265" s="3"/>
      <c r="M265" s="2"/>
      <c r="N265" s="3"/>
      <c r="O265" s="2"/>
      <c r="P265" s="3"/>
      <c r="Q265" s="2"/>
      <c r="R265" s="3"/>
      <c r="S265" s="2"/>
      <c r="T265" s="3"/>
      <c r="U265" s="2"/>
      <c r="V265" s="3"/>
      <c r="W265" s="2"/>
      <c r="X265" s="3"/>
      <c r="Y265" s="2"/>
      <c r="Z265" s="3"/>
    </row>
    <row r="266">
      <c r="A266" s="1"/>
      <c r="B266" s="1"/>
      <c r="C266" s="2"/>
      <c r="D266" s="3"/>
      <c r="E266" s="2"/>
      <c r="F266" s="3"/>
      <c r="G266" s="2"/>
      <c r="H266" s="3"/>
      <c r="I266" s="2"/>
      <c r="J266" s="3"/>
      <c r="K266" s="2"/>
      <c r="L266" s="3"/>
      <c r="M266" s="2"/>
      <c r="N266" s="3"/>
      <c r="O266" s="2"/>
      <c r="P266" s="3"/>
      <c r="Q266" s="2"/>
      <c r="R266" s="3"/>
      <c r="S266" s="2"/>
      <c r="T266" s="3"/>
      <c r="U266" s="2"/>
      <c r="V266" s="3"/>
      <c r="W266" s="2"/>
      <c r="X266" s="3"/>
      <c r="Y266" s="2"/>
      <c r="Z266" s="3"/>
    </row>
    <row r="267">
      <c r="A267" s="1"/>
      <c r="B267" s="1"/>
      <c r="C267" s="2"/>
      <c r="D267" s="3"/>
      <c r="E267" s="2"/>
      <c r="F267" s="3"/>
      <c r="G267" s="2"/>
      <c r="H267" s="3"/>
      <c r="I267" s="2"/>
      <c r="J267" s="3"/>
      <c r="K267" s="2"/>
      <c r="L267" s="3"/>
      <c r="M267" s="2"/>
      <c r="N267" s="3"/>
      <c r="O267" s="2"/>
      <c r="P267" s="3"/>
      <c r="Q267" s="2"/>
      <c r="R267" s="3"/>
      <c r="S267" s="2"/>
      <c r="T267" s="3"/>
      <c r="U267" s="2"/>
      <c r="V267" s="3"/>
      <c r="W267" s="2"/>
      <c r="X267" s="3"/>
      <c r="Y267" s="2"/>
      <c r="Z267" s="3"/>
    </row>
    <row r="268">
      <c r="A268" s="1"/>
      <c r="B268" s="1"/>
      <c r="C268" s="2"/>
      <c r="D268" s="3"/>
      <c r="E268" s="2"/>
      <c r="F268" s="3"/>
      <c r="G268" s="2"/>
      <c r="H268" s="3"/>
      <c r="I268" s="2"/>
      <c r="J268" s="3"/>
      <c r="K268" s="2"/>
      <c r="L268" s="3"/>
      <c r="M268" s="2"/>
      <c r="N268" s="3"/>
      <c r="O268" s="2"/>
      <c r="P268" s="3"/>
      <c r="Q268" s="2"/>
      <c r="R268" s="3"/>
      <c r="S268" s="2"/>
      <c r="T268" s="3"/>
      <c r="U268" s="2"/>
      <c r="V268" s="3"/>
      <c r="W268" s="2"/>
      <c r="X268" s="3"/>
      <c r="Y268" s="2"/>
      <c r="Z268" s="3"/>
    </row>
    <row r="269">
      <c r="A269" s="1"/>
      <c r="B269" s="1"/>
      <c r="C269" s="2"/>
      <c r="D269" s="3"/>
      <c r="E269" s="2"/>
      <c r="F269" s="3"/>
      <c r="G269" s="2"/>
      <c r="H269" s="3"/>
      <c r="I269" s="2"/>
      <c r="J269" s="3"/>
      <c r="K269" s="2"/>
      <c r="L269" s="3"/>
      <c r="M269" s="2"/>
      <c r="N269" s="3"/>
      <c r="O269" s="2"/>
      <c r="P269" s="3"/>
      <c r="Q269" s="2"/>
      <c r="R269" s="3"/>
      <c r="S269" s="2"/>
      <c r="T269" s="3"/>
      <c r="U269" s="2"/>
      <c r="V269" s="3"/>
      <c r="W269" s="2"/>
      <c r="X269" s="3"/>
      <c r="Y269" s="2"/>
      <c r="Z269" s="3"/>
    </row>
    <row r="270">
      <c r="A270" s="1"/>
      <c r="B270" s="1"/>
      <c r="C270" s="2"/>
      <c r="D270" s="3"/>
      <c r="E270" s="2"/>
      <c r="F270" s="3"/>
      <c r="G270" s="2"/>
      <c r="H270" s="3"/>
      <c r="I270" s="2"/>
      <c r="J270" s="3"/>
      <c r="K270" s="2"/>
      <c r="L270" s="3"/>
      <c r="M270" s="2"/>
      <c r="N270" s="3"/>
      <c r="O270" s="2"/>
      <c r="P270" s="3"/>
      <c r="Q270" s="2"/>
      <c r="R270" s="3"/>
      <c r="S270" s="2"/>
      <c r="T270" s="3"/>
      <c r="U270" s="2"/>
      <c r="V270" s="3"/>
      <c r="W270" s="2"/>
      <c r="X270" s="3"/>
      <c r="Y270" s="2"/>
      <c r="Z270" s="3"/>
    </row>
    <row r="271">
      <c r="A271" s="1"/>
      <c r="B271" s="1"/>
      <c r="C271" s="2"/>
      <c r="D271" s="3"/>
      <c r="E271" s="2"/>
      <c r="F271" s="3"/>
      <c r="G271" s="2"/>
      <c r="H271" s="3"/>
      <c r="I271" s="2"/>
      <c r="J271" s="3"/>
      <c r="K271" s="2"/>
      <c r="L271" s="3"/>
      <c r="M271" s="2"/>
      <c r="N271" s="3"/>
      <c r="O271" s="2"/>
      <c r="P271" s="3"/>
      <c r="Q271" s="2"/>
      <c r="R271" s="3"/>
      <c r="S271" s="2"/>
      <c r="T271" s="3"/>
      <c r="U271" s="2"/>
      <c r="V271" s="3"/>
      <c r="W271" s="2"/>
      <c r="X271" s="3"/>
      <c r="Y271" s="2"/>
      <c r="Z271" s="3"/>
    </row>
    <row r="272">
      <c r="A272" s="1"/>
      <c r="B272" s="1"/>
      <c r="C272" s="2"/>
      <c r="D272" s="3"/>
      <c r="E272" s="2"/>
      <c r="F272" s="3"/>
      <c r="G272" s="2"/>
      <c r="H272" s="3"/>
      <c r="I272" s="2"/>
      <c r="J272" s="3"/>
      <c r="K272" s="2"/>
      <c r="L272" s="3"/>
      <c r="M272" s="2"/>
      <c r="N272" s="3"/>
      <c r="O272" s="2"/>
      <c r="P272" s="3"/>
      <c r="Q272" s="2"/>
      <c r="R272" s="3"/>
      <c r="S272" s="2"/>
      <c r="T272" s="3"/>
      <c r="U272" s="2"/>
      <c r="V272" s="3"/>
      <c r="W272" s="2"/>
      <c r="X272" s="3"/>
      <c r="Y272" s="2"/>
      <c r="Z272" s="3"/>
    </row>
    <row r="273">
      <c r="A273" s="1"/>
      <c r="B273" s="1"/>
      <c r="C273" s="2"/>
      <c r="D273" s="3"/>
      <c r="E273" s="2"/>
      <c r="F273" s="3"/>
      <c r="G273" s="2"/>
      <c r="H273" s="3"/>
      <c r="I273" s="2"/>
      <c r="J273" s="3"/>
      <c r="K273" s="2"/>
      <c r="L273" s="3"/>
      <c r="M273" s="2"/>
      <c r="N273" s="3"/>
      <c r="O273" s="2"/>
      <c r="P273" s="3"/>
      <c r="Q273" s="2"/>
      <c r="R273" s="3"/>
      <c r="S273" s="2"/>
      <c r="T273" s="3"/>
      <c r="U273" s="2"/>
      <c r="V273" s="3"/>
      <c r="W273" s="2"/>
      <c r="X273" s="3"/>
      <c r="Y273" s="2"/>
      <c r="Z273" s="3"/>
    </row>
    <row r="274">
      <c r="A274" s="1"/>
      <c r="B274" s="1"/>
      <c r="C274" s="2"/>
      <c r="D274" s="3"/>
      <c r="E274" s="2"/>
      <c r="F274" s="3"/>
      <c r="G274" s="2"/>
      <c r="H274" s="3"/>
      <c r="I274" s="2"/>
      <c r="J274" s="3"/>
      <c r="K274" s="2"/>
      <c r="L274" s="3"/>
      <c r="M274" s="2"/>
      <c r="N274" s="3"/>
      <c r="O274" s="2"/>
      <c r="P274" s="3"/>
      <c r="Q274" s="2"/>
      <c r="R274" s="3"/>
      <c r="S274" s="2"/>
      <c r="T274" s="3"/>
      <c r="U274" s="2"/>
      <c r="V274" s="3"/>
      <c r="W274" s="2"/>
      <c r="X274" s="3"/>
      <c r="Y274" s="2"/>
      <c r="Z274" s="3"/>
    </row>
    <row r="275">
      <c r="A275" s="1"/>
      <c r="B275" s="1"/>
      <c r="C275" s="2"/>
      <c r="D275" s="3"/>
      <c r="E275" s="2"/>
      <c r="F275" s="3"/>
      <c r="G275" s="2"/>
      <c r="H275" s="3"/>
      <c r="I275" s="2"/>
      <c r="J275" s="3"/>
      <c r="K275" s="2"/>
      <c r="L275" s="3"/>
      <c r="M275" s="2"/>
      <c r="N275" s="3"/>
      <c r="O275" s="2"/>
      <c r="P275" s="3"/>
      <c r="Q275" s="2"/>
      <c r="R275" s="3"/>
      <c r="S275" s="2"/>
      <c r="T275" s="3"/>
      <c r="U275" s="2"/>
      <c r="V275" s="3"/>
      <c r="W275" s="2"/>
      <c r="X275" s="3"/>
      <c r="Y275" s="2"/>
      <c r="Z275" s="3"/>
    </row>
    <row r="276">
      <c r="A276" s="1"/>
      <c r="B276" s="1"/>
      <c r="C276" s="2"/>
      <c r="D276" s="3"/>
      <c r="E276" s="2"/>
      <c r="F276" s="3"/>
      <c r="G276" s="2"/>
      <c r="H276" s="3"/>
      <c r="I276" s="2"/>
      <c r="J276" s="3"/>
      <c r="K276" s="2"/>
      <c r="L276" s="3"/>
      <c r="M276" s="2"/>
      <c r="N276" s="3"/>
      <c r="O276" s="2"/>
      <c r="P276" s="3"/>
      <c r="Q276" s="2"/>
      <c r="R276" s="3"/>
      <c r="S276" s="2"/>
      <c r="T276" s="3"/>
      <c r="U276" s="2"/>
      <c r="V276" s="3"/>
      <c r="W276" s="2"/>
      <c r="X276" s="3"/>
      <c r="Y276" s="2"/>
      <c r="Z276" s="3"/>
    </row>
    <row r="277">
      <c r="A277" s="1"/>
      <c r="B277" s="1"/>
      <c r="C277" s="2"/>
      <c r="D277" s="3"/>
      <c r="E277" s="2"/>
      <c r="F277" s="3"/>
      <c r="G277" s="2"/>
      <c r="H277" s="3"/>
      <c r="I277" s="2"/>
      <c r="J277" s="3"/>
      <c r="K277" s="2"/>
      <c r="L277" s="3"/>
      <c r="M277" s="2"/>
      <c r="N277" s="3"/>
      <c r="O277" s="2"/>
      <c r="P277" s="3"/>
      <c r="Q277" s="2"/>
      <c r="R277" s="3"/>
      <c r="S277" s="2"/>
      <c r="T277" s="3"/>
      <c r="U277" s="2"/>
      <c r="V277" s="3"/>
      <c r="W277" s="2"/>
      <c r="X277" s="3"/>
      <c r="Y277" s="2"/>
      <c r="Z277" s="3"/>
    </row>
    <row r="278">
      <c r="A278" s="1"/>
      <c r="B278" s="1"/>
      <c r="C278" s="2"/>
      <c r="D278" s="3"/>
      <c r="E278" s="2"/>
      <c r="F278" s="3"/>
      <c r="G278" s="2"/>
      <c r="H278" s="3"/>
      <c r="I278" s="2"/>
      <c r="J278" s="3"/>
      <c r="K278" s="2"/>
      <c r="L278" s="3"/>
      <c r="M278" s="2"/>
      <c r="N278" s="3"/>
      <c r="O278" s="2"/>
      <c r="P278" s="3"/>
      <c r="Q278" s="2"/>
      <c r="R278" s="3"/>
      <c r="S278" s="2"/>
      <c r="T278" s="3"/>
      <c r="U278" s="2"/>
      <c r="V278" s="3"/>
      <c r="W278" s="2"/>
      <c r="X278" s="3"/>
      <c r="Y278" s="2"/>
      <c r="Z278" s="3"/>
    </row>
    <row r="279">
      <c r="A279" s="1"/>
      <c r="B279" s="1"/>
      <c r="C279" s="2"/>
      <c r="D279" s="3"/>
      <c r="E279" s="2"/>
      <c r="F279" s="3"/>
      <c r="G279" s="2"/>
      <c r="H279" s="3"/>
      <c r="I279" s="2"/>
      <c r="J279" s="3"/>
      <c r="K279" s="2"/>
      <c r="L279" s="3"/>
      <c r="M279" s="2"/>
      <c r="N279" s="3"/>
      <c r="O279" s="2"/>
      <c r="P279" s="3"/>
      <c r="Q279" s="2"/>
      <c r="R279" s="3"/>
      <c r="S279" s="2"/>
      <c r="T279" s="3"/>
      <c r="U279" s="2"/>
      <c r="V279" s="3"/>
      <c r="W279" s="2"/>
      <c r="X279" s="3"/>
      <c r="Y279" s="2"/>
      <c r="Z279" s="3"/>
    </row>
    <row r="280">
      <c r="A280" s="1"/>
      <c r="B280" s="1"/>
      <c r="C280" s="2"/>
      <c r="D280" s="3"/>
      <c r="E280" s="2"/>
      <c r="F280" s="3"/>
      <c r="G280" s="2"/>
      <c r="H280" s="3"/>
      <c r="I280" s="2"/>
      <c r="J280" s="3"/>
      <c r="K280" s="2"/>
      <c r="L280" s="3"/>
      <c r="M280" s="2"/>
      <c r="N280" s="3"/>
      <c r="O280" s="2"/>
      <c r="P280" s="3"/>
      <c r="Q280" s="2"/>
      <c r="R280" s="3"/>
      <c r="S280" s="2"/>
      <c r="T280" s="3"/>
      <c r="U280" s="2"/>
      <c r="V280" s="3"/>
      <c r="W280" s="2"/>
      <c r="X280" s="3"/>
      <c r="Y280" s="2"/>
      <c r="Z280" s="3"/>
    </row>
    <row r="281">
      <c r="A281" s="1"/>
      <c r="B281" s="1"/>
      <c r="C281" s="2"/>
      <c r="D281" s="3"/>
      <c r="E281" s="2"/>
      <c r="F281" s="3"/>
      <c r="G281" s="2"/>
      <c r="H281" s="3"/>
      <c r="I281" s="2"/>
      <c r="J281" s="3"/>
      <c r="K281" s="2"/>
      <c r="L281" s="3"/>
      <c r="M281" s="2"/>
      <c r="N281" s="3"/>
      <c r="O281" s="2"/>
      <c r="P281" s="3"/>
      <c r="Q281" s="2"/>
      <c r="R281" s="3"/>
      <c r="S281" s="2"/>
      <c r="T281" s="3"/>
      <c r="U281" s="2"/>
      <c r="V281" s="3"/>
      <c r="W281" s="2"/>
      <c r="X281" s="3"/>
      <c r="Y281" s="2"/>
      <c r="Z281" s="3"/>
    </row>
    <row r="282">
      <c r="A282" s="1"/>
      <c r="B282" s="1"/>
      <c r="C282" s="2"/>
      <c r="D282" s="3"/>
      <c r="E282" s="2"/>
      <c r="F282" s="3"/>
      <c r="G282" s="2"/>
      <c r="H282" s="3"/>
      <c r="I282" s="2"/>
      <c r="J282" s="3"/>
      <c r="K282" s="2"/>
      <c r="L282" s="3"/>
      <c r="M282" s="2"/>
      <c r="N282" s="3"/>
      <c r="O282" s="2"/>
      <c r="P282" s="3"/>
      <c r="Q282" s="2"/>
      <c r="R282" s="3"/>
      <c r="S282" s="2"/>
      <c r="T282" s="3"/>
      <c r="U282" s="2"/>
      <c r="V282" s="3"/>
      <c r="W282" s="2"/>
      <c r="X282" s="3"/>
      <c r="Y282" s="2"/>
      <c r="Z282" s="3"/>
    </row>
    <row r="283">
      <c r="A283" s="1"/>
      <c r="B283" s="1"/>
      <c r="C283" s="2"/>
      <c r="D283" s="3"/>
      <c r="E283" s="2"/>
      <c r="F283" s="3"/>
      <c r="G283" s="2"/>
      <c r="H283" s="3"/>
      <c r="I283" s="2"/>
      <c r="J283" s="3"/>
      <c r="K283" s="2"/>
      <c r="L283" s="3"/>
      <c r="M283" s="2"/>
      <c r="N283" s="3"/>
      <c r="O283" s="2"/>
      <c r="P283" s="3"/>
      <c r="Q283" s="2"/>
      <c r="R283" s="3"/>
      <c r="S283" s="2"/>
      <c r="T283" s="3"/>
      <c r="U283" s="2"/>
      <c r="V283" s="3"/>
      <c r="W283" s="2"/>
      <c r="X283" s="3"/>
      <c r="Y283" s="2"/>
      <c r="Z283" s="3"/>
    </row>
    <row r="284">
      <c r="A284" s="1"/>
      <c r="B284" s="1"/>
      <c r="C284" s="2"/>
      <c r="D284" s="3"/>
      <c r="E284" s="2"/>
      <c r="F284" s="3"/>
      <c r="G284" s="2"/>
      <c r="H284" s="3"/>
      <c r="I284" s="2"/>
      <c r="J284" s="3"/>
      <c r="K284" s="2"/>
      <c r="L284" s="3"/>
      <c r="M284" s="2"/>
      <c r="N284" s="3"/>
      <c r="O284" s="2"/>
      <c r="P284" s="3"/>
      <c r="Q284" s="2"/>
      <c r="R284" s="3"/>
      <c r="S284" s="2"/>
      <c r="T284" s="3"/>
      <c r="U284" s="2"/>
      <c r="V284" s="3"/>
      <c r="W284" s="2"/>
      <c r="X284" s="3"/>
      <c r="Y284" s="2"/>
      <c r="Z284" s="3"/>
    </row>
    <row r="285">
      <c r="A285" s="1"/>
      <c r="B285" s="1"/>
      <c r="C285" s="2"/>
      <c r="D285" s="3"/>
      <c r="E285" s="2"/>
      <c r="F285" s="3"/>
      <c r="G285" s="2"/>
      <c r="H285" s="3"/>
      <c r="I285" s="2"/>
      <c r="J285" s="3"/>
      <c r="K285" s="2"/>
      <c r="L285" s="3"/>
      <c r="M285" s="2"/>
      <c r="N285" s="3"/>
      <c r="O285" s="2"/>
      <c r="P285" s="3"/>
      <c r="Q285" s="2"/>
      <c r="R285" s="3"/>
      <c r="S285" s="2"/>
      <c r="T285" s="3"/>
      <c r="U285" s="2"/>
      <c r="V285" s="3"/>
      <c r="W285" s="2"/>
      <c r="X285" s="3"/>
      <c r="Y285" s="2"/>
      <c r="Z285" s="3"/>
    </row>
    <row r="286">
      <c r="A286" s="1"/>
      <c r="B286" s="1"/>
      <c r="C286" s="2"/>
      <c r="D286" s="3"/>
      <c r="E286" s="2"/>
      <c r="F286" s="3"/>
      <c r="G286" s="2"/>
      <c r="H286" s="3"/>
      <c r="I286" s="2"/>
      <c r="J286" s="3"/>
      <c r="K286" s="2"/>
      <c r="L286" s="3"/>
      <c r="M286" s="2"/>
      <c r="N286" s="3"/>
      <c r="O286" s="2"/>
      <c r="P286" s="3"/>
      <c r="Q286" s="2"/>
      <c r="R286" s="3"/>
      <c r="S286" s="2"/>
      <c r="T286" s="3"/>
      <c r="U286" s="2"/>
      <c r="V286" s="3"/>
      <c r="W286" s="2"/>
      <c r="X286" s="3"/>
      <c r="Y286" s="2"/>
      <c r="Z286" s="3"/>
    </row>
    <row r="287">
      <c r="A287" s="1"/>
      <c r="B287" s="1"/>
      <c r="C287" s="2"/>
      <c r="D287" s="3"/>
      <c r="E287" s="2"/>
      <c r="F287" s="3"/>
      <c r="G287" s="2"/>
      <c r="H287" s="3"/>
      <c r="I287" s="2"/>
      <c r="J287" s="3"/>
      <c r="K287" s="2"/>
      <c r="L287" s="3"/>
      <c r="M287" s="2"/>
      <c r="N287" s="3"/>
      <c r="O287" s="2"/>
      <c r="P287" s="3"/>
      <c r="Q287" s="2"/>
      <c r="R287" s="3"/>
      <c r="S287" s="2"/>
      <c r="T287" s="3"/>
      <c r="U287" s="2"/>
      <c r="V287" s="3"/>
      <c r="W287" s="2"/>
      <c r="X287" s="3"/>
      <c r="Y287" s="2"/>
      <c r="Z287" s="3"/>
    </row>
    <row r="288">
      <c r="A288" s="1"/>
      <c r="B288" s="1"/>
      <c r="C288" s="2"/>
      <c r="D288" s="3"/>
      <c r="E288" s="2"/>
      <c r="F288" s="3"/>
      <c r="G288" s="2"/>
      <c r="H288" s="3"/>
      <c r="I288" s="2"/>
      <c r="J288" s="3"/>
      <c r="K288" s="2"/>
      <c r="L288" s="3"/>
      <c r="M288" s="2"/>
      <c r="N288" s="3"/>
      <c r="O288" s="2"/>
      <c r="P288" s="3"/>
      <c r="Q288" s="2"/>
      <c r="R288" s="3"/>
      <c r="S288" s="2"/>
      <c r="T288" s="3"/>
      <c r="U288" s="2"/>
      <c r="V288" s="3"/>
      <c r="W288" s="2"/>
      <c r="X288" s="3"/>
      <c r="Y288" s="2"/>
      <c r="Z288" s="3"/>
    </row>
    <row r="289">
      <c r="A289" s="1"/>
      <c r="B289" s="1"/>
      <c r="C289" s="2"/>
      <c r="D289" s="3"/>
      <c r="E289" s="2"/>
      <c r="F289" s="3"/>
      <c r="G289" s="2"/>
      <c r="H289" s="3"/>
      <c r="I289" s="2"/>
      <c r="J289" s="3"/>
      <c r="K289" s="2"/>
      <c r="L289" s="3"/>
      <c r="M289" s="2"/>
      <c r="N289" s="3"/>
      <c r="O289" s="2"/>
      <c r="P289" s="3"/>
      <c r="Q289" s="2"/>
      <c r="R289" s="3"/>
      <c r="S289" s="2"/>
      <c r="T289" s="3"/>
      <c r="U289" s="2"/>
      <c r="V289" s="3"/>
      <c r="W289" s="2"/>
      <c r="X289" s="3"/>
      <c r="Y289" s="2"/>
      <c r="Z289" s="3"/>
    </row>
    <row r="290">
      <c r="A290" s="1"/>
      <c r="B290" s="1"/>
      <c r="C290" s="2"/>
      <c r="D290" s="3"/>
      <c r="E290" s="2"/>
      <c r="F290" s="3"/>
      <c r="G290" s="2"/>
      <c r="H290" s="3"/>
      <c r="I290" s="2"/>
      <c r="J290" s="3"/>
      <c r="K290" s="2"/>
      <c r="L290" s="3"/>
      <c r="M290" s="2"/>
      <c r="N290" s="3"/>
      <c r="O290" s="2"/>
      <c r="P290" s="3"/>
      <c r="Q290" s="2"/>
      <c r="R290" s="3"/>
      <c r="S290" s="2"/>
      <c r="T290" s="3"/>
      <c r="U290" s="2"/>
      <c r="V290" s="3"/>
      <c r="W290" s="2"/>
      <c r="X290" s="3"/>
      <c r="Y290" s="2"/>
      <c r="Z290" s="3"/>
    </row>
    <row r="291">
      <c r="A291" s="1"/>
      <c r="B291" s="1"/>
      <c r="C291" s="2"/>
      <c r="D291" s="3"/>
      <c r="E291" s="2"/>
      <c r="F291" s="3"/>
      <c r="G291" s="2"/>
      <c r="H291" s="3"/>
      <c r="I291" s="2"/>
      <c r="J291" s="3"/>
      <c r="K291" s="2"/>
      <c r="L291" s="3"/>
      <c r="M291" s="2"/>
      <c r="N291" s="3"/>
      <c r="O291" s="2"/>
      <c r="P291" s="3"/>
      <c r="Q291" s="2"/>
      <c r="R291" s="3"/>
      <c r="S291" s="2"/>
      <c r="T291" s="3"/>
      <c r="U291" s="2"/>
      <c r="V291" s="3"/>
      <c r="W291" s="2"/>
      <c r="X291" s="3"/>
      <c r="Y291" s="2"/>
      <c r="Z291" s="3"/>
    </row>
    <row r="292">
      <c r="A292" s="1"/>
      <c r="B292" s="1"/>
      <c r="C292" s="2"/>
      <c r="D292" s="3"/>
      <c r="E292" s="2"/>
      <c r="F292" s="3"/>
      <c r="G292" s="2"/>
      <c r="H292" s="3"/>
      <c r="I292" s="2"/>
      <c r="J292" s="3"/>
      <c r="K292" s="2"/>
      <c r="L292" s="3"/>
      <c r="M292" s="2"/>
      <c r="N292" s="3"/>
      <c r="O292" s="2"/>
      <c r="P292" s="3"/>
      <c r="Q292" s="2"/>
      <c r="R292" s="3"/>
      <c r="S292" s="2"/>
      <c r="T292" s="3"/>
      <c r="U292" s="2"/>
      <c r="V292" s="3"/>
      <c r="W292" s="2"/>
      <c r="X292" s="3"/>
      <c r="Y292" s="2"/>
      <c r="Z292" s="3"/>
    </row>
    <row r="293">
      <c r="A293" s="1"/>
      <c r="B293" s="1"/>
      <c r="C293" s="2"/>
      <c r="D293" s="3"/>
      <c r="E293" s="2"/>
      <c r="F293" s="3"/>
      <c r="G293" s="2"/>
      <c r="H293" s="3"/>
      <c r="I293" s="2"/>
      <c r="J293" s="3"/>
      <c r="K293" s="2"/>
      <c r="L293" s="3"/>
      <c r="M293" s="2"/>
      <c r="N293" s="3"/>
      <c r="O293" s="2"/>
      <c r="P293" s="3"/>
      <c r="Q293" s="2"/>
      <c r="R293" s="3"/>
      <c r="S293" s="2"/>
      <c r="T293" s="3"/>
      <c r="U293" s="2"/>
      <c r="V293" s="3"/>
      <c r="W293" s="2"/>
      <c r="X293" s="3"/>
      <c r="Y293" s="2"/>
      <c r="Z293" s="3"/>
    </row>
    <row r="294">
      <c r="A294" s="1"/>
      <c r="B294" s="1"/>
      <c r="C294" s="2"/>
      <c r="D294" s="3"/>
      <c r="E294" s="2"/>
      <c r="F294" s="3"/>
      <c r="G294" s="2"/>
      <c r="H294" s="3"/>
      <c r="I294" s="2"/>
      <c r="J294" s="3"/>
      <c r="K294" s="2"/>
      <c r="L294" s="3"/>
      <c r="M294" s="2"/>
      <c r="N294" s="3"/>
      <c r="O294" s="2"/>
      <c r="P294" s="3"/>
      <c r="Q294" s="2"/>
      <c r="R294" s="3"/>
      <c r="S294" s="2"/>
      <c r="T294" s="3"/>
      <c r="U294" s="2"/>
      <c r="V294" s="3"/>
      <c r="W294" s="2"/>
      <c r="X294" s="3"/>
      <c r="Y294" s="2"/>
      <c r="Z294" s="3"/>
    </row>
    <row r="295">
      <c r="A295" s="1"/>
      <c r="B295" s="1"/>
      <c r="C295" s="2"/>
      <c r="D295" s="3"/>
      <c r="E295" s="2"/>
      <c r="F295" s="3"/>
      <c r="G295" s="2"/>
      <c r="H295" s="3"/>
      <c r="I295" s="2"/>
      <c r="J295" s="3"/>
      <c r="K295" s="2"/>
      <c r="L295" s="3"/>
      <c r="M295" s="2"/>
      <c r="N295" s="3"/>
      <c r="O295" s="2"/>
      <c r="P295" s="3"/>
      <c r="Q295" s="2"/>
      <c r="R295" s="3"/>
      <c r="S295" s="2"/>
      <c r="T295" s="3"/>
      <c r="U295" s="2"/>
      <c r="V295" s="3"/>
      <c r="W295" s="2"/>
      <c r="X295" s="3"/>
      <c r="Y295" s="2"/>
      <c r="Z295" s="3"/>
    </row>
    <row r="296">
      <c r="A296" s="1"/>
      <c r="B296" s="1"/>
      <c r="C296" s="2"/>
      <c r="D296" s="3"/>
      <c r="E296" s="2"/>
      <c r="F296" s="3"/>
      <c r="G296" s="2"/>
      <c r="H296" s="3"/>
      <c r="I296" s="2"/>
      <c r="J296" s="3"/>
      <c r="K296" s="2"/>
      <c r="L296" s="3"/>
      <c r="M296" s="2"/>
      <c r="N296" s="3"/>
      <c r="O296" s="2"/>
      <c r="P296" s="3"/>
      <c r="Q296" s="2"/>
      <c r="R296" s="3"/>
      <c r="S296" s="2"/>
      <c r="T296" s="3"/>
      <c r="U296" s="2"/>
      <c r="V296" s="3"/>
      <c r="W296" s="2"/>
      <c r="X296" s="3"/>
      <c r="Y296" s="2"/>
      <c r="Z296" s="3"/>
    </row>
    <row r="297">
      <c r="A297" s="1"/>
      <c r="B297" s="1"/>
      <c r="C297" s="2"/>
      <c r="D297" s="3"/>
      <c r="E297" s="2"/>
      <c r="F297" s="3"/>
      <c r="G297" s="2"/>
      <c r="H297" s="3"/>
      <c r="I297" s="2"/>
      <c r="J297" s="3"/>
      <c r="K297" s="2"/>
      <c r="L297" s="3"/>
      <c r="M297" s="2"/>
      <c r="N297" s="3"/>
      <c r="O297" s="2"/>
      <c r="P297" s="3"/>
      <c r="Q297" s="2"/>
      <c r="R297" s="3"/>
      <c r="S297" s="2"/>
      <c r="T297" s="3"/>
      <c r="U297" s="2"/>
      <c r="V297" s="3"/>
      <c r="W297" s="2"/>
      <c r="X297" s="3"/>
      <c r="Y297" s="2"/>
      <c r="Z297" s="3"/>
    </row>
    <row r="298">
      <c r="A298" s="1"/>
      <c r="B298" s="1"/>
      <c r="C298" s="2"/>
      <c r="D298" s="3"/>
      <c r="E298" s="2"/>
      <c r="F298" s="3"/>
      <c r="G298" s="2"/>
      <c r="H298" s="3"/>
      <c r="I298" s="2"/>
      <c r="J298" s="3"/>
      <c r="K298" s="2"/>
      <c r="L298" s="3"/>
      <c r="M298" s="2"/>
      <c r="N298" s="3"/>
      <c r="O298" s="2"/>
      <c r="P298" s="3"/>
      <c r="Q298" s="2"/>
      <c r="R298" s="3"/>
      <c r="S298" s="2"/>
      <c r="T298" s="3"/>
      <c r="U298" s="2"/>
      <c r="V298" s="3"/>
      <c r="W298" s="2"/>
      <c r="X298" s="3"/>
      <c r="Y298" s="2"/>
      <c r="Z298" s="3"/>
    </row>
    <row r="299">
      <c r="A299" s="1"/>
      <c r="B299" s="1"/>
      <c r="C299" s="2"/>
      <c r="D299" s="3"/>
      <c r="E299" s="2"/>
      <c r="F299" s="3"/>
      <c r="G299" s="2"/>
      <c r="H299" s="3"/>
      <c r="I299" s="2"/>
      <c r="J299" s="3"/>
      <c r="K299" s="2"/>
      <c r="L299" s="3"/>
      <c r="M299" s="2"/>
      <c r="N299" s="3"/>
      <c r="O299" s="2"/>
      <c r="P299" s="3"/>
      <c r="Q299" s="2"/>
      <c r="R299" s="3"/>
      <c r="S299" s="2"/>
      <c r="T299" s="3"/>
      <c r="U299" s="2"/>
      <c r="V299" s="3"/>
      <c r="W299" s="2"/>
      <c r="X299" s="3"/>
      <c r="Y299" s="2"/>
      <c r="Z299" s="3"/>
    </row>
    <row r="300">
      <c r="A300" s="1"/>
      <c r="B300" s="1"/>
      <c r="C300" s="2"/>
      <c r="D300" s="3"/>
      <c r="E300" s="2"/>
      <c r="F300" s="3"/>
      <c r="G300" s="2"/>
      <c r="H300" s="3"/>
      <c r="I300" s="2"/>
      <c r="J300" s="3"/>
      <c r="K300" s="2"/>
      <c r="L300" s="3"/>
      <c r="M300" s="2"/>
      <c r="N300" s="3"/>
      <c r="O300" s="2"/>
      <c r="P300" s="3"/>
      <c r="Q300" s="2"/>
      <c r="R300" s="3"/>
      <c r="S300" s="2"/>
      <c r="T300" s="3"/>
      <c r="U300" s="2"/>
      <c r="V300" s="3"/>
      <c r="W300" s="2"/>
      <c r="X300" s="3"/>
      <c r="Y300" s="2"/>
      <c r="Z300" s="3"/>
    </row>
    <row r="301">
      <c r="A301" s="1"/>
      <c r="B301" s="1"/>
      <c r="C301" s="2"/>
      <c r="D301" s="3"/>
      <c r="E301" s="2"/>
      <c r="F301" s="3"/>
      <c r="G301" s="2"/>
      <c r="H301" s="3"/>
      <c r="I301" s="2"/>
      <c r="J301" s="3"/>
      <c r="K301" s="2"/>
      <c r="L301" s="3"/>
      <c r="M301" s="2"/>
      <c r="N301" s="3"/>
      <c r="O301" s="2"/>
      <c r="P301" s="3"/>
      <c r="Q301" s="2"/>
      <c r="R301" s="3"/>
      <c r="S301" s="2"/>
      <c r="T301" s="3"/>
      <c r="U301" s="2"/>
      <c r="V301" s="3"/>
      <c r="W301" s="2"/>
      <c r="X301" s="3"/>
      <c r="Y301" s="2"/>
      <c r="Z301" s="3"/>
    </row>
    <row r="302">
      <c r="A302" s="1"/>
      <c r="B302" s="1"/>
      <c r="C302" s="2"/>
      <c r="D302" s="3"/>
      <c r="E302" s="2"/>
      <c r="F302" s="3"/>
      <c r="G302" s="2"/>
      <c r="H302" s="3"/>
      <c r="I302" s="2"/>
      <c r="J302" s="3"/>
      <c r="K302" s="2"/>
      <c r="L302" s="3"/>
      <c r="M302" s="2"/>
      <c r="N302" s="3"/>
      <c r="O302" s="2"/>
      <c r="P302" s="3"/>
      <c r="Q302" s="2"/>
      <c r="R302" s="3"/>
      <c r="S302" s="2"/>
      <c r="T302" s="3"/>
      <c r="U302" s="2"/>
      <c r="V302" s="3"/>
      <c r="W302" s="2"/>
      <c r="X302" s="3"/>
      <c r="Y302" s="2"/>
      <c r="Z302" s="3"/>
    </row>
    <row r="303">
      <c r="A303" s="1"/>
      <c r="B303" s="1"/>
      <c r="C303" s="2"/>
      <c r="D303" s="3"/>
      <c r="E303" s="2"/>
      <c r="F303" s="3"/>
      <c r="G303" s="2"/>
      <c r="H303" s="3"/>
      <c r="I303" s="2"/>
      <c r="J303" s="3"/>
      <c r="K303" s="2"/>
      <c r="L303" s="3"/>
      <c r="M303" s="2"/>
      <c r="N303" s="3"/>
      <c r="O303" s="2"/>
      <c r="P303" s="3"/>
      <c r="Q303" s="2"/>
      <c r="R303" s="3"/>
      <c r="S303" s="2"/>
      <c r="T303" s="3"/>
      <c r="U303" s="2"/>
      <c r="V303" s="3"/>
      <c r="W303" s="2"/>
      <c r="X303" s="3"/>
      <c r="Y303" s="2"/>
      <c r="Z303" s="3"/>
    </row>
    <row r="304">
      <c r="A304" s="1"/>
      <c r="B304" s="1"/>
      <c r="C304" s="2"/>
      <c r="D304" s="3"/>
      <c r="E304" s="2"/>
      <c r="F304" s="3"/>
      <c r="G304" s="2"/>
      <c r="H304" s="3"/>
      <c r="I304" s="2"/>
      <c r="J304" s="3"/>
      <c r="K304" s="2"/>
      <c r="L304" s="3"/>
      <c r="M304" s="2"/>
      <c r="N304" s="3"/>
      <c r="O304" s="2"/>
      <c r="P304" s="3"/>
      <c r="Q304" s="2"/>
      <c r="R304" s="3"/>
      <c r="S304" s="2"/>
      <c r="T304" s="3"/>
      <c r="U304" s="2"/>
      <c r="V304" s="3"/>
      <c r="W304" s="2"/>
      <c r="X304" s="3"/>
      <c r="Y304" s="2"/>
      <c r="Z304" s="3"/>
    </row>
    <row r="305">
      <c r="A305" s="1"/>
      <c r="B305" s="1"/>
      <c r="C305" s="2"/>
      <c r="D305" s="3"/>
      <c r="E305" s="2"/>
      <c r="F305" s="3"/>
      <c r="G305" s="2"/>
      <c r="H305" s="3"/>
      <c r="I305" s="2"/>
      <c r="J305" s="3"/>
      <c r="K305" s="2"/>
      <c r="L305" s="3"/>
      <c r="M305" s="2"/>
      <c r="N305" s="3"/>
      <c r="O305" s="2"/>
      <c r="P305" s="3"/>
      <c r="Q305" s="2"/>
      <c r="R305" s="3"/>
      <c r="S305" s="2"/>
      <c r="T305" s="3"/>
      <c r="U305" s="2"/>
      <c r="V305" s="3"/>
      <c r="W305" s="2"/>
      <c r="X305" s="3"/>
      <c r="Y305" s="2"/>
      <c r="Z305" s="3"/>
    </row>
    <row r="306">
      <c r="A306" s="1"/>
      <c r="B306" s="1"/>
      <c r="C306" s="2"/>
      <c r="D306" s="3"/>
      <c r="E306" s="2"/>
      <c r="F306" s="3"/>
      <c r="G306" s="2"/>
      <c r="H306" s="3"/>
      <c r="I306" s="2"/>
      <c r="J306" s="3"/>
      <c r="K306" s="2"/>
      <c r="L306" s="3"/>
      <c r="M306" s="2"/>
      <c r="N306" s="3"/>
      <c r="O306" s="2"/>
      <c r="P306" s="3"/>
      <c r="Q306" s="2"/>
      <c r="R306" s="3"/>
      <c r="S306" s="2"/>
      <c r="T306" s="3"/>
      <c r="U306" s="2"/>
      <c r="V306" s="3"/>
      <c r="W306" s="2"/>
      <c r="X306" s="3"/>
      <c r="Y306" s="2"/>
      <c r="Z306" s="3"/>
    </row>
    <row r="307">
      <c r="A307" s="1"/>
      <c r="B307" s="1"/>
      <c r="C307" s="2"/>
      <c r="D307" s="3"/>
      <c r="E307" s="2"/>
      <c r="F307" s="3"/>
      <c r="G307" s="2"/>
      <c r="H307" s="3"/>
      <c r="I307" s="2"/>
      <c r="J307" s="3"/>
      <c r="K307" s="2"/>
      <c r="L307" s="3"/>
      <c r="M307" s="2"/>
      <c r="N307" s="3"/>
      <c r="O307" s="2"/>
      <c r="P307" s="3"/>
      <c r="Q307" s="2"/>
      <c r="R307" s="3"/>
      <c r="S307" s="2"/>
      <c r="T307" s="3"/>
      <c r="U307" s="2"/>
      <c r="V307" s="3"/>
      <c r="W307" s="2"/>
      <c r="X307" s="3"/>
      <c r="Y307" s="2"/>
      <c r="Z307" s="3"/>
    </row>
    <row r="308">
      <c r="A308" s="1"/>
      <c r="B308" s="1"/>
      <c r="C308" s="2"/>
      <c r="D308" s="3"/>
      <c r="E308" s="2"/>
      <c r="F308" s="3"/>
      <c r="G308" s="2"/>
      <c r="H308" s="3"/>
      <c r="I308" s="2"/>
      <c r="J308" s="3"/>
      <c r="K308" s="2"/>
      <c r="L308" s="3"/>
      <c r="M308" s="2"/>
      <c r="N308" s="3"/>
      <c r="O308" s="2"/>
      <c r="P308" s="3"/>
      <c r="Q308" s="2"/>
      <c r="R308" s="3"/>
      <c r="S308" s="2"/>
      <c r="T308" s="3"/>
      <c r="U308" s="2"/>
      <c r="V308" s="3"/>
      <c r="W308" s="2"/>
      <c r="X308" s="3"/>
      <c r="Y308" s="2"/>
      <c r="Z308" s="3"/>
    </row>
    <row r="309">
      <c r="A309" s="1"/>
      <c r="B309" s="1"/>
      <c r="C309" s="2"/>
      <c r="D309" s="3"/>
      <c r="E309" s="2"/>
      <c r="F309" s="3"/>
      <c r="G309" s="2"/>
      <c r="H309" s="3"/>
      <c r="I309" s="2"/>
      <c r="J309" s="3"/>
      <c r="K309" s="2"/>
      <c r="L309" s="3"/>
      <c r="M309" s="2"/>
      <c r="N309" s="3"/>
      <c r="O309" s="2"/>
      <c r="P309" s="3"/>
      <c r="Q309" s="2"/>
      <c r="R309" s="3"/>
      <c r="S309" s="2"/>
      <c r="T309" s="3"/>
      <c r="U309" s="2"/>
      <c r="V309" s="3"/>
      <c r="W309" s="2"/>
      <c r="X309" s="3"/>
      <c r="Y309" s="2"/>
      <c r="Z309" s="3"/>
    </row>
    <row r="310">
      <c r="A310" s="1"/>
      <c r="B310" s="1"/>
      <c r="C310" s="2"/>
      <c r="D310" s="3"/>
      <c r="E310" s="2"/>
      <c r="F310" s="3"/>
      <c r="G310" s="2"/>
      <c r="H310" s="3"/>
      <c r="I310" s="2"/>
      <c r="J310" s="3"/>
      <c r="K310" s="2"/>
      <c r="L310" s="3"/>
      <c r="M310" s="2"/>
      <c r="N310" s="3"/>
      <c r="O310" s="2"/>
      <c r="P310" s="3"/>
      <c r="Q310" s="2"/>
      <c r="R310" s="3"/>
      <c r="S310" s="2"/>
      <c r="T310" s="3"/>
      <c r="U310" s="2"/>
      <c r="V310" s="3"/>
      <c r="W310" s="2"/>
      <c r="X310" s="3"/>
      <c r="Y310" s="2"/>
      <c r="Z310" s="3"/>
    </row>
    <row r="311">
      <c r="A311" s="1"/>
      <c r="B311" s="1"/>
      <c r="C311" s="2"/>
      <c r="D311" s="3"/>
      <c r="E311" s="2"/>
      <c r="F311" s="3"/>
      <c r="G311" s="2"/>
      <c r="H311" s="3"/>
      <c r="I311" s="2"/>
      <c r="J311" s="3"/>
      <c r="K311" s="2"/>
      <c r="L311" s="3"/>
      <c r="M311" s="2"/>
      <c r="N311" s="3"/>
      <c r="O311" s="2"/>
      <c r="P311" s="3"/>
      <c r="Q311" s="2"/>
      <c r="R311" s="3"/>
      <c r="S311" s="2"/>
      <c r="T311" s="3"/>
      <c r="U311" s="2"/>
      <c r="V311" s="3"/>
      <c r="W311" s="2"/>
      <c r="X311" s="3"/>
      <c r="Y311" s="2"/>
      <c r="Z311" s="3"/>
    </row>
    <row r="312">
      <c r="A312" s="1"/>
      <c r="B312" s="1"/>
      <c r="C312" s="2"/>
      <c r="D312" s="3"/>
      <c r="E312" s="2"/>
      <c r="F312" s="3"/>
      <c r="G312" s="2"/>
      <c r="H312" s="3"/>
      <c r="I312" s="2"/>
      <c r="J312" s="3"/>
      <c r="K312" s="2"/>
      <c r="L312" s="3"/>
      <c r="M312" s="2"/>
      <c r="N312" s="3"/>
      <c r="O312" s="2"/>
      <c r="P312" s="3"/>
      <c r="Q312" s="2"/>
      <c r="R312" s="3"/>
      <c r="S312" s="2"/>
      <c r="T312" s="3"/>
      <c r="U312" s="2"/>
      <c r="V312" s="3"/>
      <c r="W312" s="2"/>
      <c r="X312" s="3"/>
      <c r="Y312" s="2"/>
      <c r="Z312" s="3"/>
    </row>
    <row r="313">
      <c r="A313" s="1"/>
      <c r="B313" s="1"/>
      <c r="C313" s="2"/>
      <c r="D313" s="3"/>
      <c r="E313" s="2"/>
      <c r="F313" s="3"/>
      <c r="G313" s="2"/>
      <c r="H313" s="3"/>
      <c r="I313" s="2"/>
      <c r="J313" s="3"/>
      <c r="K313" s="2"/>
      <c r="L313" s="3"/>
      <c r="M313" s="2"/>
      <c r="N313" s="3"/>
      <c r="O313" s="2"/>
      <c r="P313" s="3"/>
      <c r="Q313" s="2"/>
      <c r="R313" s="3"/>
      <c r="S313" s="2"/>
      <c r="T313" s="3"/>
      <c r="U313" s="2"/>
      <c r="V313" s="3"/>
      <c r="W313" s="2"/>
      <c r="X313" s="3"/>
      <c r="Y313" s="2"/>
      <c r="Z313" s="3"/>
    </row>
    <row r="314">
      <c r="A314" s="1"/>
      <c r="B314" s="1"/>
      <c r="C314" s="2"/>
      <c r="D314" s="3"/>
      <c r="E314" s="2"/>
      <c r="F314" s="3"/>
      <c r="G314" s="2"/>
      <c r="H314" s="3"/>
      <c r="I314" s="2"/>
      <c r="J314" s="3"/>
      <c r="K314" s="2"/>
      <c r="L314" s="3"/>
      <c r="M314" s="2"/>
      <c r="N314" s="3"/>
      <c r="O314" s="2"/>
      <c r="P314" s="3"/>
      <c r="Q314" s="2"/>
      <c r="R314" s="3"/>
      <c r="S314" s="2"/>
      <c r="T314" s="3"/>
      <c r="U314" s="2"/>
      <c r="V314" s="3"/>
      <c r="W314" s="2"/>
      <c r="X314" s="3"/>
      <c r="Y314" s="2"/>
      <c r="Z314" s="3"/>
    </row>
    <row r="315">
      <c r="A315" s="1"/>
      <c r="B315" s="1"/>
      <c r="C315" s="2"/>
      <c r="D315" s="3"/>
      <c r="E315" s="2"/>
      <c r="F315" s="3"/>
      <c r="G315" s="2"/>
      <c r="H315" s="3"/>
      <c r="I315" s="2"/>
      <c r="J315" s="3"/>
      <c r="K315" s="2"/>
      <c r="L315" s="3"/>
      <c r="M315" s="2"/>
      <c r="N315" s="3"/>
      <c r="O315" s="2"/>
      <c r="P315" s="3"/>
      <c r="Q315" s="2"/>
      <c r="R315" s="3"/>
      <c r="S315" s="2"/>
      <c r="T315" s="3"/>
      <c r="U315" s="2"/>
      <c r="V315" s="3"/>
      <c r="W315" s="2"/>
      <c r="X315" s="3"/>
      <c r="Y315" s="2"/>
      <c r="Z315" s="3"/>
    </row>
    <row r="316">
      <c r="A316" s="1"/>
      <c r="B316" s="1"/>
      <c r="C316" s="2"/>
      <c r="D316" s="3"/>
      <c r="E316" s="2"/>
      <c r="F316" s="3"/>
      <c r="G316" s="2"/>
      <c r="H316" s="3"/>
      <c r="I316" s="2"/>
      <c r="J316" s="3"/>
      <c r="K316" s="2"/>
      <c r="L316" s="3"/>
      <c r="M316" s="2"/>
      <c r="N316" s="3"/>
      <c r="O316" s="2"/>
      <c r="P316" s="3"/>
      <c r="Q316" s="2"/>
      <c r="R316" s="3"/>
      <c r="S316" s="2"/>
      <c r="T316" s="3"/>
      <c r="U316" s="2"/>
      <c r="V316" s="3"/>
      <c r="W316" s="2"/>
      <c r="X316" s="3"/>
      <c r="Y316" s="2"/>
      <c r="Z316" s="3"/>
    </row>
    <row r="317">
      <c r="A317" s="1"/>
      <c r="B317" s="1"/>
      <c r="C317" s="2"/>
      <c r="D317" s="3"/>
      <c r="E317" s="2"/>
      <c r="F317" s="3"/>
      <c r="G317" s="2"/>
      <c r="H317" s="3"/>
      <c r="I317" s="2"/>
      <c r="J317" s="3"/>
      <c r="K317" s="2"/>
      <c r="L317" s="3"/>
      <c r="M317" s="2"/>
      <c r="N317" s="3"/>
      <c r="O317" s="2"/>
      <c r="P317" s="3"/>
      <c r="Q317" s="2"/>
      <c r="R317" s="3"/>
      <c r="S317" s="2"/>
      <c r="T317" s="3"/>
      <c r="U317" s="2"/>
      <c r="V317" s="3"/>
      <c r="W317" s="2"/>
      <c r="X317" s="3"/>
      <c r="Y317" s="2"/>
      <c r="Z317" s="3"/>
    </row>
    <row r="318">
      <c r="A318" s="1"/>
      <c r="B318" s="1"/>
      <c r="C318" s="2"/>
      <c r="D318" s="3"/>
      <c r="E318" s="2"/>
      <c r="F318" s="3"/>
      <c r="G318" s="2"/>
      <c r="H318" s="3"/>
      <c r="I318" s="2"/>
      <c r="J318" s="3"/>
      <c r="K318" s="2"/>
      <c r="L318" s="3"/>
      <c r="M318" s="2"/>
      <c r="N318" s="3"/>
      <c r="O318" s="2"/>
      <c r="P318" s="3"/>
      <c r="Q318" s="2"/>
      <c r="R318" s="3"/>
      <c r="S318" s="2"/>
      <c r="T318" s="3"/>
      <c r="U318" s="2"/>
      <c r="V318" s="3"/>
      <c r="W318" s="2"/>
      <c r="X318" s="3"/>
      <c r="Y318" s="2"/>
      <c r="Z318" s="3"/>
    </row>
    <row r="319">
      <c r="A319" s="1"/>
      <c r="B319" s="1"/>
      <c r="C319" s="2"/>
      <c r="D319" s="3"/>
      <c r="E319" s="2"/>
      <c r="F319" s="3"/>
      <c r="G319" s="2"/>
      <c r="H319" s="3"/>
      <c r="I319" s="2"/>
      <c r="J319" s="3"/>
      <c r="K319" s="2"/>
      <c r="L319" s="3"/>
      <c r="M319" s="2"/>
      <c r="N319" s="3"/>
      <c r="O319" s="2"/>
      <c r="P319" s="3"/>
      <c r="Q319" s="2"/>
      <c r="R319" s="3"/>
      <c r="S319" s="2"/>
      <c r="T319" s="3"/>
      <c r="U319" s="2"/>
      <c r="V319" s="3"/>
      <c r="W319" s="2"/>
      <c r="X319" s="3"/>
      <c r="Y319" s="2"/>
      <c r="Z319" s="3"/>
    </row>
    <row r="320">
      <c r="A320" s="1"/>
      <c r="B320" s="1"/>
      <c r="C320" s="2"/>
      <c r="D320" s="3"/>
      <c r="E320" s="2"/>
      <c r="F320" s="3"/>
      <c r="G320" s="2"/>
      <c r="H320" s="3"/>
      <c r="I320" s="2"/>
      <c r="J320" s="3"/>
      <c r="K320" s="2"/>
      <c r="L320" s="3"/>
      <c r="M320" s="2"/>
      <c r="N320" s="3"/>
      <c r="O320" s="2"/>
      <c r="P320" s="3"/>
      <c r="Q320" s="2"/>
      <c r="R320" s="3"/>
      <c r="S320" s="2"/>
      <c r="T320" s="3"/>
      <c r="U320" s="2"/>
      <c r="V320" s="3"/>
      <c r="W320" s="2"/>
      <c r="X320" s="3"/>
      <c r="Y320" s="2"/>
      <c r="Z320" s="3"/>
    </row>
    <row r="321">
      <c r="A321" s="1"/>
      <c r="B321" s="1"/>
      <c r="C321" s="2"/>
      <c r="D321" s="3"/>
      <c r="E321" s="2"/>
      <c r="F321" s="3"/>
      <c r="G321" s="2"/>
      <c r="H321" s="3"/>
      <c r="I321" s="2"/>
      <c r="J321" s="3"/>
      <c r="K321" s="2"/>
      <c r="L321" s="3"/>
      <c r="M321" s="2"/>
      <c r="N321" s="3"/>
      <c r="O321" s="2"/>
      <c r="P321" s="3"/>
      <c r="Q321" s="2"/>
      <c r="R321" s="3"/>
      <c r="S321" s="2"/>
      <c r="T321" s="3"/>
      <c r="U321" s="2"/>
      <c r="V321" s="3"/>
      <c r="W321" s="2"/>
      <c r="X321" s="3"/>
      <c r="Y321" s="2"/>
      <c r="Z321" s="3"/>
    </row>
    <row r="322">
      <c r="A322" s="1"/>
      <c r="B322" s="1"/>
      <c r="C322" s="2"/>
      <c r="D322" s="3"/>
      <c r="E322" s="2"/>
      <c r="F322" s="3"/>
      <c r="G322" s="2"/>
      <c r="H322" s="3"/>
      <c r="I322" s="2"/>
      <c r="J322" s="3"/>
      <c r="K322" s="2"/>
      <c r="L322" s="3"/>
      <c r="M322" s="2"/>
      <c r="N322" s="3"/>
      <c r="O322" s="2"/>
      <c r="P322" s="3"/>
      <c r="Q322" s="2"/>
      <c r="R322" s="3"/>
      <c r="S322" s="2"/>
      <c r="T322" s="3"/>
      <c r="U322" s="2"/>
      <c r="V322" s="3"/>
      <c r="W322" s="2"/>
      <c r="X322" s="3"/>
      <c r="Y322" s="2"/>
      <c r="Z322" s="3"/>
    </row>
    <row r="323">
      <c r="A323" s="1"/>
      <c r="B323" s="1"/>
      <c r="C323" s="2"/>
      <c r="D323" s="3"/>
      <c r="E323" s="2"/>
      <c r="F323" s="3"/>
      <c r="G323" s="2"/>
      <c r="H323" s="3"/>
      <c r="I323" s="2"/>
      <c r="J323" s="3"/>
      <c r="K323" s="2"/>
      <c r="L323" s="3"/>
      <c r="M323" s="2"/>
      <c r="N323" s="3"/>
      <c r="O323" s="2"/>
      <c r="P323" s="3"/>
      <c r="Q323" s="2"/>
      <c r="R323" s="3"/>
      <c r="S323" s="2"/>
      <c r="T323" s="3"/>
      <c r="U323" s="2"/>
      <c r="V323" s="3"/>
      <c r="W323" s="2"/>
      <c r="X323" s="3"/>
      <c r="Y323" s="2"/>
      <c r="Z323" s="3"/>
    </row>
    <row r="324">
      <c r="A324" s="1"/>
      <c r="B324" s="1"/>
      <c r="C324" s="2"/>
      <c r="D324" s="3"/>
      <c r="E324" s="2"/>
      <c r="F324" s="3"/>
      <c r="G324" s="2"/>
      <c r="H324" s="3"/>
      <c r="I324" s="2"/>
      <c r="J324" s="3"/>
      <c r="K324" s="2"/>
      <c r="L324" s="3"/>
      <c r="M324" s="2"/>
      <c r="N324" s="3"/>
      <c r="O324" s="2"/>
      <c r="P324" s="3"/>
      <c r="Q324" s="2"/>
      <c r="R324" s="3"/>
      <c r="S324" s="2"/>
      <c r="T324" s="3"/>
      <c r="U324" s="2"/>
      <c r="V324" s="3"/>
      <c r="W324" s="2"/>
      <c r="X324" s="3"/>
      <c r="Y324" s="2"/>
      <c r="Z324" s="3"/>
    </row>
    <row r="325">
      <c r="A325" s="1"/>
      <c r="B325" s="1"/>
      <c r="C325" s="2"/>
      <c r="D325" s="3"/>
      <c r="E325" s="2"/>
      <c r="F325" s="3"/>
      <c r="G325" s="2"/>
      <c r="H325" s="3"/>
      <c r="I325" s="2"/>
      <c r="J325" s="3"/>
      <c r="K325" s="2"/>
      <c r="L325" s="3"/>
      <c r="M325" s="2"/>
      <c r="N325" s="3"/>
      <c r="O325" s="2"/>
      <c r="P325" s="3"/>
      <c r="Q325" s="2"/>
      <c r="R325" s="3"/>
      <c r="S325" s="2"/>
      <c r="T325" s="3"/>
      <c r="U325" s="2"/>
      <c r="V325" s="3"/>
      <c r="W325" s="2"/>
      <c r="X325" s="3"/>
      <c r="Y325" s="2"/>
      <c r="Z325" s="3"/>
    </row>
    <row r="326">
      <c r="A326" s="1"/>
      <c r="B326" s="1"/>
      <c r="C326" s="2"/>
      <c r="D326" s="3"/>
      <c r="E326" s="2"/>
      <c r="F326" s="3"/>
      <c r="G326" s="2"/>
      <c r="H326" s="3"/>
      <c r="I326" s="2"/>
      <c r="J326" s="3"/>
      <c r="K326" s="2"/>
      <c r="L326" s="3"/>
      <c r="M326" s="2"/>
      <c r="N326" s="3"/>
      <c r="O326" s="2"/>
      <c r="P326" s="3"/>
      <c r="Q326" s="2"/>
      <c r="R326" s="3"/>
      <c r="S326" s="2"/>
      <c r="T326" s="3"/>
      <c r="U326" s="2"/>
      <c r="V326" s="3"/>
      <c r="W326" s="2"/>
      <c r="X326" s="3"/>
      <c r="Y326" s="2"/>
      <c r="Z326" s="3"/>
    </row>
    <row r="327">
      <c r="A327" s="1"/>
      <c r="B327" s="1"/>
      <c r="C327" s="2"/>
      <c r="D327" s="3"/>
      <c r="E327" s="2"/>
      <c r="F327" s="3"/>
      <c r="G327" s="2"/>
      <c r="H327" s="3"/>
      <c r="I327" s="2"/>
      <c r="J327" s="3"/>
      <c r="K327" s="2"/>
      <c r="L327" s="3"/>
      <c r="M327" s="2"/>
      <c r="N327" s="3"/>
      <c r="O327" s="2"/>
      <c r="P327" s="3"/>
      <c r="Q327" s="2"/>
      <c r="R327" s="3"/>
      <c r="S327" s="2"/>
      <c r="T327" s="3"/>
      <c r="U327" s="2"/>
      <c r="V327" s="3"/>
      <c r="W327" s="2"/>
      <c r="X327" s="3"/>
      <c r="Y327" s="2"/>
      <c r="Z327" s="3"/>
    </row>
    <row r="328">
      <c r="A328" s="1"/>
      <c r="B328" s="1"/>
      <c r="C328" s="2"/>
      <c r="D328" s="3"/>
      <c r="E328" s="2"/>
      <c r="F328" s="3"/>
      <c r="G328" s="2"/>
      <c r="H328" s="3"/>
      <c r="I328" s="2"/>
      <c r="J328" s="3"/>
      <c r="K328" s="2"/>
      <c r="L328" s="3"/>
      <c r="M328" s="2"/>
      <c r="N328" s="3"/>
      <c r="O328" s="2"/>
      <c r="P328" s="3"/>
      <c r="Q328" s="2"/>
      <c r="R328" s="3"/>
      <c r="S328" s="2"/>
      <c r="T328" s="3"/>
      <c r="U328" s="2"/>
      <c r="V328" s="3"/>
      <c r="W328" s="2"/>
      <c r="X328" s="3"/>
      <c r="Y328" s="2"/>
      <c r="Z328" s="3"/>
    </row>
    <row r="329">
      <c r="A329" s="1"/>
      <c r="B329" s="1"/>
      <c r="C329" s="2"/>
      <c r="D329" s="3"/>
      <c r="E329" s="2"/>
      <c r="F329" s="3"/>
      <c r="G329" s="2"/>
      <c r="H329" s="3"/>
      <c r="I329" s="2"/>
      <c r="J329" s="3"/>
      <c r="K329" s="2"/>
      <c r="L329" s="3"/>
      <c r="M329" s="2"/>
      <c r="N329" s="3"/>
      <c r="O329" s="2"/>
      <c r="P329" s="3"/>
      <c r="Q329" s="2"/>
      <c r="R329" s="3"/>
      <c r="S329" s="2"/>
      <c r="T329" s="3"/>
      <c r="U329" s="2"/>
      <c r="V329" s="3"/>
      <c r="W329" s="2"/>
      <c r="X329" s="3"/>
      <c r="Y329" s="2"/>
      <c r="Z329" s="3"/>
    </row>
    <row r="330">
      <c r="A330" s="1"/>
      <c r="B330" s="1"/>
      <c r="C330" s="2"/>
      <c r="D330" s="3"/>
      <c r="E330" s="2"/>
      <c r="F330" s="3"/>
      <c r="G330" s="2"/>
      <c r="H330" s="3"/>
      <c r="I330" s="2"/>
      <c r="J330" s="3"/>
      <c r="K330" s="2"/>
      <c r="L330" s="3"/>
      <c r="M330" s="2"/>
      <c r="N330" s="3"/>
      <c r="O330" s="2"/>
      <c r="P330" s="3"/>
      <c r="Q330" s="2"/>
      <c r="R330" s="3"/>
      <c r="S330" s="2"/>
      <c r="T330" s="3"/>
      <c r="U330" s="2"/>
      <c r="V330" s="3"/>
      <c r="W330" s="2"/>
      <c r="X330" s="3"/>
      <c r="Y330" s="2"/>
      <c r="Z330" s="3"/>
    </row>
    <row r="331">
      <c r="A331" s="1"/>
      <c r="B331" s="1"/>
      <c r="C331" s="2"/>
      <c r="D331" s="3"/>
      <c r="E331" s="2"/>
      <c r="F331" s="3"/>
      <c r="G331" s="2"/>
      <c r="H331" s="3"/>
      <c r="I331" s="2"/>
      <c r="J331" s="3"/>
      <c r="K331" s="2"/>
      <c r="L331" s="3"/>
      <c r="M331" s="2"/>
      <c r="N331" s="3"/>
      <c r="O331" s="2"/>
      <c r="P331" s="3"/>
      <c r="Q331" s="2"/>
      <c r="R331" s="3"/>
      <c r="S331" s="2"/>
      <c r="T331" s="3"/>
      <c r="U331" s="2"/>
      <c r="V331" s="3"/>
      <c r="W331" s="2"/>
      <c r="X331" s="3"/>
      <c r="Y331" s="2"/>
      <c r="Z331" s="3"/>
    </row>
    <row r="332">
      <c r="A332" s="1"/>
      <c r="B332" s="1"/>
      <c r="C332" s="2"/>
      <c r="D332" s="3"/>
      <c r="E332" s="2"/>
      <c r="F332" s="3"/>
      <c r="G332" s="2"/>
      <c r="H332" s="3"/>
      <c r="I332" s="2"/>
      <c r="J332" s="3"/>
      <c r="K332" s="2"/>
      <c r="L332" s="3"/>
      <c r="M332" s="2"/>
      <c r="N332" s="3"/>
      <c r="O332" s="2"/>
      <c r="P332" s="3"/>
      <c r="Q332" s="2"/>
      <c r="R332" s="3"/>
      <c r="S332" s="2"/>
      <c r="T332" s="3"/>
      <c r="U332" s="2"/>
      <c r="V332" s="3"/>
      <c r="W332" s="2"/>
      <c r="X332" s="3"/>
      <c r="Y332" s="2"/>
      <c r="Z332" s="3"/>
    </row>
    <row r="333">
      <c r="A333" s="1"/>
      <c r="B333" s="1"/>
      <c r="C333" s="2"/>
      <c r="D333" s="3"/>
      <c r="E333" s="2"/>
      <c r="F333" s="3"/>
      <c r="G333" s="2"/>
      <c r="H333" s="3"/>
      <c r="I333" s="2"/>
      <c r="J333" s="3"/>
      <c r="K333" s="2"/>
      <c r="L333" s="3"/>
      <c r="M333" s="2"/>
      <c r="N333" s="3"/>
      <c r="O333" s="2"/>
      <c r="P333" s="3"/>
      <c r="Q333" s="2"/>
      <c r="R333" s="3"/>
      <c r="S333" s="2"/>
      <c r="T333" s="3"/>
      <c r="U333" s="2"/>
      <c r="V333" s="3"/>
      <c r="W333" s="2"/>
      <c r="X333" s="3"/>
      <c r="Y333" s="2"/>
      <c r="Z333" s="3"/>
    </row>
    <row r="334">
      <c r="A334" s="1"/>
      <c r="B334" s="1"/>
      <c r="C334" s="2"/>
      <c r="D334" s="3"/>
      <c r="E334" s="2"/>
      <c r="F334" s="3"/>
      <c r="G334" s="2"/>
      <c r="H334" s="3"/>
      <c r="I334" s="2"/>
      <c r="J334" s="3"/>
      <c r="K334" s="2"/>
      <c r="L334" s="3"/>
      <c r="M334" s="2"/>
      <c r="N334" s="3"/>
      <c r="O334" s="2"/>
      <c r="P334" s="3"/>
      <c r="Q334" s="2"/>
      <c r="R334" s="3"/>
      <c r="S334" s="2"/>
      <c r="T334" s="3"/>
      <c r="U334" s="2"/>
      <c r="V334" s="3"/>
      <c r="W334" s="2"/>
      <c r="X334" s="3"/>
      <c r="Y334" s="2"/>
      <c r="Z334" s="3"/>
    </row>
    <row r="335">
      <c r="A335" s="1"/>
      <c r="B335" s="1"/>
      <c r="C335" s="2"/>
      <c r="D335" s="3"/>
      <c r="E335" s="2"/>
      <c r="F335" s="3"/>
      <c r="G335" s="2"/>
      <c r="H335" s="3"/>
      <c r="I335" s="2"/>
      <c r="J335" s="3"/>
      <c r="K335" s="2"/>
      <c r="L335" s="3"/>
      <c r="M335" s="2"/>
      <c r="N335" s="3"/>
      <c r="O335" s="2"/>
      <c r="P335" s="3"/>
      <c r="Q335" s="2"/>
      <c r="R335" s="3"/>
      <c r="S335" s="2"/>
      <c r="T335" s="3"/>
      <c r="U335" s="2"/>
      <c r="V335" s="3"/>
      <c r="W335" s="2"/>
      <c r="X335" s="3"/>
      <c r="Y335" s="2"/>
      <c r="Z335" s="3"/>
    </row>
    <row r="336">
      <c r="A336" s="1"/>
      <c r="B336" s="1"/>
      <c r="C336" s="2"/>
      <c r="D336" s="3"/>
      <c r="E336" s="2"/>
      <c r="F336" s="3"/>
      <c r="G336" s="2"/>
      <c r="H336" s="3"/>
      <c r="I336" s="2"/>
      <c r="J336" s="3"/>
      <c r="K336" s="2"/>
      <c r="L336" s="3"/>
      <c r="M336" s="2"/>
      <c r="N336" s="3"/>
      <c r="O336" s="2"/>
      <c r="P336" s="3"/>
      <c r="Q336" s="2"/>
      <c r="R336" s="3"/>
      <c r="S336" s="2"/>
      <c r="T336" s="3"/>
      <c r="U336" s="2"/>
      <c r="V336" s="3"/>
      <c r="W336" s="2"/>
      <c r="X336" s="3"/>
      <c r="Y336" s="2"/>
      <c r="Z336" s="3"/>
    </row>
    <row r="337">
      <c r="A337" s="1"/>
      <c r="B337" s="1"/>
      <c r="C337" s="2"/>
      <c r="D337" s="3"/>
      <c r="E337" s="2"/>
      <c r="F337" s="3"/>
      <c r="G337" s="2"/>
      <c r="H337" s="3"/>
      <c r="I337" s="2"/>
      <c r="J337" s="3"/>
      <c r="K337" s="2"/>
      <c r="L337" s="3"/>
      <c r="M337" s="2"/>
      <c r="N337" s="3"/>
      <c r="O337" s="2"/>
      <c r="P337" s="3"/>
      <c r="Q337" s="2"/>
      <c r="R337" s="3"/>
      <c r="S337" s="2"/>
      <c r="T337" s="3"/>
      <c r="U337" s="2"/>
      <c r="V337" s="3"/>
      <c r="W337" s="2"/>
      <c r="X337" s="3"/>
      <c r="Y337" s="2"/>
      <c r="Z337" s="3"/>
    </row>
    <row r="338">
      <c r="A338" s="1"/>
      <c r="B338" s="1"/>
      <c r="C338" s="2"/>
      <c r="D338" s="3"/>
      <c r="E338" s="2"/>
      <c r="F338" s="3"/>
      <c r="G338" s="2"/>
      <c r="H338" s="3"/>
      <c r="I338" s="2"/>
      <c r="J338" s="3"/>
      <c r="K338" s="2"/>
      <c r="L338" s="3"/>
      <c r="M338" s="2"/>
      <c r="N338" s="3"/>
      <c r="O338" s="2"/>
      <c r="P338" s="3"/>
      <c r="Q338" s="2"/>
      <c r="R338" s="3"/>
      <c r="S338" s="2"/>
      <c r="T338" s="3"/>
      <c r="U338" s="2"/>
      <c r="V338" s="3"/>
      <c r="W338" s="2"/>
      <c r="X338" s="3"/>
      <c r="Y338" s="2"/>
      <c r="Z338" s="3"/>
    </row>
    <row r="339">
      <c r="A339" s="1"/>
      <c r="B339" s="1"/>
      <c r="C339" s="2"/>
      <c r="D339" s="3"/>
      <c r="E339" s="2"/>
      <c r="F339" s="3"/>
      <c r="G339" s="2"/>
      <c r="H339" s="3"/>
      <c r="I339" s="2"/>
      <c r="J339" s="3"/>
      <c r="K339" s="2"/>
      <c r="L339" s="3"/>
      <c r="M339" s="2"/>
      <c r="N339" s="3"/>
      <c r="O339" s="2"/>
      <c r="P339" s="3"/>
      <c r="Q339" s="2"/>
      <c r="R339" s="3"/>
      <c r="S339" s="2"/>
      <c r="T339" s="3"/>
      <c r="U339" s="2"/>
      <c r="V339" s="3"/>
      <c r="W339" s="2"/>
      <c r="X339" s="3"/>
      <c r="Y339" s="2"/>
      <c r="Z339" s="3"/>
    </row>
    <row r="340">
      <c r="A340" s="1"/>
      <c r="B340" s="1"/>
      <c r="C340" s="2"/>
      <c r="D340" s="3"/>
      <c r="E340" s="2"/>
      <c r="F340" s="3"/>
      <c r="G340" s="2"/>
      <c r="H340" s="3"/>
      <c r="I340" s="2"/>
      <c r="J340" s="3"/>
      <c r="K340" s="2"/>
      <c r="L340" s="3"/>
      <c r="M340" s="2"/>
      <c r="N340" s="3"/>
      <c r="O340" s="2"/>
      <c r="P340" s="3"/>
      <c r="Q340" s="2"/>
      <c r="R340" s="3"/>
      <c r="S340" s="2"/>
      <c r="T340" s="3"/>
      <c r="U340" s="2"/>
      <c r="V340" s="3"/>
      <c r="W340" s="2"/>
      <c r="X340" s="3"/>
      <c r="Y340" s="2"/>
      <c r="Z340" s="3"/>
    </row>
    <row r="341">
      <c r="A341" s="1"/>
      <c r="B341" s="1"/>
      <c r="C341" s="2"/>
      <c r="D341" s="3"/>
      <c r="E341" s="2"/>
      <c r="F341" s="3"/>
      <c r="G341" s="2"/>
      <c r="H341" s="3"/>
      <c r="I341" s="2"/>
      <c r="J341" s="3"/>
      <c r="K341" s="2"/>
      <c r="L341" s="3"/>
      <c r="M341" s="2"/>
      <c r="N341" s="3"/>
      <c r="O341" s="2"/>
      <c r="P341" s="3"/>
      <c r="Q341" s="2"/>
      <c r="R341" s="3"/>
      <c r="S341" s="2"/>
      <c r="T341" s="3"/>
      <c r="U341" s="2"/>
      <c r="V341" s="3"/>
      <c r="W341" s="2"/>
      <c r="X341" s="3"/>
      <c r="Y341" s="2"/>
      <c r="Z341" s="3"/>
    </row>
    <row r="342">
      <c r="A342" s="1"/>
      <c r="B342" s="1"/>
      <c r="C342" s="2"/>
      <c r="D342" s="3"/>
      <c r="E342" s="2"/>
      <c r="F342" s="3"/>
      <c r="G342" s="2"/>
      <c r="H342" s="3"/>
      <c r="I342" s="2"/>
      <c r="J342" s="3"/>
      <c r="K342" s="2"/>
      <c r="L342" s="3"/>
      <c r="M342" s="2"/>
      <c r="N342" s="3"/>
      <c r="O342" s="2"/>
      <c r="P342" s="3"/>
      <c r="Q342" s="2"/>
      <c r="R342" s="3"/>
      <c r="S342" s="2"/>
      <c r="T342" s="3"/>
      <c r="U342" s="2"/>
      <c r="V342" s="3"/>
      <c r="W342" s="2"/>
      <c r="X342" s="3"/>
      <c r="Y342" s="2"/>
      <c r="Z342" s="3"/>
    </row>
    <row r="343">
      <c r="A343" s="1"/>
      <c r="B343" s="1"/>
      <c r="C343" s="2"/>
      <c r="D343" s="3"/>
      <c r="E343" s="2"/>
      <c r="F343" s="3"/>
      <c r="G343" s="2"/>
      <c r="H343" s="3"/>
      <c r="I343" s="2"/>
      <c r="J343" s="3"/>
      <c r="K343" s="2"/>
      <c r="L343" s="3"/>
      <c r="M343" s="2"/>
      <c r="N343" s="3"/>
      <c r="O343" s="2"/>
      <c r="P343" s="3"/>
      <c r="Q343" s="2"/>
      <c r="R343" s="3"/>
      <c r="S343" s="2"/>
      <c r="T343" s="3"/>
      <c r="U343" s="2"/>
      <c r="V343" s="3"/>
      <c r="W343" s="2"/>
      <c r="X343" s="3"/>
      <c r="Y343" s="2"/>
      <c r="Z343" s="3"/>
    </row>
    <row r="344">
      <c r="A344" s="1"/>
      <c r="B344" s="1"/>
      <c r="C344" s="2"/>
      <c r="D344" s="3"/>
      <c r="E344" s="2"/>
      <c r="F344" s="3"/>
      <c r="G344" s="2"/>
      <c r="H344" s="3"/>
      <c r="I344" s="2"/>
      <c r="J344" s="3"/>
      <c r="K344" s="2"/>
      <c r="L344" s="3"/>
      <c r="M344" s="2"/>
      <c r="N344" s="3"/>
      <c r="O344" s="2"/>
      <c r="P344" s="3"/>
      <c r="Q344" s="2"/>
      <c r="R344" s="3"/>
      <c r="S344" s="2"/>
      <c r="T344" s="3"/>
      <c r="U344" s="2"/>
      <c r="V344" s="3"/>
      <c r="W344" s="2"/>
      <c r="X344" s="3"/>
      <c r="Y344" s="2"/>
      <c r="Z344" s="3"/>
    </row>
    <row r="345">
      <c r="A345" s="1"/>
      <c r="B345" s="1"/>
      <c r="C345" s="2"/>
      <c r="D345" s="3"/>
      <c r="E345" s="2"/>
      <c r="F345" s="3"/>
      <c r="G345" s="2"/>
      <c r="H345" s="3"/>
      <c r="I345" s="2"/>
      <c r="J345" s="3"/>
      <c r="K345" s="2"/>
      <c r="L345" s="3"/>
      <c r="M345" s="2"/>
      <c r="N345" s="3"/>
      <c r="O345" s="2"/>
      <c r="P345" s="3"/>
      <c r="Q345" s="2"/>
      <c r="R345" s="3"/>
      <c r="S345" s="2"/>
      <c r="T345" s="3"/>
      <c r="U345" s="2"/>
      <c r="V345" s="3"/>
      <c r="W345" s="2"/>
      <c r="X345" s="3"/>
      <c r="Y345" s="2"/>
      <c r="Z345" s="3"/>
    </row>
    <row r="346">
      <c r="A346" s="1"/>
      <c r="B346" s="1"/>
      <c r="C346" s="2"/>
      <c r="D346" s="3"/>
      <c r="E346" s="2"/>
      <c r="F346" s="3"/>
      <c r="G346" s="2"/>
      <c r="H346" s="3"/>
      <c r="I346" s="2"/>
      <c r="J346" s="3"/>
      <c r="K346" s="2"/>
      <c r="L346" s="3"/>
      <c r="M346" s="2"/>
      <c r="N346" s="3"/>
      <c r="O346" s="2"/>
      <c r="P346" s="3"/>
      <c r="Q346" s="2"/>
      <c r="R346" s="3"/>
      <c r="S346" s="2"/>
      <c r="T346" s="3"/>
      <c r="U346" s="2"/>
      <c r="V346" s="3"/>
      <c r="W346" s="2"/>
      <c r="X346" s="3"/>
      <c r="Y346" s="2"/>
      <c r="Z346" s="3"/>
    </row>
    <row r="347">
      <c r="A347" s="1"/>
      <c r="B347" s="1"/>
      <c r="C347" s="2"/>
      <c r="D347" s="3"/>
      <c r="E347" s="2"/>
      <c r="F347" s="3"/>
      <c r="G347" s="2"/>
      <c r="H347" s="3"/>
      <c r="I347" s="2"/>
      <c r="J347" s="3"/>
      <c r="K347" s="2"/>
      <c r="L347" s="3"/>
      <c r="M347" s="2"/>
      <c r="N347" s="3"/>
      <c r="O347" s="2"/>
      <c r="P347" s="3"/>
      <c r="Q347" s="2"/>
      <c r="R347" s="3"/>
      <c r="S347" s="2"/>
      <c r="T347" s="3"/>
      <c r="U347" s="2"/>
      <c r="V347" s="3"/>
      <c r="W347" s="2"/>
      <c r="X347" s="3"/>
      <c r="Y347" s="2"/>
      <c r="Z347" s="3"/>
    </row>
    <row r="348">
      <c r="A348" s="1"/>
      <c r="B348" s="1"/>
      <c r="C348" s="2"/>
      <c r="D348" s="3"/>
      <c r="E348" s="2"/>
      <c r="F348" s="3"/>
      <c r="G348" s="2"/>
      <c r="H348" s="3"/>
      <c r="I348" s="2"/>
      <c r="J348" s="3"/>
      <c r="K348" s="2"/>
      <c r="L348" s="3"/>
      <c r="M348" s="2"/>
      <c r="N348" s="3"/>
      <c r="O348" s="2"/>
      <c r="P348" s="3"/>
      <c r="Q348" s="2"/>
      <c r="R348" s="3"/>
      <c r="S348" s="2"/>
      <c r="T348" s="3"/>
      <c r="U348" s="2"/>
      <c r="V348" s="3"/>
      <c r="W348" s="2"/>
      <c r="X348" s="3"/>
      <c r="Y348" s="2"/>
      <c r="Z348" s="3"/>
    </row>
    <row r="349">
      <c r="A349" s="1"/>
      <c r="B349" s="1"/>
      <c r="C349" s="2"/>
      <c r="D349" s="3"/>
      <c r="E349" s="2"/>
      <c r="F349" s="3"/>
      <c r="G349" s="2"/>
      <c r="H349" s="3"/>
      <c r="I349" s="2"/>
      <c r="J349" s="3"/>
      <c r="K349" s="2"/>
      <c r="L349" s="3"/>
      <c r="M349" s="2"/>
      <c r="N349" s="3"/>
      <c r="O349" s="2"/>
      <c r="P349" s="3"/>
      <c r="Q349" s="2"/>
      <c r="R349" s="3"/>
      <c r="S349" s="2"/>
      <c r="T349" s="3"/>
      <c r="U349" s="2"/>
      <c r="V349" s="3"/>
      <c r="W349" s="2"/>
      <c r="X349" s="3"/>
      <c r="Y349" s="2"/>
      <c r="Z349" s="3"/>
    </row>
    <row r="350">
      <c r="A350" s="1"/>
      <c r="B350" s="1"/>
      <c r="C350" s="2"/>
      <c r="D350" s="3"/>
      <c r="E350" s="2"/>
      <c r="F350" s="3"/>
      <c r="G350" s="2"/>
      <c r="H350" s="3"/>
      <c r="I350" s="2"/>
      <c r="J350" s="3"/>
      <c r="K350" s="2"/>
      <c r="L350" s="3"/>
      <c r="M350" s="2"/>
      <c r="N350" s="3"/>
      <c r="O350" s="2"/>
      <c r="P350" s="3"/>
      <c r="Q350" s="2"/>
      <c r="R350" s="3"/>
      <c r="S350" s="2"/>
      <c r="T350" s="3"/>
      <c r="U350" s="2"/>
      <c r="V350" s="3"/>
      <c r="W350" s="2"/>
      <c r="X350" s="3"/>
      <c r="Y350" s="2"/>
      <c r="Z350" s="3"/>
    </row>
    <row r="351">
      <c r="A351" s="1"/>
      <c r="B351" s="1"/>
      <c r="C351" s="2"/>
      <c r="D351" s="3"/>
      <c r="E351" s="2"/>
      <c r="F351" s="3"/>
      <c r="G351" s="2"/>
      <c r="H351" s="3"/>
      <c r="I351" s="2"/>
      <c r="J351" s="3"/>
      <c r="K351" s="2"/>
      <c r="L351" s="3"/>
      <c r="M351" s="2"/>
      <c r="N351" s="3"/>
      <c r="O351" s="2"/>
      <c r="P351" s="3"/>
      <c r="Q351" s="2"/>
      <c r="R351" s="3"/>
      <c r="S351" s="2"/>
      <c r="T351" s="3"/>
      <c r="U351" s="2"/>
      <c r="V351" s="3"/>
      <c r="W351" s="2"/>
      <c r="X351" s="3"/>
      <c r="Y351" s="2"/>
      <c r="Z351" s="3"/>
    </row>
    <row r="352">
      <c r="A352" s="1"/>
      <c r="B352" s="1"/>
      <c r="C352" s="2"/>
      <c r="D352" s="3"/>
      <c r="E352" s="2"/>
      <c r="F352" s="3"/>
      <c r="G352" s="2"/>
      <c r="H352" s="3"/>
      <c r="I352" s="2"/>
      <c r="J352" s="3"/>
      <c r="K352" s="2"/>
      <c r="L352" s="3"/>
      <c r="M352" s="2"/>
      <c r="N352" s="3"/>
      <c r="O352" s="2"/>
      <c r="P352" s="3"/>
      <c r="Q352" s="2"/>
      <c r="R352" s="3"/>
      <c r="S352" s="2"/>
      <c r="T352" s="3"/>
      <c r="U352" s="2"/>
      <c r="V352" s="3"/>
      <c r="W352" s="2"/>
      <c r="X352" s="3"/>
      <c r="Y352" s="2"/>
      <c r="Z352" s="3"/>
    </row>
    <row r="353">
      <c r="A353" s="1"/>
      <c r="B353" s="1"/>
      <c r="C353" s="2"/>
      <c r="D353" s="3"/>
      <c r="E353" s="2"/>
      <c r="F353" s="3"/>
      <c r="G353" s="2"/>
      <c r="H353" s="3"/>
      <c r="I353" s="2"/>
      <c r="J353" s="3"/>
      <c r="K353" s="2"/>
      <c r="L353" s="3"/>
      <c r="M353" s="2"/>
      <c r="N353" s="3"/>
      <c r="O353" s="2"/>
      <c r="P353" s="3"/>
      <c r="Q353" s="2"/>
      <c r="R353" s="3"/>
      <c r="S353" s="2"/>
      <c r="T353" s="3"/>
      <c r="U353" s="2"/>
      <c r="V353" s="3"/>
      <c r="W353" s="2"/>
      <c r="X353" s="3"/>
      <c r="Y353" s="2"/>
      <c r="Z353" s="3"/>
    </row>
    <row r="354">
      <c r="A354" s="1"/>
      <c r="B354" s="1"/>
      <c r="C354" s="2"/>
      <c r="D354" s="3"/>
      <c r="E354" s="2"/>
      <c r="F354" s="3"/>
      <c r="G354" s="2"/>
      <c r="H354" s="3"/>
      <c r="I354" s="2"/>
      <c r="J354" s="3"/>
      <c r="K354" s="2"/>
      <c r="L354" s="3"/>
      <c r="M354" s="2"/>
      <c r="N354" s="3"/>
      <c r="O354" s="2"/>
      <c r="P354" s="3"/>
      <c r="Q354" s="2"/>
      <c r="R354" s="3"/>
      <c r="S354" s="2"/>
      <c r="T354" s="3"/>
      <c r="U354" s="2"/>
      <c r="V354" s="3"/>
      <c r="W354" s="2"/>
      <c r="X354" s="3"/>
      <c r="Y354" s="2"/>
      <c r="Z354" s="3"/>
    </row>
    <row r="355">
      <c r="A355" s="1"/>
      <c r="B355" s="1"/>
      <c r="C355" s="2"/>
      <c r="D355" s="3"/>
      <c r="E355" s="2"/>
      <c r="F355" s="3"/>
      <c r="G355" s="2"/>
      <c r="H355" s="3"/>
      <c r="I355" s="2"/>
      <c r="J355" s="3"/>
      <c r="K355" s="2"/>
      <c r="L355" s="3"/>
      <c r="M355" s="2"/>
      <c r="N355" s="3"/>
      <c r="O355" s="2"/>
      <c r="P355" s="3"/>
      <c r="Q355" s="2"/>
      <c r="R355" s="3"/>
      <c r="S355" s="2"/>
      <c r="T355" s="3"/>
      <c r="U355" s="2"/>
      <c r="V355" s="3"/>
      <c r="W355" s="2"/>
      <c r="X355" s="3"/>
      <c r="Y355" s="2"/>
      <c r="Z355" s="3"/>
    </row>
    <row r="356">
      <c r="A356" s="1"/>
      <c r="B356" s="1"/>
      <c r="C356" s="2"/>
      <c r="D356" s="3"/>
      <c r="E356" s="2"/>
      <c r="F356" s="3"/>
      <c r="G356" s="2"/>
      <c r="H356" s="3"/>
      <c r="I356" s="2"/>
      <c r="J356" s="3"/>
      <c r="K356" s="2"/>
      <c r="L356" s="3"/>
      <c r="M356" s="2"/>
      <c r="N356" s="3"/>
      <c r="O356" s="2"/>
      <c r="P356" s="3"/>
      <c r="Q356" s="2"/>
      <c r="R356" s="3"/>
      <c r="S356" s="2"/>
      <c r="T356" s="3"/>
      <c r="U356" s="2"/>
      <c r="V356" s="3"/>
      <c r="W356" s="2"/>
      <c r="X356" s="3"/>
      <c r="Y356" s="2"/>
      <c r="Z356" s="3"/>
    </row>
    <row r="357">
      <c r="A357" s="1"/>
      <c r="B357" s="1"/>
      <c r="C357" s="2"/>
      <c r="D357" s="3"/>
      <c r="E357" s="2"/>
      <c r="F357" s="3"/>
      <c r="G357" s="2"/>
      <c r="H357" s="3"/>
      <c r="I357" s="2"/>
      <c r="J357" s="3"/>
      <c r="K357" s="2"/>
      <c r="L357" s="3"/>
      <c r="M357" s="2"/>
      <c r="N357" s="3"/>
      <c r="O357" s="2"/>
      <c r="P357" s="3"/>
      <c r="Q357" s="2"/>
      <c r="R357" s="3"/>
      <c r="S357" s="2"/>
      <c r="T357" s="3"/>
      <c r="U357" s="2"/>
      <c r="V357" s="3"/>
      <c r="W357" s="2"/>
      <c r="X357" s="3"/>
      <c r="Y357" s="2"/>
      <c r="Z357" s="3"/>
    </row>
    <row r="358">
      <c r="A358" s="1"/>
      <c r="B358" s="1"/>
      <c r="C358" s="2"/>
      <c r="D358" s="3"/>
      <c r="E358" s="2"/>
      <c r="F358" s="3"/>
      <c r="G358" s="2"/>
      <c r="H358" s="3"/>
      <c r="I358" s="2"/>
      <c r="J358" s="3"/>
      <c r="K358" s="2"/>
      <c r="L358" s="3"/>
      <c r="M358" s="2"/>
      <c r="N358" s="3"/>
      <c r="O358" s="2"/>
      <c r="P358" s="3"/>
      <c r="Q358" s="2"/>
      <c r="R358" s="3"/>
      <c r="S358" s="2"/>
      <c r="T358" s="3"/>
      <c r="U358" s="2"/>
      <c r="V358" s="3"/>
      <c r="W358" s="2"/>
      <c r="X358" s="3"/>
      <c r="Y358" s="2"/>
      <c r="Z358" s="3"/>
    </row>
    <row r="359">
      <c r="A359" s="1"/>
      <c r="B359" s="1"/>
      <c r="C359" s="2"/>
      <c r="D359" s="3"/>
      <c r="E359" s="2"/>
      <c r="F359" s="3"/>
      <c r="G359" s="2"/>
      <c r="H359" s="3"/>
      <c r="I359" s="2"/>
      <c r="J359" s="3"/>
      <c r="K359" s="2"/>
      <c r="L359" s="3"/>
      <c r="M359" s="2"/>
      <c r="N359" s="3"/>
      <c r="O359" s="2"/>
      <c r="P359" s="3"/>
      <c r="Q359" s="2"/>
      <c r="R359" s="3"/>
      <c r="S359" s="2"/>
      <c r="T359" s="3"/>
      <c r="U359" s="2"/>
      <c r="V359" s="3"/>
      <c r="W359" s="2"/>
      <c r="X359" s="3"/>
      <c r="Y359" s="2"/>
      <c r="Z359" s="3"/>
    </row>
    <row r="360">
      <c r="A360" s="1"/>
      <c r="B360" s="1"/>
      <c r="C360" s="2"/>
      <c r="D360" s="3"/>
      <c r="E360" s="2"/>
      <c r="F360" s="3"/>
      <c r="G360" s="2"/>
      <c r="H360" s="3"/>
      <c r="I360" s="2"/>
      <c r="J360" s="3"/>
      <c r="K360" s="2"/>
      <c r="L360" s="3"/>
      <c r="M360" s="2"/>
      <c r="N360" s="3"/>
      <c r="O360" s="2"/>
      <c r="P360" s="3"/>
      <c r="Q360" s="2"/>
      <c r="R360" s="3"/>
      <c r="S360" s="2"/>
      <c r="T360" s="3"/>
      <c r="U360" s="2"/>
      <c r="V360" s="3"/>
      <c r="W360" s="2"/>
      <c r="X360" s="3"/>
      <c r="Y360" s="2"/>
      <c r="Z360" s="3"/>
    </row>
    <row r="361">
      <c r="A361" s="1"/>
      <c r="B361" s="1"/>
      <c r="C361" s="2"/>
      <c r="D361" s="3"/>
      <c r="E361" s="2"/>
      <c r="F361" s="3"/>
      <c r="G361" s="2"/>
      <c r="H361" s="3"/>
      <c r="I361" s="2"/>
      <c r="J361" s="3"/>
      <c r="K361" s="2"/>
      <c r="L361" s="3"/>
      <c r="M361" s="2"/>
      <c r="N361" s="3"/>
      <c r="O361" s="2"/>
      <c r="P361" s="3"/>
      <c r="Q361" s="2"/>
      <c r="R361" s="3"/>
      <c r="S361" s="2"/>
      <c r="T361" s="3"/>
      <c r="U361" s="2"/>
      <c r="V361" s="3"/>
      <c r="W361" s="2"/>
      <c r="X361" s="3"/>
      <c r="Y361" s="2"/>
      <c r="Z361" s="3"/>
    </row>
    <row r="362">
      <c r="A362" s="1"/>
      <c r="B362" s="1"/>
      <c r="C362" s="2"/>
      <c r="D362" s="3"/>
      <c r="E362" s="2"/>
      <c r="F362" s="3"/>
      <c r="G362" s="2"/>
      <c r="H362" s="3"/>
      <c r="I362" s="2"/>
      <c r="J362" s="3"/>
      <c r="K362" s="2"/>
      <c r="L362" s="3"/>
      <c r="M362" s="2"/>
      <c r="N362" s="3"/>
      <c r="O362" s="2"/>
      <c r="P362" s="3"/>
      <c r="Q362" s="2"/>
      <c r="R362" s="3"/>
      <c r="S362" s="2"/>
      <c r="T362" s="3"/>
      <c r="U362" s="2"/>
      <c r="V362" s="3"/>
      <c r="W362" s="2"/>
      <c r="X362" s="3"/>
      <c r="Y362" s="2"/>
      <c r="Z362" s="3"/>
    </row>
    <row r="363">
      <c r="A363" s="1"/>
      <c r="B363" s="1"/>
      <c r="C363" s="2"/>
      <c r="D363" s="3"/>
      <c r="E363" s="2"/>
      <c r="F363" s="3"/>
      <c r="G363" s="2"/>
      <c r="H363" s="3"/>
      <c r="I363" s="2"/>
      <c r="J363" s="3"/>
      <c r="K363" s="2"/>
      <c r="L363" s="3"/>
      <c r="M363" s="2"/>
      <c r="N363" s="3"/>
      <c r="O363" s="2"/>
      <c r="P363" s="3"/>
      <c r="Q363" s="2"/>
      <c r="R363" s="3"/>
      <c r="S363" s="2"/>
      <c r="T363" s="3"/>
      <c r="U363" s="2"/>
      <c r="V363" s="3"/>
      <c r="W363" s="2"/>
      <c r="X363" s="3"/>
      <c r="Y363" s="2"/>
      <c r="Z363" s="3"/>
    </row>
    <row r="364">
      <c r="A364" s="1"/>
      <c r="B364" s="1"/>
      <c r="C364" s="2"/>
      <c r="D364" s="3"/>
      <c r="E364" s="2"/>
      <c r="F364" s="3"/>
      <c r="G364" s="2"/>
      <c r="H364" s="3"/>
      <c r="I364" s="2"/>
      <c r="J364" s="3"/>
      <c r="K364" s="2"/>
      <c r="L364" s="3"/>
      <c r="M364" s="2"/>
      <c r="N364" s="3"/>
      <c r="O364" s="2"/>
      <c r="P364" s="3"/>
      <c r="Q364" s="2"/>
      <c r="R364" s="3"/>
      <c r="S364" s="2"/>
      <c r="T364" s="3"/>
      <c r="U364" s="2"/>
      <c r="V364" s="3"/>
      <c r="W364" s="2"/>
      <c r="X364" s="3"/>
      <c r="Y364" s="2"/>
      <c r="Z364" s="3"/>
    </row>
    <row r="365">
      <c r="A365" s="1"/>
      <c r="B365" s="1"/>
      <c r="C365" s="2"/>
      <c r="D365" s="3"/>
      <c r="E365" s="2"/>
      <c r="F365" s="3"/>
      <c r="G365" s="2"/>
      <c r="H365" s="3"/>
      <c r="I365" s="2"/>
      <c r="J365" s="3"/>
      <c r="K365" s="2"/>
      <c r="L365" s="3"/>
      <c r="M365" s="2"/>
      <c r="N365" s="3"/>
      <c r="O365" s="2"/>
      <c r="P365" s="3"/>
      <c r="Q365" s="2"/>
      <c r="R365" s="3"/>
      <c r="S365" s="2"/>
      <c r="T365" s="3"/>
      <c r="U365" s="2"/>
      <c r="V365" s="3"/>
      <c r="W365" s="2"/>
      <c r="X365" s="3"/>
      <c r="Y365" s="2"/>
      <c r="Z365" s="3"/>
    </row>
    <row r="366">
      <c r="A366" s="1"/>
      <c r="B366" s="1"/>
      <c r="C366" s="2"/>
      <c r="D366" s="3"/>
      <c r="E366" s="2"/>
      <c r="F366" s="3"/>
      <c r="G366" s="2"/>
      <c r="H366" s="3"/>
      <c r="I366" s="2"/>
      <c r="J366" s="3"/>
      <c r="K366" s="2"/>
      <c r="L366" s="3"/>
      <c r="M366" s="2"/>
      <c r="N366" s="3"/>
      <c r="O366" s="2"/>
      <c r="P366" s="3"/>
      <c r="Q366" s="2"/>
      <c r="R366" s="3"/>
      <c r="S366" s="2"/>
      <c r="T366" s="3"/>
      <c r="U366" s="2"/>
      <c r="V366" s="3"/>
      <c r="W366" s="2"/>
      <c r="X366" s="3"/>
      <c r="Y366" s="2"/>
      <c r="Z366" s="3"/>
    </row>
    <row r="367">
      <c r="A367" s="1"/>
      <c r="B367" s="1"/>
      <c r="C367" s="2"/>
      <c r="D367" s="3"/>
      <c r="E367" s="2"/>
      <c r="F367" s="3"/>
      <c r="G367" s="2"/>
      <c r="H367" s="3"/>
      <c r="I367" s="2"/>
      <c r="J367" s="3"/>
      <c r="K367" s="2"/>
      <c r="L367" s="3"/>
      <c r="M367" s="2"/>
      <c r="N367" s="3"/>
      <c r="O367" s="2"/>
      <c r="P367" s="3"/>
      <c r="Q367" s="2"/>
      <c r="R367" s="3"/>
      <c r="S367" s="2"/>
      <c r="T367" s="3"/>
      <c r="U367" s="2"/>
      <c r="V367" s="3"/>
      <c r="W367" s="2"/>
      <c r="X367" s="3"/>
      <c r="Y367" s="2"/>
      <c r="Z367" s="3"/>
    </row>
    <row r="368">
      <c r="A368" s="1"/>
      <c r="B368" s="1"/>
      <c r="C368" s="2"/>
      <c r="D368" s="3"/>
      <c r="E368" s="2"/>
      <c r="F368" s="3"/>
      <c r="G368" s="2"/>
      <c r="H368" s="3"/>
      <c r="I368" s="2"/>
      <c r="J368" s="3"/>
      <c r="K368" s="2"/>
      <c r="L368" s="3"/>
      <c r="M368" s="2"/>
      <c r="N368" s="3"/>
      <c r="O368" s="2"/>
      <c r="P368" s="3"/>
      <c r="Q368" s="2"/>
      <c r="R368" s="3"/>
      <c r="S368" s="2"/>
      <c r="T368" s="3"/>
      <c r="U368" s="2"/>
      <c r="V368" s="3"/>
      <c r="W368" s="2"/>
      <c r="X368" s="3"/>
      <c r="Y368" s="2"/>
      <c r="Z368" s="3"/>
    </row>
    <row r="369">
      <c r="A369" s="1"/>
      <c r="B369" s="1"/>
      <c r="C369" s="2"/>
      <c r="D369" s="3"/>
      <c r="E369" s="2"/>
      <c r="F369" s="3"/>
      <c r="G369" s="2"/>
      <c r="H369" s="3"/>
      <c r="I369" s="2"/>
      <c r="J369" s="3"/>
      <c r="K369" s="2"/>
      <c r="L369" s="3"/>
      <c r="M369" s="2"/>
      <c r="N369" s="3"/>
      <c r="O369" s="2"/>
      <c r="P369" s="3"/>
      <c r="Q369" s="2"/>
      <c r="R369" s="3"/>
      <c r="S369" s="2"/>
      <c r="T369" s="3"/>
      <c r="U369" s="2"/>
      <c r="V369" s="3"/>
      <c r="W369" s="2"/>
      <c r="X369" s="3"/>
      <c r="Y369" s="2"/>
      <c r="Z369" s="3"/>
    </row>
    <row r="370">
      <c r="A370" s="1"/>
      <c r="B370" s="1"/>
      <c r="C370" s="2"/>
      <c r="D370" s="3"/>
      <c r="E370" s="2"/>
      <c r="F370" s="3"/>
      <c r="G370" s="2"/>
      <c r="H370" s="3"/>
      <c r="I370" s="2"/>
      <c r="J370" s="3"/>
      <c r="K370" s="2"/>
      <c r="L370" s="3"/>
      <c r="M370" s="2"/>
      <c r="N370" s="3"/>
      <c r="O370" s="2"/>
      <c r="P370" s="3"/>
      <c r="Q370" s="2"/>
      <c r="R370" s="3"/>
      <c r="S370" s="2"/>
      <c r="T370" s="3"/>
      <c r="U370" s="2"/>
      <c r="V370" s="3"/>
      <c r="W370" s="2"/>
      <c r="X370" s="3"/>
      <c r="Y370" s="2"/>
      <c r="Z370" s="3"/>
    </row>
    <row r="371">
      <c r="A371" s="1"/>
      <c r="B371" s="1"/>
      <c r="C371" s="2"/>
      <c r="D371" s="3"/>
      <c r="E371" s="2"/>
      <c r="F371" s="3"/>
      <c r="G371" s="2"/>
      <c r="H371" s="3"/>
      <c r="I371" s="2"/>
      <c r="J371" s="3"/>
      <c r="K371" s="2"/>
      <c r="L371" s="3"/>
      <c r="M371" s="2"/>
      <c r="N371" s="3"/>
      <c r="O371" s="2"/>
      <c r="P371" s="3"/>
      <c r="Q371" s="2"/>
      <c r="R371" s="3"/>
      <c r="S371" s="2"/>
      <c r="T371" s="3"/>
      <c r="U371" s="2"/>
      <c r="V371" s="3"/>
      <c r="W371" s="2"/>
      <c r="X371" s="3"/>
      <c r="Y371" s="2"/>
      <c r="Z371" s="3"/>
    </row>
    <row r="372">
      <c r="A372" s="1"/>
      <c r="B372" s="1"/>
      <c r="C372" s="2"/>
      <c r="D372" s="3"/>
      <c r="E372" s="2"/>
      <c r="F372" s="3"/>
      <c r="G372" s="2"/>
      <c r="H372" s="3"/>
      <c r="I372" s="2"/>
      <c r="J372" s="3"/>
      <c r="K372" s="2"/>
      <c r="L372" s="3"/>
      <c r="M372" s="2"/>
      <c r="N372" s="3"/>
      <c r="O372" s="2"/>
      <c r="P372" s="3"/>
      <c r="Q372" s="2"/>
      <c r="R372" s="3"/>
      <c r="S372" s="2"/>
      <c r="T372" s="3"/>
      <c r="U372" s="2"/>
      <c r="V372" s="3"/>
      <c r="W372" s="2"/>
      <c r="X372" s="3"/>
      <c r="Y372" s="2"/>
      <c r="Z372" s="3"/>
    </row>
    <row r="373">
      <c r="A373" s="1"/>
      <c r="B373" s="1"/>
      <c r="C373" s="2"/>
      <c r="D373" s="3"/>
      <c r="E373" s="2"/>
      <c r="F373" s="3"/>
      <c r="G373" s="2"/>
      <c r="H373" s="3"/>
      <c r="I373" s="2"/>
      <c r="J373" s="3"/>
      <c r="K373" s="2"/>
      <c r="L373" s="3"/>
      <c r="M373" s="2"/>
      <c r="N373" s="3"/>
      <c r="O373" s="2"/>
      <c r="P373" s="3"/>
      <c r="Q373" s="2"/>
      <c r="R373" s="3"/>
      <c r="S373" s="2"/>
      <c r="T373" s="3"/>
      <c r="U373" s="2"/>
      <c r="V373" s="3"/>
      <c r="W373" s="2"/>
      <c r="X373" s="3"/>
      <c r="Y373" s="2"/>
      <c r="Z373" s="3"/>
    </row>
    <row r="374">
      <c r="A374" s="1"/>
      <c r="B374" s="1"/>
      <c r="C374" s="2"/>
      <c r="D374" s="3"/>
      <c r="E374" s="2"/>
      <c r="F374" s="3"/>
      <c r="G374" s="2"/>
      <c r="H374" s="3"/>
      <c r="I374" s="2"/>
      <c r="J374" s="3"/>
      <c r="K374" s="2"/>
      <c r="L374" s="3"/>
      <c r="M374" s="2"/>
      <c r="N374" s="3"/>
      <c r="O374" s="2"/>
      <c r="P374" s="3"/>
      <c r="Q374" s="2"/>
      <c r="R374" s="3"/>
      <c r="S374" s="2"/>
      <c r="T374" s="3"/>
      <c r="U374" s="2"/>
      <c r="V374" s="3"/>
      <c r="W374" s="2"/>
      <c r="X374" s="3"/>
      <c r="Y374" s="2"/>
      <c r="Z374" s="3"/>
    </row>
    <row r="375">
      <c r="A375" s="1"/>
      <c r="B375" s="1"/>
      <c r="C375" s="2"/>
      <c r="D375" s="3"/>
      <c r="E375" s="2"/>
      <c r="F375" s="3"/>
      <c r="G375" s="2"/>
      <c r="H375" s="3"/>
      <c r="I375" s="2"/>
      <c r="J375" s="3"/>
      <c r="K375" s="2"/>
      <c r="L375" s="3"/>
      <c r="M375" s="2"/>
      <c r="N375" s="3"/>
      <c r="O375" s="2"/>
      <c r="P375" s="3"/>
      <c r="Q375" s="2"/>
      <c r="R375" s="3"/>
      <c r="S375" s="2"/>
      <c r="T375" s="3"/>
      <c r="U375" s="2"/>
      <c r="V375" s="3"/>
      <c r="W375" s="2"/>
      <c r="X375" s="3"/>
      <c r="Y375" s="2"/>
      <c r="Z375" s="3"/>
    </row>
    <row r="376">
      <c r="A376" s="1"/>
      <c r="B376" s="1"/>
      <c r="C376" s="2"/>
      <c r="D376" s="3"/>
      <c r="E376" s="2"/>
      <c r="F376" s="3"/>
      <c r="G376" s="2"/>
      <c r="H376" s="3"/>
      <c r="I376" s="2"/>
      <c r="J376" s="3"/>
      <c r="K376" s="2"/>
      <c r="L376" s="3"/>
      <c r="M376" s="2"/>
      <c r="N376" s="3"/>
      <c r="O376" s="2"/>
      <c r="P376" s="3"/>
      <c r="Q376" s="2"/>
      <c r="R376" s="3"/>
      <c r="S376" s="2"/>
      <c r="T376" s="3"/>
      <c r="U376" s="2"/>
      <c r="V376" s="3"/>
      <c r="W376" s="2"/>
      <c r="X376" s="3"/>
      <c r="Y376" s="2"/>
      <c r="Z376" s="3"/>
    </row>
    <row r="377">
      <c r="A377" s="1"/>
      <c r="B377" s="1"/>
      <c r="C377" s="2"/>
      <c r="D377" s="3"/>
      <c r="E377" s="2"/>
      <c r="F377" s="3"/>
      <c r="G377" s="2"/>
      <c r="H377" s="3"/>
      <c r="I377" s="2"/>
      <c r="J377" s="3"/>
      <c r="K377" s="2"/>
      <c r="L377" s="3"/>
      <c r="M377" s="2"/>
      <c r="N377" s="3"/>
      <c r="O377" s="2"/>
      <c r="P377" s="3"/>
      <c r="Q377" s="2"/>
      <c r="R377" s="3"/>
      <c r="S377" s="2"/>
      <c r="T377" s="3"/>
      <c r="U377" s="2"/>
      <c r="V377" s="3"/>
      <c r="W377" s="2"/>
      <c r="X377" s="3"/>
      <c r="Y377" s="2"/>
      <c r="Z377" s="3"/>
    </row>
    <row r="378">
      <c r="A378" s="1"/>
      <c r="B378" s="1"/>
      <c r="C378" s="2"/>
      <c r="D378" s="3"/>
      <c r="E378" s="2"/>
      <c r="F378" s="3"/>
      <c r="G378" s="2"/>
      <c r="H378" s="3"/>
      <c r="I378" s="2"/>
      <c r="J378" s="3"/>
      <c r="K378" s="2"/>
      <c r="L378" s="3"/>
      <c r="M378" s="2"/>
      <c r="N378" s="3"/>
      <c r="O378" s="2"/>
      <c r="P378" s="3"/>
      <c r="Q378" s="2"/>
      <c r="R378" s="3"/>
      <c r="S378" s="2"/>
      <c r="T378" s="3"/>
      <c r="U378" s="2"/>
      <c r="V378" s="3"/>
      <c r="W378" s="2"/>
      <c r="X378" s="3"/>
      <c r="Y378" s="2"/>
      <c r="Z378" s="3"/>
    </row>
    <row r="379">
      <c r="A379" s="1"/>
      <c r="B379" s="1"/>
      <c r="C379" s="2"/>
      <c r="D379" s="3"/>
      <c r="E379" s="2"/>
      <c r="F379" s="3"/>
      <c r="G379" s="2"/>
      <c r="H379" s="3"/>
      <c r="I379" s="2"/>
      <c r="J379" s="3"/>
      <c r="K379" s="2"/>
      <c r="L379" s="3"/>
      <c r="M379" s="2"/>
      <c r="N379" s="3"/>
      <c r="O379" s="2"/>
      <c r="P379" s="3"/>
      <c r="Q379" s="2"/>
      <c r="R379" s="3"/>
      <c r="S379" s="2"/>
      <c r="T379" s="3"/>
      <c r="U379" s="2"/>
      <c r="V379" s="3"/>
      <c r="W379" s="2"/>
      <c r="X379" s="3"/>
      <c r="Y379" s="2"/>
      <c r="Z379" s="3"/>
    </row>
    <row r="380">
      <c r="A380" s="1"/>
      <c r="B380" s="1"/>
      <c r="C380" s="2"/>
      <c r="D380" s="3"/>
      <c r="E380" s="2"/>
      <c r="F380" s="3"/>
      <c r="G380" s="2"/>
      <c r="H380" s="3"/>
      <c r="I380" s="2"/>
      <c r="J380" s="3"/>
      <c r="K380" s="2"/>
      <c r="L380" s="3"/>
      <c r="M380" s="2"/>
      <c r="N380" s="3"/>
      <c r="O380" s="2"/>
      <c r="P380" s="3"/>
      <c r="Q380" s="2"/>
      <c r="R380" s="3"/>
      <c r="S380" s="2"/>
      <c r="T380" s="3"/>
      <c r="U380" s="2"/>
      <c r="V380" s="3"/>
      <c r="W380" s="2"/>
      <c r="X380" s="3"/>
      <c r="Y380" s="2"/>
      <c r="Z380" s="3"/>
    </row>
    <row r="381">
      <c r="A381" s="1"/>
      <c r="B381" s="1"/>
      <c r="C381" s="2"/>
      <c r="D381" s="3"/>
      <c r="E381" s="2"/>
      <c r="F381" s="3"/>
      <c r="G381" s="2"/>
      <c r="H381" s="3"/>
      <c r="I381" s="2"/>
      <c r="J381" s="3"/>
      <c r="K381" s="2"/>
      <c r="L381" s="3"/>
      <c r="M381" s="2"/>
      <c r="N381" s="3"/>
      <c r="O381" s="2"/>
      <c r="P381" s="3"/>
      <c r="Q381" s="2"/>
      <c r="R381" s="3"/>
      <c r="S381" s="2"/>
      <c r="T381" s="3"/>
      <c r="U381" s="2"/>
      <c r="V381" s="3"/>
      <c r="W381" s="2"/>
      <c r="X381" s="3"/>
      <c r="Y381" s="2"/>
      <c r="Z381" s="3"/>
    </row>
    <row r="382">
      <c r="A382" s="1"/>
      <c r="B382" s="1"/>
      <c r="C382" s="2"/>
      <c r="D382" s="3"/>
      <c r="E382" s="2"/>
      <c r="F382" s="3"/>
      <c r="G382" s="2"/>
      <c r="H382" s="3"/>
      <c r="I382" s="2"/>
      <c r="J382" s="3"/>
      <c r="K382" s="2"/>
      <c r="L382" s="3"/>
      <c r="M382" s="2"/>
      <c r="N382" s="3"/>
      <c r="O382" s="2"/>
      <c r="P382" s="3"/>
      <c r="Q382" s="2"/>
      <c r="R382" s="3"/>
      <c r="S382" s="2"/>
      <c r="T382" s="3"/>
      <c r="U382" s="2"/>
      <c r="V382" s="3"/>
      <c r="W382" s="2"/>
      <c r="X382" s="3"/>
      <c r="Y382" s="2"/>
      <c r="Z382" s="3"/>
    </row>
    <row r="383">
      <c r="A383" s="1"/>
      <c r="B383" s="1"/>
      <c r="C383" s="2"/>
      <c r="D383" s="3"/>
      <c r="E383" s="2"/>
      <c r="F383" s="3"/>
      <c r="G383" s="2"/>
      <c r="H383" s="3"/>
      <c r="I383" s="2"/>
      <c r="J383" s="3"/>
      <c r="K383" s="2"/>
      <c r="L383" s="3"/>
      <c r="M383" s="2"/>
      <c r="N383" s="3"/>
      <c r="O383" s="2"/>
      <c r="P383" s="3"/>
      <c r="Q383" s="2"/>
      <c r="R383" s="3"/>
      <c r="S383" s="2"/>
      <c r="T383" s="3"/>
      <c r="U383" s="2"/>
      <c r="V383" s="3"/>
      <c r="W383" s="2"/>
      <c r="X383" s="3"/>
      <c r="Y383" s="2"/>
      <c r="Z383" s="3"/>
    </row>
    <row r="384">
      <c r="A384" s="1"/>
      <c r="B384" s="1"/>
      <c r="C384" s="2"/>
      <c r="D384" s="3"/>
      <c r="E384" s="2"/>
      <c r="F384" s="3"/>
      <c r="G384" s="2"/>
      <c r="H384" s="3"/>
      <c r="I384" s="2"/>
      <c r="J384" s="3"/>
      <c r="K384" s="2"/>
      <c r="L384" s="3"/>
      <c r="M384" s="2"/>
      <c r="N384" s="3"/>
      <c r="O384" s="2"/>
      <c r="P384" s="3"/>
      <c r="Q384" s="2"/>
      <c r="R384" s="3"/>
      <c r="S384" s="2"/>
      <c r="T384" s="3"/>
      <c r="U384" s="2"/>
      <c r="V384" s="3"/>
      <c r="W384" s="2"/>
      <c r="X384" s="3"/>
      <c r="Y384" s="2"/>
      <c r="Z384" s="3"/>
    </row>
    <row r="385">
      <c r="A385" s="1"/>
      <c r="B385" s="1"/>
      <c r="C385" s="2"/>
      <c r="D385" s="3"/>
      <c r="E385" s="2"/>
      <c r="F385" s="3"/>
      <c r="G385" s="2"/>
      <c r="H385" s="3"/>
      <c r="I385" s="2"/>
      <c r="J385" s="3"/>
      <c r="K385" s="2"/>
      <c r="L385" s="3"/>
      <c r="M385" s="2"/>
      <c r="N385" s="3"/>
      <c r="O385" s="2"/>
      <c r="P385" s="3"/>
      <c r="Q385" s="2"/>
      <c r="R385" s="3"/>
      <c r="S385" s="2"/>
      <c r="T385" s="3"/>
      <c r="U385" s="2"/>
      <c r="V385" s="3"/>
      <c r="W385" s="2"/>
      <c r="X385" s="3"/>
      <c r="Y385" s="2"/>
      <c r="Z385" s="3"/>
    </row>
    <row r="386">
      <c r="A386" s="1"/>
      <c r="B386" s="1"/>
      <c r="C386" s="2"/>
      <c r="D386" s="3"/>
      <c r="E386" s="2"/>
      <c r="F386" s="3"/>
      <c r="G386" s="2"/>
      <c r="H386" s="3"/>
      <c r="I386" s="2"/>
      <c r="J386" s="3"/>
      <c r="K386" s="2"/>
      <c r="L386" s="3"/>
      <c r="M386" s="2"/>
      <c r="N386" s="3"/>
      <c r="O386" s="2"/>
      <c r="P386" s="3"/>
      <c r="Q386" s="2"/>
      <c r="R386" s="3"/>
      <c r="S386" s="2"/>
      <c r="T386" s="3"/>
      <c r="U386" s="2"/>
      <c r="V386" s="3"/>
      <c r="W386" s="2"/>
      <c r="X386" s="3"/>
      <c r="Y386" s="2"/>
      <c r="Z386" s="3"/>
    </row>
    <row r="387">
      <c r="A387" s="1"/>
      <c r="B387" s="1"/>
      <c r="C387" s="2"/>
      <c r="D387" s="3"/>
      <c r="E387" s="2"/>
      <c r="F387" s="3"/>
      <c r="G387" s="2"/>
      <c r="H387" s="3"/>
      <c r="I387" s="2"/>
      <c r="J387" s="3"/>
      <c r="K387" s="2"/>
      <c r="L387" s="3"/>
      <c r="M387" s="2"/>
      <c r="N387" s="3"/>
      <c r="O387" s="2"/>
      <c r="P387" s="3"/>
      <c r="Q387" s="2"/>
      <c r="R387" s="3"/>
      <c r="S387" s="2"/>
      <c r="T387" s="3"/>
      <c r="U387" s="2"/>
      <c r="V387" s="3"/>
      <c r="W387" s="2"/>
      <c r="X387" s="3"/>
      <c r="Y387" s="2"/>
      <c r="Z387" s="3"/>
    </row>
    <row r="388">
      <c r="A388" s="1"/>
      <c r="B388" s="1"/>
      <c r="C388" s="2"/>
      <c r="D388" s="3"/>
      <c r="E388" s="2"/>
      <c r="F388" s="3"/>
      <c r="G388" s="2"/>
      <c r="H388" s="3"/>
      <c r="I388" s="2"/>
      <c r="J388" s="3"/>
      <c r="K388" s="2"/>
      <c r="L388" s="3"/>
      <c r="M388" s="2"/>
      <c r="N388" s="3"/>
      <c r="O388" s="2"/>
      <c r="P388" s="3"/>
      <c r="Q388" s="2"/>
      <c r="R388" s="3"/>
      <c r="S388" s="2"/>
      <c r="T388" s="3"/>
      <c r="U388" s="2"/>
      <c r="V388" s="3"/>
      <c r="W388" s="2"/>
      <c r="X388" s="3"/>
      <c r="Y388" s="2"/>
      <c r="Z388" s="3"/>
    </row>
    <row r="389">
      <c r="A389" s="1"/>
      <c r="B389" s="1"/>
      <c r="C389" s="2"/>
      <c r="D389" s="3"/>
      <c r="E389" s="2"/>
      <c r="F389" s="3"/>
      <c r="G389" s="2"/>
      <c r="H389" s="3"/>
      <c r="I389" s="2"/>
      <c r="J389" s="3"/>
      <c r="K389" s="2"/>
      <c r="L389" s="3"/>
      <c r="M389" s="2"/>
      <c r="N389" s="3"/>
      <c r="O389" s="2"/>
      <c r="P389" s="3"/>
      <c r="Q389" s="2"/>
      <c r="R389" s="3"/>
      <c r="S389" s="2"/>
      <c r="T389" s="3"/>
      <c r="U389" s="2"/>
      <c r="V389" s="3"/>
      <c r="W389" s="2"/>
      <c r="X389" s="3"/>
      <c r="Y389" s="2"/>
      <c r="Z389" s="3"/>
    </row>
    <row r="390">
      <c r="A390" s="1"/>
      <c r="B390" s="1"/>
      <c r="C390" s="2"/>
      <c r="D390" s="3"/>
      <c r="E390" s="2"/>
      <c r="F390" s="3"/>
      <c r="G390" s="2"/>
      <c r="H390" s="3"/>
      <c r="I390" s="2"/>
      <c r="J390" s="3"/>
      <c r="K390" s="2"/>
      <c r="L390" s="3"/>
      <c r="M390" s="2"/>
      <c r="N390" s="3"/>
      <c r="O390" s="2"/>
      <c r="P390" s="3"/>
      <c r="Q390" s="2"/>
      <c r="R390" s="3"/>
      <c r="S390" s="2"/>
      <c r="T390" s="3"/>
      <c r="U390" s="2"/>
      <c r="V390" s="3"/>
      <c r="W390" s="2"/>
      <c r="X390" s="3"/>
      <c r="Y390" s="2"/>
      <c r="Z390" s="3"/>
    </row>
    <row r="391">
      <c r="A391" s="1"/>
      <c r="B391" s="1"/>
      <c r="C391" s="2"/>
      <c r="D391" s="3"/>
      <c r="E391" s="2"/>
      <c r="F391" s="3"/>
      <c r="G391" s="2"/>
      <c r="H391" s="3"/>
      <c r="I391" s="2"/>
      <c r="J391" s="3"/>
      <c r="K391" s="2"/>
      <c r="L391" s="3"/>
      <c r="M391" s="2"/>
      <c r="N391" s="3"/>
      <c r="O391" s="2"/>
      <c r="P391" s="3"/>
      <c r="Q391" s="2"/>
      <c r="R391" s="3"/>
      <c r="S391" s="2"/>
      <c r="T391" s="3"/>
      <c r="U391" s="2"/>
      <c r="V391" s="3"/>
      <c r="W391" s="2"/>
      <c r="X391" s="3"/>
      <c r="Y391" s="2"/>
      <c r="Z391" s="3"/>
    </row>
    <row r="392">
      <c r="A392" s="1"/>
      <c r="B392" s="1"/>
      <c r="C392" s="2"/>
      <c r="D392" s="3"/>
      <c r="E392" s="2"/>
      <c r="F392" s="3"/>
      <c r="G392" s="2"/>
      <c r="H392" s="3"/>
      <c r="I392" s="2"/>
      <c r="J392" s="3"/>
      <c r="K392" s="2"/>
      <c r="L392" s="3"/>
      <c r="M392" s="2"/>
      <c r="N392" s="3"/>
      <c r="O392" s="2"/>
      <c r="P392" s="3"/>
      <c r="Q392" s="2"/>
      <c r="R392" s="3"/>
      <c r="S392" s="2"/>
      <c r="T392" s="3"/>
      <c r="U392" s="2"/>
      <c r="V392" s="3"/>
      <c r="W392" s="2"/>
      <c r="X392" s="3"/>
      <c r="Y392" s="2"/>
      <c r="Z392" s="3"/>
    </row>
    <row r="393">
      <c r="A393" s="1"/>
      <c r="B393" s="1"/>
      <c r="C393" s="2"/>
      <c r="D393" s="3"/>
      <c r="E393" s="2"/>
      <c r="F393" s="3"/>
      <c r="G393" s="2"/>
      <c r="H393" s="3"/>
      <c r="I393" s="2"/>
      <c r="J393" s="3"/>
      <c r="K393" s="2"/>
      <c r="L393" s="3"/>
      <c r="M393" s="2"/>
      <c r="N393" s="3"/>
      <c r="O393" s="2"/>
      <c r="P393" s="3"/>
      <c r="Q393" s="2"/>
      <c r="R393" s="3"/>
      <c r="S393" s="2"/>
      <c r="T393" s="3"/>
      <c r="U393" s="2"/>
      <c r="V393" s="3"/>
      <c r="W393" s="2"/>
      <c r="X393" s="3"/>
      <c r="Y393" s="2"/>
      <c r="Z393" s="3"/>
    </row>
    <row r="394">
      <c r="A394" s="1"/>
      <c r="B394" s="1"/>
      <c r="C394" s="2"/>
      <c r="D394" s="3"/>
      <c r="E394" s="2"/>
      <c r="F394" s="3"/>
      <c r="G394" s="2"/>
      <c r="H394" s="3"/>
      <c r="I394" s="2"/>
      <c r="J394" s="3"/>
      <c r="K394" s="2"/>
      <c r="L394" s="3"/>
      <c r="M394" s="2"/>
      <c r="N394" s="3"/>
      <c r="O394" s="2"/>
      <c r="P394" s="3"/>
      <c r="Q394" s="2"/>
      <c r="R394" s="3"/>
      <c r="S394" s="2"/>
      <c r="T394" s="3"/>
      <c r="U394" s="2"/>
      <c r="V394" s="3"/>
      <c r="W394" s="2"/>
      <c r="X394" s="3"/>
      <c r="Y394" s="2"/>
      <c r="Z394" s="3"/>
    </row>
    <row r="395">
      <c r="A395" s="1"/>
      <c r="B395" s="1"/>
      <c r="C395" s="2"/>
      <c r="D395" s="3"/>
      <c r="E395" s="2"/>
      <c r="F395" s="3"/>
      <c r="G395" s="2"/>
      <c r="H395" s="3"/>
      <c r="I395" s="2"/>
      <c r="J395" s="3"/>
      <c r="K395" s="2"/>
      <c r="L395" s="3"/>
      <c r="M395" s="2"/>
      <c r="N395" s="3"/>
      <c r="O395" s="2"/>
      <c r="P395" s="3"/>
      <c r="Q395" s="2"/>
      <c r="R395" s="3"/>
      <c r="S395" s="2"/>
      <c r="T395" s="3"/>
      <c r="U395" s="2"/>
      <c r="V395" s="3"/>
      <c r="W395" s="2"/>
      <c r="X395" s="3"/>
      <c r="Y395" s="2"/>
      <c r="Z395" s="3"/>
    </row>
    <row r="396">
      <c r="A396" s="1"/>
      <c r="B396" s="1"/>
      <c r="C396" s="2"/>
      <c r="D396" s="3"/>
      <c r="E396" s="2"/>
      <c r="F396" s="3"/>
      <c r="G396" s="2"/>
      <c r="H396" s="3"/>
      <c r="I396" s="2"/>
      <c r="J396" s="3"/>
      <c r="K396" s="2"/>
      <c r="L396" s="3"/>
      <c r="M396" s="2"/>
      <c r="N396" s="3"/>
      <c r="O396" s="2"/>
      <c r="P396" s="3"/>
      <c r="Q396" s="2"/>
      <c r="R396" s="3"/>
      <c r="S396" s="2"/>
      <c r="T396" s="3"/>
      <c r="U396" s="2"/>
      <c r="V396" s="3"/>
      <c r="W396" s="2"/>
      <c r="X396" s="3"/>
      <c r="Y396" s="2"/>
      <c r="Z396" s="3"/>
    </row>
    <row r="397">
      <c r="A397" s="1"/>
      <c r="B397" s="1"/>
      <c r="C397" s="2"/>
      <c r="D397" s="3"/>
      <c r="E397" s="2"/>
      <c r="F397" s="3"/>
      <c r="G397" s="2"/>
      <c r="H397" s="3"/>
      <c r="I397" s="2"/>
      <c r="J397" s="3"/>
      <c r="K397" s="2"/>
      <c r="L397" s="3"/>
      <c r="M397" s="2"/>
      <c r="N397" s="3"/>
      <c r="O397" s="2"/>
      <c r="P397" s="3"/>
      <c r="Q397" s="2"/>
      <c r="R397" s="3"/>
      <c r="S397" s="2"/>
      <c r="T397" s="3"/>
      <c r="U397" s="2"/>
      <c r="V397" s="3"/>
      <c r="W397" s="2"/>
      <c r="X397" s="3"/>
      <c r="Y397" s="2"/>
      <c r="Z397" s="3"/>
    </row>
    <row r="398">
      <c r="A398" s="1"/>
      <c r="B398" s="1"/>
      <c r="C398" s="2"/>
      <c r="D398" s="3"/>
      <c r="E398" s="2"/>
      <c r="F398" s="3"/>
      <c r="G398" s="2"/>
      <c r="H398" s="3"/>
      <c r="I398" s="2"/>
      <c r="J398" s="3"/>
      <c r="K398" s="2"/>
      <c r="L398" s="3"/>
      <c r="M398" s="2"/>
      <c r="N398" s="3"/>
      <c r="O398" s="2"/>
      <c r="P398" s="3"/>
      <c r="Q398" s="2"/>
      <c r="R398" s="3"/>
      <c r="S398" s="2"/>
      <c r="T398" s="3"/>
      <c r="U398" s="2"/>
      <c r="V398" s="3"/>
      <c r="W398" s="2"/>
      <c r="X398" s="3"/>
      <c r="Y398" s="2"/>
      <c r="Z398" s="3"/>
    </row>
    <row r="399">
      <c r="A399" s="1"/>
      <c r="B399" s="1"/>
      <c r="C399" s="2"/>
      <c r="D399" s="3"/>
      <c r="E399" s="2"/>
      <c r="F399" s="3"/>
      <c r="G399" s="2"/>
      <c r="H399" s="3"/>
      <c r="I399" s="2"/>
      <c r="J399" s="3"/>
      <c r="K399" s="2"/>
      <c r="L399" s="3"/>
      <c r="M399" s="2"/>
      <c r="N399" s="3"/>
      <c r="O399" s="2"/>
      <c r="P399" s="3"/>
      <c r="Q399" s="2"/>
      <c r="R399" s="3"/>
      <c r="S399" s="2"/>
      <c r="T399" s="3"/>
      <c r="U399" s="2"/>
      <c r="V399" s="3"/>
      <c r="W399" s="2"/>
      <c r="X399" s="3"/>
      <c r="Y399" s="2"/>
      <c r="Z399" s="3"/>
    </row>
    <row r="400">
      <c r="A400" s="1"/>
      <c r="B400" s="1"/>
      <c r="C400" s="2"/>
      <c r="D400" s="3"/>
      <c r="E400" s="2"/>
      <c r="F400" s="3"/>
      <c r="G400" s="2"/>
      <c r="H400" s="3"/>
      <c r="I400" s="2"/>
      <c r="J400" s="3"/>
      <c r="K400" s="2"/>
      <c r="L400" s="3"/>
      <c r="M400" s="2"/>
      <c r="N400" s="3"/>
      <c r="O400" s="2"/>
      <c r="P400" s="3"/>
      <c r="Q400" s="2"/>
      <c r="R400" s="3"/>
      <c r="S400" s="2"/>
      <c r="T400" s="3"/>
      <c r="U400" s="2"/>
      <c r="V400" s="3"/>
      <c r="W400" s="2"/>
      <c r="X400" s="3"/>
      <c r="Y400" s="2"/>
      <c r="Z400" s="3"/>
    </row>
    <row r="401">
      <c r="A401" s="1"/>
      <c r="B401" s="1"/>
      <c r="C401" s="2"/>
      <c r="D401" s="3"/>
      <c r="E401" s="2"/>
      <c r="F401" s="3"/>
      <c r="G401" s="2"/>
      <c r="H401" s="3"/>
      <c r="I401" s="2"/>
      <c r="J401" s="3"/>
      <c r="K401" s="2"/>
      <c r="L401" s="3"/>
      <c r="M401" s="2"/>
      <c r="N401" s="3"/>
      <c r="O401" s="2"/>
      <c r="P401" s="3"/>
      <c r="Q401" s="2"/>
      <c r="R401" s="3"/>
      <c r="S401" s="2"/>
      <c r="T401" s="3"/>
      <c r="U401" s="2"/>
      <c r="V401" s="3"/>
      <c r="W401" s="2"/>
      <c r="X401" s="3"/>
      <c r="Y401" s="2"/>
      <c r="Z401" s="3"/>
    </row>
    <row r="402">
      <c r="A402" s="1"/>
      <c r="B402" s="1"/>
      <c r="C402" s="2"/>
      <c r="D402" s="3"/>
      <c r="E402" s="2"/>
      <c r="F402" s="3"/>
      <c r="G402" s="2"/>
      <c r="H402" s="3"/>
      <c r="I402" s="2"/>
      <c r="J402" s="3"/>
      <c r="K402" s="2"/>
      <c r="L402" s="3"/>
      <c r="M402" s="2"/>
      <c r="N402" s="3"/>
      <c r="O402" s="2"/>
      <c r="P402" s="3"/>
      <c r="Q402" s="2"/>
      <c r="R402" s="3"/>
      <c r="S402" s="2"/>
      <c r="T402" s="3"/>
      <c r="U402" s="2"/>
      <c r="V402" s="3"/>
      <c r="W402" s="2"/>
      <c r="X402" s="3"/>
      <c r="Y402" s="2"/>
      <c r="Z402" s="3"/>
    </row>
    <row r="403">
      <c r="A403" s="1"/>
      <c r="B403" s="1"/>
      <c r="C403" s="2"/>
      <c r="D403" s="3"/>
      <c r="E403" s="2"/>
      <c r="F403" s="3"/>
      <c r="G403" s="2"/>
      <c r="H403" s="3"/>
      <c r="I403" s="2"/>
      <c r="J403" s="3"/>
      <c r="K403" s="2"/>
      <c r="L403" s="3"/>
      <c r="M403" s="2"/>
      <c r="N403" s="3"/>
      <c r="O403" s="2"/>
      <c r="P403" s="3"/>
      <c r="Q403" s="2"/>
      <c r="R403" s="3"/>
      <c r="S403" s="2"/>
      <c r="T403" s="3"/>
      <c r="U403" s="2"/>
      <c r="V403" s="3"/>
      <c r="W403" s="2"/>
      <c r="X403" s="3"/>
      <c r="Y403" s="2"/>
      <c r="Z403" s="3"/>
    </row>
    <row r="404">
      <c r="A404" s="1"/>
      <c r="B404" s="1"/>
      <c r="C404" s="2"/>
      <c r="D404" s="3"/>
      <c r="E404" s="2"/>
      <c r="F404" s="3"/>
      <c r="G404" s="2"/>
      <c r="H404" s="3"/>
      <c r="I404" s="2"/>
      <c r="J404" s="3"/>
      <c r="K404" s="2"/>
      <c r="L404" s="3"/>
      <c r="M404" s="2"/>
      <c r="N404" s="3"/>
      <c r="O404" s="2"/>
      <c r="P404" s="3"/>
      <c r="Q404" s="2"/>
      <c r="R404" s="3"/>
      <c r="S404" s="2"/>
      <c r="T404" s="3"/>
      <c r="U404" s="2"/>
      <c r="V404" s="3"/>
      <c r="W404" s="2"/>
      <c r="X404" s="3"/>
      <c r="Y404" s="2"/>
      <c r="Z404" s="3"/>
    </row>
    <row r="405">
      <c r="A405" s="1"/>
      <c r="B405" s="1"/>
      <c r="C405" s="2"/>
      <c r="D405" s="3"/>
      <c r="E405" s="2"/>
      <c r="F405" s="3"/>
      <c r="G405" s="2"/>
      <c r="H405" s="3"/>
      <c r="I405" s="2"/>
      <c r="J405" s="3"/>
      <c r="K405" s="2"/>
      <c r="L405" s="3"/>
      <c r="M405" s="2"/>
      <c r="N405" s="3"/>
      <c r="O405" s="2"/>
      <c r="P405" s="3"/>
      <c r="Q405" s="2"/>
      <c r="R405" s="3"/>
      <c r="S405" s="2"/>
      <c r="T405" s="3"/>
      <c r="U405" s="2"/>
      <c r="V405" s="3"/>
      <c r="W405" s="2"/>
      <c r="X405" s="3"/>
      <c r="Y405" s="2"/>
      <c r="Z405" s="3"/>
    </row>
    <row r="406">
      <c r="A406" s="1"/>
      <c r="B406" s="1"/>
      <c r="C406" s="2"/>
      <c r="D406" s="3"/>
      <c r="E406" s="2"/>
      <c r="F406" s="3"/>
      <c r="G406" s="2"/>
      <c r="H406" s="3"/>
      <c r="I406" s="2"/>
      <c r="J406" s="3"/>
      <c r="K406" s="2"/>
      <c r="L406" s="3"/>
      <c r="M406" s="2"/>
      <c r="N406" s="3"/>
      <c r="O406" s="2"/>
      <c r="P406" s="3"/>
      <c r="Q406" s="2"/>
      <c r="R406" s="3"/>
      <c r="S406" s="2"/>
      <c r="T406" s="3"/>
      <c r="U406" s="2"/>
      <c r="V406" s="3"/>
      <c r="W406" s="2"/>
      <c r="X406" s="3"/>
      <c r="Y406" s="2"/>
      <c r="Z406" s="3"/>
    </row>
    <row r="407">
      <c r="A407" s="1"/>
      <c r="B407" s="1"/>
      <c r="C407" s="2"/>
      <c r="D407" s="3"/>
      <c r="E407" s="2"/>
      <c r="F407" s="3"/>
      <c r="G407" s="2"/>
      <c r="H407" s="3"/>
      <c r="I407" s="2"/>
      <c r="J407" s="3"/>
      <c r="K407" s="2"/>
      <c r="L407" s="3"/>
      <c r="M407" s="2"/>
      <c r="N407" s="3"/>
      <c r="O407" s="2"/>
      <c r="P407" s="3"/>
      <c r="Q407" s="2"/>
      <c r="R407" s="3"/>
      <c r="S407" s="2"/>
      <c r="T407" s="3"/>
      <c r="U407" s="2"/>
      <c r="V407" s="3"/>
      <c r="W407" s="2"/>
      <c r="X407" s="3"/>
      <c r="Y407" s="2"/>
      <c r="Z407" s="3"/>
    </row>
    <row r="408">
      <c r="A408" s="1"/>
      <c r="B408" s="1"/>
      <c r="C408" s="2"/>
      <c r="D408" s="3"/>
      <c r="E408" s="2"/>
      <c r="F408" s="3"/>
      <c r="G408" s="2"/>
      <c r="H408" s="3"/>
      <c r="I408" s="2"/>
      <c r="J408" s="3"/>
      <c r="K408" s="2"/>
      <c r="L408" s="3"/>
      <c r="M408" s="2"/>
      <c r="N408" s="3"/>
      <c r="O408" s="2"/>
      <c r="P408" s="3"/>
      <c r="Q408" s="2"/>
      <c r="R408" s="3"/>
      <c r="S408" s="2"/>
      <c r="T408" s="3"/>
      <c r="U408" s="2"/>
      <c r="V408" s="3"/>
      <c r="W408" s="2"/>
      <c r="X408" s="3"/>
      <c r="Y408" s="2"/>
      <c r="Z408" s="3"/>
    </row>
    <row r="409">
      <c r="A409" s="1"/>
      <c r="B409" s="1"/>
      <c r="C409" s="2"/>
      <c r="D409" s="3"/>
      <c r="E409" s="2"/>
      <c r="F409" s="3"/>
      <c r="G409" s="2"/>
      <c r="H409" s="3"/>
      <c r="I409" s="2"/>
      <c r="J409" s="3"/>
      <c r="K409" s="2"/>
      <c r="L409" s="3"/>
      <c r="M409" s="2"/>
      <c r="N409" s="3"/>
      <c r="O409" s="2"/>
      <c r="P409" s="3"/>
      <c r="Q409" s="2"/>
      <c r="R409" s="3"/>
      <c r="S409" s="2"/>
      <c r="T409" s="3"/>
      <c r="U409" s="2"/>
      <c r="V409" s="3"/>
      <c r="W409" s="2"/>
      <c r="X409" s="3"/>
      <c r="Y409" s="2"/>
      <c r="Z409" s="3"/>
    </row>
    <row r="410">
      <c r="A410" s="1"/>
      <c r="B410" s="1"/>
      <c r="C410" s="2"/>
      <c r="D410" s="3"/>
      <c r="E410" s="2"/>
      <c r="F410" s="3"/>
      <c r="G410" s="2"/>
      <c r="H410" s="3"/>
      <c r="I410" s="2"/>
      <c r="J410" s="3"/>
      <c r="K410" s="2"/>
      <c r="L410" s="3"/>
      <c r="M410" s="2"/>
      <c r="N410" s="3"/>
      <c r="O410" s="2"/>
      <c r="P410" s="3"/>
      <c r="Q410" s="2"/>
      <c r="R410" s="3"/>
      <c r="S410" s="2"/>
      <c r="T410" s="3"/>
      <c r="U410" s="2"/>
      <c r="V410" s="3"/>
      <c r="W410" s="2"/>
      <c r="X410" s="3"/>
      <c r="Y410" s="2"/>
      <c r="Z410" s="3"/>
    </row>
    <row r="411">
      <c r="A411" s="1"/>
      <c r="B411" s="1"/>
      <c r="C411" s="2"/>
      <c r="D411" s="3"/>
      <c r="E411" s="2"/>
      <c r="F411" s="3"/>
      <c r="G411" s="2"/>
      <c r="H411" s="3"/>
      <c r="I411" s="2"/>
      <c r="J411" s="3"/>
      <c r="K411" s="2"/>
      <c r="L411" s="3"/>
      <c r="M411" s="2"/>
      <c r="N411" s="3"/>
      <c r="O411" s="2"/>
      <c r="P411" s="3"/>
      <c r="Q411" s="2"/>
      <c r="R411" s="3"/>
      <c r="S411" s="2"/>
      <c r="T411" s="3"/>
      <c r="U411" s="2"/>
      <c r="V411" s="3"/>
      <c r="W411" s="2"/>
      <c r="X411" s="3"/>
      <c r="Y411" s="2"/>
      <c r="Z411" s="3"/>
    </row>
    <row r="412">
      <c r="A412" s="1"/>
      <c r="B412" s="1"/>
      <c r="C412" s="2"/>
      <c r="D412" s="3"/>
      <c r="E412" s="2"/>
      <c r="F412" s="3"/>
      <c r="G412" s="2"/>
      <c r="H412" s="3"/>
      <c r="I412" s="2"/>
      <c r="J412" s="3"/>
      <c r="K412" s="2"/>
      <c r="L412" s="3"/>
      <c r="M412" s="2"/>
      <c r="N412" s="3"/>
      <c r="O412" s="2"/>
      <c r="P412" s="3"/>
      <c r="Q412" s="2"/>
      <c r="R412" s="3"/>
      <c r="S412" s="2"/>
      <c r="T412" s="3"/>
      <c r="U412" s="2"/>
      <c r="V412" s="3"/>
      <c r="W412" s="2"/>
      <c r="X412" s="3"/>
      <c r="Y412" s="2"/>
      <c r="Z412" s="3"/>
    </row>
    <row r="413">
      <c r="A413" s="1"/>
      <c r="B413" s="1"/>
      <c r="C413" s="2"/>
      <c r="D413" s="3"/>
      <c r="E413" s="2"/>
      <c r="F413" s="3"/>
      <c r="G413" s="2"/>
      <c r="H413" s="3"/>
      <c r="I413" s="2"/>
      <c r="J413" s="3"/>
      <c r="K413" s="2"/>
      <c r="L413" s="3"/>
      <c r="M413" s="2"/>
      <c r="N413" s="3"/>
      <c r="O413" s="2"/>
      <c r="P413" s="3"/>
      <c r="Q413" s="2"/>
      <c r="R413" s="3"/>
      <c r="S413" s="2"/>
      <c r="T413" s="3"/>
      <c r="U413" s="2"/>
      <c r="V413" s="3"/>
      <c r="W413" s="2"/>
      <c r="X413" s="3"/>
      <c r="Y413" s="2"/>
      <c r="Z413" s="3"/>
    </row>
    <row r="414">
      <c r="A414" s="1"/>
      <c r="B414" s="1"/>
      <c r="C414" s="2"/>
      <c r="D414" s="3"/>
      <c r="E414" s="2"/>
      <c r="F414" s="3"/>
      <c r="G414" s="2"/>
      <c r="H414" s="3"/>
      <c r="I414" s="2"/>
      <c r="J414" s="3"/>
      <c r="K414" s="2"/>
      <c r="L414" s="3"/>
      <c r="M414" s="2"/>
      <c r="N414" s="3"/>
      <c r="O414" s="2"/>
      <c r="P414" s="3"/>
      <c r="Q414" s="2"/>
      <c r="R414" s="3"/>
      <c r="S414" s="2"/>
      <c r="T414" s="3"/>
      <c r="U414" s="2"/>
      <c r="V414" s="3"/>
      <c r="W414" s="2"/>
      <c r="X414" s="3"/>
      <c r="Y414" s="2"/>
      <c r="Z414" s="3"/>
    </row>
    <row r="415">
      <c r="A415" s="1"/>
      <c r="B415" s="1"/>
      <c r="C415" s="2"/>
      <c r="D415" s="3"/>
      <c r="E415" s="2"/>
      <c r="F415" s="3"/>
      <c r="G415" s="2"/>
      <c r="H415" s="3"/>
      <c r="I415" s="2"/>
      <c r="J415" s="3"/>
      <c r="K415" s="2"/>
      <c r="L415" s="3"/>
      <c r="M415" s="2"/>
      <c r="N415" s="3"/>
      <c r="O415" s="2"/>
      <c r="P415" s="3"/>
      <c r="Q415" s="2"/>
      <c r="R415" s="3"/>
      <c r="S415" s="2"/>
      <c r="T415" s="3"/>
      <c r="U415" s="2"/>
      <c r="V415" s="3"/>
      <c r="W415" s="2"/>
      <c r="X415" s="3"/>
      <c r="Y415" s="2"/>
      <c r="Z415" s="3"/>
    </row>
    <row r="416">
      <c r="A416" s="1"/>
      <c r="B416" s="1"/>
      <c r="C416" s="2"/>
      <c r="D416" s="3"/>
      <c r="E416" s="2"/>
      <c r="F416" s="3"/>
      <c r="G416" s="2"/>
      <c r="H416" s="3"/>
      <c r="I416" s="2"/>
      <c r="J416" s="3"/>
      <c r="K416" s="2"/>
      <c r="L416" s="3"/>
      <c r="M416" s="2"/>
      <c r="N416" s="3"/>
      <c r="O416" s="2"/>
      <c r="P416" s="3"/>
      <c r="Q416" s="2"/>
      <c r="R416" s="3"/>
      <c r="S416" s="2"/>
      <c r="T416" s="3"/>
      <c r="U416" s="2"/>
      <c r="V416" s="3"/>
      <c r="W416" s="2"/>
      <c r="X416" s="3"/>
      <c r="Y416" s="2"/>
      <c r="Z416" s="3"/>
    </row>
    <row r="417">
      <c r="A417" s="1"/>
      <c r="B417" s="1"/>
      <c r="C417" s="2"/>
      <c r="D417" s="3"/>
      <c r="E417" s="2"/>
      <c r="F417" s="3"/>
      <c r="G417" s="2"/>
      <c r="H417" s="3"/>
      <c r="I417" s="2"/>
      <c r="J417" s="3"/>
      <c r="K417" s="2"/>
      <c r="L417" s="3"/>
      <c r="M417" s="2"/>
      <c r="N417" s="3"/>
      <c r="O417" s="2"/>
      <c r="P417" s="3"/>
      <c r="Q417" s="2"/>
      <c r="R417" s="3"/>
      <c r="S417" s="2"/>
      <c r="T417" s="3"/>
      <c r="U417" s="2"/>
      <c r="V417" s="3"/>
      <c r="W417" s="2"/>
      <c r="X417" s="3"/>
      <c r="Y417" s="2"/>
      <c r="Z417" s="3"/>
    </row>
    <row r="418">
      <c r="A418" s="1"/>
      <c r="B418" s="1"/>
      <c r="C418" s="2"/>
      <c r="D418" s="3"/>
      <c r="E418" s="2"/>
      <c r="F418" s="3"/>
      <c r="G418" s="2"/>
      <c r="H418" s="3"/>
      <c r="I418" s="2"/>
      <c r="J418" s="3"/>
      <c r="K418" s="2"/>
      <c r="L418" s="3"/>
      <c r="M418" s="2"/>
      <c r="N418" s="3"/>
      <c r="O418" s="2"/>
      <c r="P418" s="3"/>
      <c r="Q418" s="2"/>
      <c r="R418" s="3"/>
      <c r="S418" s="2"/>
      <c r="T418" s="3"/>
      <c r="U418" s="2"/>
      <c r="V418" s="3"/>
      <c r="W418" s="2"/>
      <c r="X418" s="3"/>
      <c r="Y418" s="2"/>
      <c r="Z418" s="3"/>
    </row>
    <row r="419">
      <c r="A419" s="1"/>
      <c r="B419" s="1"/>
      <c r="C419" s="2"/>
      <c r="D419" s="3"/>
      <c r="E419" s="2"/>
      <c r="F419" s="3"/>
      <c r="G419" s="2"/>
      <c r="H419" s="3"/>
      <c r="I419" s="2"/>
      <c r="J419" s="3"/>
      <c r="K419" s="2"/>
      <c r="L419" s="3"/>
      <c r="M419" s="2"/>
      <c r="N419" s="3"/>
      <c r="O419" s="2"/>
      <c r="P419" s="3"/>
      <c r="Q419" s="2"/>
      <c r="R419" s="3"/>
      <c r="S419" s="2"/>
      <c r="T419" s="3"/>
      <c r="U419" s="2"/>
      <c r="V419" s="3"/>
      <c r="W419" s="2"/>
      <c r="X419" s="3"/>
      <c r="Y419" s="2"/>
      <c r="Z419" s="3"/>
    </row>
    <row r="420">
      <c r="A420" s="1"/>
      <c r="B420" s="1"/>
      <c r="C420" s="2"/>
      <c r="D420" s="3"/>
      <c r="E420" s="2"/>
      <c r="F420" s="3"/>
      <c r="G420" s="2"/>
      <c r="H420" s="3"/>
      <c r="I420" s="2"/>
      <c r="J420" s="3"/>
      <c r="K420" s="2"/>
      <c r="L420" s="3"/>
      <c r="M420" s="2"/>
      <c r="N420" s="3"/>
      <c r="O420" s="2"/>
      <c r="P420" s="3"/>
      <c r="Q420" s="2"/>
      <c r="R420" s="3"/>
      <c r="S420" s="2"/>
      <c r="T420" s="3"/>
      <c r="U420" s="2"/>
      <c r="V420" s="3"/>
      <c r="W420" s="2"/>
      <c r="X420" s="3"/>
      <c r="Y420" s="2"/>
      <c r="Z420" s="3"/>
    </row>
    <row r="421">
      <c r="A421" s="1"/>
      <c r="B421" s="1"/>
      <c r="C421" s="2"/>
      <c r="D421" s="3"/>
      <c r="E421" s="2"/>
      <c r="F421" s="3"/>
      <c r="G421" s="2"/>
      <c r="H421" s="3"/>
      <c r="I421" s="2"/>
      <c r="J421" s="3"/>
      <c r="K421" s="2"/>
      <c r="L421" s="3"/>
      <c r="M421" s="2"/>
      <c r="N421" s="3"/>
      <c r="O421" s="2"/>
      <c r="P421" s="3"/>
      <c r="Q421" s="2"/>
      <c r="R421" s="3"/>
      <c r="S421" s="2"/>
      <c r="T421" s="3"/>
      <c r="U421" s="2"/>
      <c r="V421" s="3"/>
      <c r="W421" s="2"/>
      <c r="X421" s="3"/>
      <c r="Y421" s="2"/>
      <c r="Z421" s="3"/>
    </row>
    <row r="422">
      <c r="A422" s="1"/>
      <c r="B422" s="1"/>
      <c r="C422" s="2"/>
      <c r="D422" s="3"/>
      <c r="E422" s="2"/>
      <c r="F422" s="3"/>
      <c r="G422" s="2"/>
      <c r="H422" s="3"/>
      <c r="I422" s="2"/>
      <c r="J422" s="3"/>
      <c r="K422" s="2"/>
      <c r="L422" s="3"/>
      <c r="M422" s="2"/>
      <c r="N422" s="3"/>
      <c r="O422" s="2"/>
      <c r="P422" s="3"/>
      <c r="Q422" s="2"/>
      <c r="R422" s="3"/>
      <c r="S422" s="2"/>
      <c r="T422" s="3"/>
      <c r="U422" s="2"/>
      <c r="V422" s="3"/>
      <c r="W422" s="2"/>
      <c r="X422" s="3"/>
      <c r="Y422" s="2"/>
      <c r="Z422" s="3"/>
    </row>
    <row r="423">
      <c r="A423" s="1"/>
      <c r="B423" s="1"/>
      <c r="C423" s="2"/>
      <c r="D423" s="3"/>
      <c r="E423" s="2"/>
      <c r="F423" s="3"/>
      <c r="G423" s="2"/>
      <c r="H423" s="3"/>
      <c r="I423" s="2"/>
      <c r="J423" s="3"/>
      <c r="K423" s="2"/>
      <c r="L423" s="3"/>
      <c r="M423" s="2"/>
      <c r="N423" s="3"/>
      <c r="O423" s="2"/>
      <c r="P423" s="3"/>
      <c r="Q423" s="2"/>
      <c r="R423" s="3"/>
      <c r="S423" s="2"/>
      <c r="T423" s="3"/>
      <c r="U423" s="2"/>
      <c r="V423" s="3"/>
      <c r="W423" s="2"/>
      <c r="X423" s="3"/>
      <c r="Y423" s="2"/>
      <c r="Z423" s="3"/>
    </row>
    <row r="424">
      <c r="A424" s="1"/>
      <c r="B424" s="1"/>
      <c r="C424" s="2"/>
      <c r="D424" s="3"/>
      <c r="E424" s="2"/>
      <c r="F424" s="3"/>
      <c r="G424" s="2"/>
      <c r="H424" s="3"/>
      <c r="I424" s="2"/>
      <c r="J424" s="3"/>
      <c r="K424" s="2"/>
      <c r="L424" s="3"/>
      <c r="M424" s="2"/>
      <c r="N424" s="3"/>
      <c r="O424" s="2"/>
      <c r="P424" s="3"/>
      <c r="Q424" s="2"/>
      <c r="R424" s="3"/>
      <c r="S424" s="2"/>
      <c r="T424" s="3"/>
      <c r="U424" s="2"/>
      <c r="V424" s="3"/>
      <c r="W424" s="2"/>
      <c r="X424" s="3"/>
      <c r="Y424" s="2"/>
      <c r="Z424" s="3"/>
    </row>
    <row r="425">
      <c r="A425" s="1"/>
      <c r="B425" s="1"/>
      <c r="C425" s="2"/>
      <c r="D425" s="3"/>
      <c r="E425" s="2"/>
      <c r="F425" s="3"/>
      <c r="G425" s="2"/>
      <c r="H425" s="3"/>
      <c r="I425" s="2"/>
      <c r="J425" s="3"/>
      <c r="K425" s="2"/>
      <c r="L425" s="3"/>
      <c r="M425" s="2"/>
      <c r="N425" s="3"/>
      <c r="O425" s="2"/>
      <c r="P425" s="3"/>
      <c r="Q425" s="2"/>
      <c r="R425" s="3"/>
      <c r="S425" s="2"/>
      <c r="T425" s="3"/>
      <c r="U425" s="2"/>
      <c r="V425" s="3"/>
      <c r="W425" s="2"/>
      <c r="X425" s="3"/>
      <c r="Y425" s="2"/>
      <c r="Z425" s="3"/>
    </row>
    <row r="426">
      <c r="A426" s="1"/>
      <c r="B426" s="1"/>
      <c r="C426" s="2"/>
      <c r="D426" s="3"/>
      <c r="E426" s="2"/>
      <c r="F426" s="3"/>
      <c r="G426" s="2"/>
      <c r="H426" s="3"/>
      <c r="I426" s="2"/>
      <c r="J426" s="3"/>
      <c r="K426" s="2"/>
      <c r="L426" s="3"/>
      <c r="M426" s="2"/>
      <c r="N426" s="3"/>
      <c r="O426" s="2"/>
      <c r="P426" s="3"/>
      <c r="Q426" s="2"/>
      <c r="R426" s="3"/>
      <c r="S426" s="2"/>
      <c r="T426" s="3"/>
      <c r="U426" s="2"/>
      <c r="V426" s="3"/>
      <c r="W426" s="2"/>
      <c r="X426" s="3"/>
      <c r="Y426" s="2"/>
      <c r="Z426" s="3"/>
    </row>
    <row r="427">
      <c r="A427" s="1"/>
      <c r="B427" s="1"/>
      <c r="C427" s="2"/>
      <c r="D427" s="3"/>
      <c r="E427" s="2"/>
      <c r="F427" s="3"/>
      <c r="G427" s="2"/>
      <c r="H427" s="3"/>
      <c r="I427" s="2"/>
      <c r="J427" s="3"/>
      <c r="K427" s="2"/>
      <c r="L427" s="3"/>
      <c r="M427" s="2"/>
      <c r="N427" s="3"/>
      <c r="O427" s="2"/>
      <c r="P427" s="3"/>
      <c r="Q427" s="2"/>
      <c r="R427" s="3"/>
      <c r="S427" s="2"/>
      <c r="T427" s="3"/>
      <c r="U427" s="2"/>
      <c r="V427" s="3"/>
      <c r="W427" s="2"/>
      <c r="X427" s="3"/>
      <c r="Y427" s="2"/>
      <c r="Z427" s="3"/>
    </row>
    <row r="428">
      <c r="A428" s="1"/>
      <c r="B428" s="1"/>
      <c r="C428" s="2"/>
      <c r="D428" s="3"/>
      <c r="E428" s="2"/>
      <c r="F428" s="3"/>
      <c r="G428" s="2"/>
      <c r="H428" s="3"/>
      <c r="I428" s="2"/>
      <c r="J428" s="3"/>
      <c r="K428" s="2"/>
      <c r="L428" s="3"/>
      <c r="M428" s="2"/>
      <c r="N428" s="3"/>
      <c r="O428" s="2"/>
      <c r="P428" s="3"/>
      <c r="Q428" s="2"/>
      <c r="R428" s="3"/>
      <c r="S428" s="2"/>
      <c r="T428" s="3"/>
      <c r="U428" s="2"/>
      <c r="V428" s="3"/>
      <c r="W428" s="2"/>
      <c r="X428" s="3"/>
      <c r="Y428" s="2"/>
      <c r="Z428" s="3"/>
    </row>
    <row r="429">
      <c r="A429" s="1"/>
      <c r="B429" s="1"/>
      <c r="C429" s="2"/>
      <c r="D429" s="3"/>
      <c r="E429" s="2"/>
      <c r="F429" s="3"/>
      <c r="G429" s="2"/>
      <c r="H429" s="3"/>
      <c r="I429" s="2"/>
      <c r="J429" s="3"/>
      <c r="K429" s="2"/>
      <c r="L429" s="3"/>
      <c r="M429" s="2"/>
      <c r="N429" s="3"/>
      <c r="O429" s="2"/>
      <c r="P429" s="3"/>
      <c r="Q429" s="2"/>
      <c r="R429" s="3"/>
      <c r="S429" s="2"/>
      <c r="T429" s="3"/>
      <c r="U429" s="2"/>
      <c r="V429" s="3"/>
      <c r="W429" s="2"/>
      <c r="X429" s="3"/>
      <c r="Y429" s="2"/>
      <c r="Z429" s="3"/>
    </row>
    <row r="430">
      <c r="A430" s="1"/>
      <c r="B430" s="1"/>
      <c r="C430" s="2"/>
      <c r="D430" s="3"/>
      <c r="E430" s="2"/>
      <c r="F430" s="3"/>
      <c r="G430" s="2"/>
      <c r="H430" s="3"/>
      <c r="I430" s="2"/>
      <c r="J430" s="3"/>
      <c r="K430" s="2"/>
      <c r="L430" s="3"/>
      <c r="M430" s="2"/>
      <c r="N430" s="3"/>
      <c r="O430" s="2"/>
      <c r="P430" s="3"/>
      <c r="Q430" s="2"/>
      <c r="R430" s="3"/>
      <c r="S430" s="2"/>
      <c r="T430" s="3"/>
      <c r="U430" s="2"/>
      <c r="V430" s="3"/>
      <c r="W430" s="2"/>
      <c r="X430" s="3"/>
      <c r="Y430" s="2"/>
      <c r="Z430" s="3"/>
    </row>
    <row r="431">
      <c r="A431" s="1"/>
      <c r="B431" s="1"/>
      <c r="C431" s="2"/>
      <c r="D431" s="3"/>
      <c r="E431" s="2"/>
      <c r="F431" s="3"/>
      <c r="G431" s="2"/>
      <c r="H431" s="3"/>
      <c r="I431" s="2"/>
      <c r="J431" s="3"/>
      <c r="K431" s="2"/>
      <c r="L431" s="3"/>
      <c r="M431" s="2"/>
      <c r="N431" s="3"/>
      <c r="O431" s="2"/>
      <c r="P431" s="3"/>
      <c r="Q431" s="2"/>
      <c r="R431" s="3"/>
      <c r="S431" s="2"/>
      <c r="T431" s="3"/>
      <c r="U431" s="2"/>
      <c r="V431" s="3"/>
      <c r="W431" s="2"/>
      <c r="X431" s="3"/>
      <c r="Y431" s="2"/>
      <c r="Z431" s="3"/>
    </row>
    <row r="432">
      <c r="A432" s="1"/>
      <c r="B432" s="1"/>
      <c r="C432" s="2"/>
      <c r="D432" s="3"/>
      <c r="E432" s="2"/>
      <c r="F432" s="3"/>
      <c r="G432" s="2"/>
      <c r="H432" s="3"/>
      <c r="I432" s="2"/>
      <c r="J432" s="3"/>
      <c r="K432" s="2"/>
      <c r="L432" s="3"/>
      <c r="M432" s="2"/>
      <c r="N432" s="3"/>
      <c r="O432" s="2"/>
      <c r="P432" s="3"/>
      <c r="Q432" s="2"/>
      <c r="R432" s="3"/>
      <c r="S432" s="2"/>
      <c r="T432" s="3"/>
      <c r="U432" s="2"/>
      <c r="V432" s="3"/>
      <c r="W432" s="2"/>
      <c r="X432" s="3"/>
      <c r="Y432" s="2"/>
      <c r="Z432" s="3"/>
    </row>
    <row r="433">
      <c r="A433" s="1"/>
      <c r="B433" s="1"/>
      <c r="C433" s="2"/>
      <c r="D433" s="3"/>
      <c r="E433" s="2"/>
      <c r="F433" s="3"/>
      <c r="G433" s="2"/>
      <c r="H433" s="3"/>
      <c r="I433" s="2"/>
      <c r="J433" s="3"/>
      <c r="K433" s="2"/>
      <c r="L433" s="3"/>
      <c r="M433" s="2"/>
      <c r="N433" s="3"/>
      <c r="O433" s="2"/>
      <c r="P433" s="3"/>
      <c r="Q433" s="2"/>
      <c r="R433" s="3"/>
      <c r="S433" s="2"/>
      <c r="T433" s="3"/>
      <c r="U433" s="2"/>
      <c r="V433" s="3"/>
      <c r="W433" s="2"/>
      <c r="X433" s="3"/>
      <c r="Y433" s="2"/>
      <c r="Z433" s="3"/>
    </row>
    <row r="434">
      <c r="A434" s="1"/>
      <c r="B434" s="1"/>
      <c r="C434" s="2"/>
      <c r="D434" s="3"/>
      <c r="E434" s="2"/>
      <c r="F434" s="3"/>
      <c r="G434" s="2"/>
      <c r="H434" s="3"/>
      <c r="I434" s="2"/>
      <c r="J434" s="3"/>
      <c r="K434" s="2"/>
      <c r="L434" s="3"/>
      <c r="M434" s="2"/>
      <c r="N434" s="3"/>
      <c r="O434" s="2"/>
      <c r="P434" s="3"/>
      <c r="Q434" s="2"/>
      <c r="R434" s="3"/>
      <c r="S434" s="2"/>
      <c r="T434" s="3"/>
      <c r="U434" s="2"/>
      <c r="V434" s="3"/>
      <c r="W434" s="2"/>
      <c r="X434" s="3"/>
      <c r="Y434" s="2"/>
      <c r="Z434" s="3"/>
    </row>
    <row r="435">
      <c r="A435" s="1"/>
      <c r="B435" s="1"/>
      <c r="C435" s="2"/>
      <c r="D435" s="3"/>
      <c r="E435" s="2"/>
      <c r="F435" s="3"/>
      <c r="G435" s="2"/>
      <c r="H435" s="3"/>
      <c r="I435" s="2"/>
      <c r="J435" s="3"/>
      <c r="K435" s="2"/>
      <c r="L435" s="3"/>
      <c r="M435" s="2"/>
      <c r="N435" s="3"/>
      <c r="O435" s="2"/>
      <c r="P435" s="3"/>
      <c r="Q435" s="2"/>
      <c r="R435" s="3"/>
      <c r="S435" s="2"/>
      <c r="T435" s="3"/>
      <c r="U435" s="2"/>
      <c r="V435" s="3"/>
      <c r="W435" s="2"/>
      <c r="X435" s="3"/>
      <c r="Y435" s="2"/>
      <c r="Z435" s="3"/>
    </row>
    <row r="436">
      <c r="A436" s="1"/>
      <c r="B436" s="1"/>
      <c r="C436" s="2"/>
      <c r="D436" s="3"/>
      <c r="E436" s="2"/>
      <c r="F436" s="3"/>
      <c r="G436" s="2"/>
      <c r="H436" s="3"/>
      <c r="I436" s="2"/>
      <c r="J436" s="3"/>
      <c r="K436" s="2"/>
      <c r="L436" s="3"/>
      <c r="M436" s="2"/>
      <c r="N436" s="3"/>
      <c r="O436" s="2"/>
      <c r="P436" s="3"/>
      <c r="Q436" s="2"/>
      <c r="R436" s="3"/>
      <c r="S436" s="2"/>
      <c r="T436" s="3"/>
      <c r="U436" s="2"/>
      <c r="V436" s="3"/>
      <c r="W436" s="2"/>
      <c r="X436" s="3"/>
      <c r="Y436" s="2"/>
      <c r="Z436" s="3"/>
    </row>
    <row r="437">
      <c r="A437" s="1"/>
      <c r="B437" s="1"/>
      <c r="C437" s="2"/>
      <c r="D437" s="3"/>
      <c r="E437" s="2"/>
      <c r="F437" s="3"/>
      <c r="G437" s="2"/>
      <c r="H437" s="3"/>
      <c r="I437" s="2"/>
      <c r="J437" s="3"/>
      <c r="K437" s="2"/>
      <c r="L437" s="3"/>
      <c r="M437" s="2"/>
      <c r="N437" s="3"/>
      <c r="O437" s="2"/>
      <c r="P437" s="3"/>
      <c r="Q437" s="2"/>
      <c r="R437" s="3"/>
      <c r="S437" s="2"/>
      <c r="T437" s="3"/>
      <c r="U437" s="2"/>
      <c r="V437" s="3"/>
      <c r="W437" s="2"/>
      <c r="X437" s="3"/>
      <c r="Y437" s="2"/>
      <c r="Z437" s="3"/>
    </row>
    <row r="438">
      <c r="A438" s="1"/>
      <c r="B438" s="1"/>
      <c r="C438" s="2"/>
      <c r="D438" s="3"/>
      <c r="E438" s="2"/>
      <c r="F438" s="3"/>
      <c r="G438" s="2"/>
      <c r="H438" s="3"/>
      <c r="I438" s="2"/>
      <c r="J438" s="3"/>
      <c r="K438" s="2"/>
      <c r="L438" s="3"/>
      <c r="M438" s="2"/>
      <c r="N438" s="3"/>
      <c r="O438" s="2"/>
      <c r="P438" s="3"/>
      <c r="Q438" s="2"/>
      <c r="R438" s="3"/>
      <c r="S438" s="2"/>
      <c r="T438" s="3"/>
      <c r="U438" s="2"/>
      <c r="V438" s="3"/>
      <c r="W438" s="2"/>
      <c r="X438" s="3"/>
      <c r="Y438" s="2"/>
      <c r="Z438" s="3"/>
    </row>
    <row r="439">
      <c r="A439" s="1"/>
      <c r="B439" s="1"/>
      <c r="C439" s="2"/>
      <c r="D439" s="3"/>
      <c r="E439" s="2"/>
      <c r="F439" s="3"/>
      <c r="G439" s="2"/>
      <c r="H439" s="3"/>
      <c r="I439" s="2"/>
      <c r="J439" s="3"/>
      <c r="K439" s="2"/>
      <c r="L439" s="3"/>
      <c r="M439" s="2"/>
      <c r="N439" s="3"/>
      <c r="O439" s="2"/>
      <c r="P439" s="3"/>
      <c r="Q439" s="2"/>
      <c r="R439" s="3"/>
      <c r="S439" s="2"/>
      <c r="T439" s="3"/>
      <c r="U439" s="2"/>
      <c r="V439" s="3"/>
      <c r="W439" s="2"/>
      <c r="X439" s="3"/>
      <c r="Y439" s="2"/>
      <c r="Z439" s="3"/>
    </row>
    <row r="440">
      <c r="A440" s="1"/>
      <c r="B440" s="1"/>
      <c r="C440" s="2"/>
      <c r="D440" s="3"/>
      <c r="E440" s="2"/>
      <c r="F440" s="3"/>
      <c r="G440" s="2"/>
      <c r="H440" s="3"/>
      <c r="I440" s="2"/>
      <c r="J440" s="3"/>
      <c r="K440" s="2"/>
      <c r="L440" s="3"/>
      <c r="M440" s="2"/>
      <c r="N440" s="3"/>
      <c r="O440" s="2"/>
      <c r="P440" s="3"/>
      <c r="Q440" s="2"/>
      <c r="R440" s="3"/>
      <c r="S440" s="2"/>
      <c r="T440" s="3"/>
      <c r="U440" s="2"/>
      <c r="V440" s="3"/>
      <c r="W440" s="2"/>
      <c r="X440" s="3"/>
      <c r="Y440" s="2"/>
      <c r="Z440" s="3"/>
    </row>
    <row r="441">
      <c r="A441" s="1"/>
      <c r="B441" s="1"/>
      <c r="C441" s="2"/>
      <c r="D441" s="3"/>
      <c r="E441" s="2"/>
      <c r="F441" s="3"/>
      <c r="G441" s="2"/>
      <c r="H441" s="3"/>
      <c r="I441" s="2"/>
      <c r="J441" s="3"/>
      <c r="K441" s="2"/>
      <c r="L441" s="3"/>
      <c r="M441" s="2"/>
      <c r="N441" s="3"/>
      <c r="O441" s="2"/>
      <c r="P441" s="3"/>
      <c r="Q441" s="2"/>
      <c r="R441" s="3"/>
      <c r="S441" s="2"/>
      <c r="T441" s="3"/>
      <c r="U441" s="2"/>
      <c r="V441" s="3"/>
      <c r="W441" s="2"/>
      <c r="X441" s="3"/>
      <c r="Y441" s="2"/>
      <c r="Z441" s="3"/>
    </row>
    <row r="442">
      <c r="A442" s="1"/>
      <c r="B442" s="1"/>
      <c r="C442" s="2"/>
      <c r="D442" s="3"/>
      <c r="E442" s="2"/>
      <c r="F442" s="3"/>
      <c r="G442" s="2"/>
      <c r="H442" s="3"/>
      <c r="I442" s="2"/>
      <c r="J442" s="3"/>
      <c r="K442" s="2"/>
      <c r="L442" s="3"/>
      <c r="M442" s="2"/>
      <c r="N442" s="3"/>
      <c r="O442" s="2"/>
      <c r="P442" s="3"/>
      <c r="Q442" s="2"/>
      <c r="R442" s="3"/>
      <c r="S442" s="2"/>
      <c r="T442" s="3"/>
      <c r="U442" s="2"/>
      <c r="V442" s="3"/>
      <c r="W442" s="2"/>
      <c r="X442" s="3"/>
      <c r="Y442" s="2"/>
      <c r="Z442" s="3"/>
    </row>
    <row r="443">
      <c r="A443" s="1"/>
      <c r="B443" s="1"/>
      <c r="C443" s="2"/>
      <c r="D443" s="3"/>
      <c r="E443" s="2"/>
      <c r="F443" s="3"/>
      <c r="G443" s="2"/>
      <c r="H443" s="3"/>
      <c r="I443" s="2"/>
      <c r="J443" s="3"/>
      <c r="K443" s="2"/>
      <c r="L443" s="3"/>
      <c r="M443" s="2"/>
      <c r="N443" s="3"/>
      <c r="O443" s="2"/>
      <c r="P443" s="3"/>
      <c r="Q443" s="2"/>
      <c r="R443" s="3"/>
      <c r="S443" s="2"/>
      <c r="T443" s="3"/>
      <c r="U443" s="2"/>
      <c r="V443" s="3"/>
      <c r="W443" s="2"/>
      <c r="X443" s="3"/>
      <c r="Y443" s="2"/>
      <c r="Z443" s="3"/>
    </row>
    <row r="444">
      <c r="A444" s="1"/>
      <c r="B444" s="1"/>
      <c r="C444" s="2"/>
      <c r="D444" s="3"/>
      <c r="E444" s="2"/>
      <c r="F444" s="3"/>
      <c r="G444" s="2"/>
      <c r="H444" s="3"/>
      <c r="I444" s="2"/>
      <c r="J444" s="3"/>
      <c r="K444" s="2"/>
      <c r="L444" s="3"/>
      <c r="M444" s="2"/>
      <c r="N444" s="3"/>
      <c r="O444" s="2"/>
      <c r="P444" s="3"/>
      <c r="Q444" s="2"/>
      <c r="R444" s="3"/>
      <c r="S444" s="2"/>
      <c r="T444" s="3"/>
      <c r="U444" s="2"/>
      <c r="V444" s="3"/>
      <c r="W444" s="2"/>
      <c r="X444" s="3"/>
      <c r="Y444" s="2"/>
      <c r="Z444" s="3"/>
    </row>
    <row r="445">
      <c r="A445" s="1"/>
      <c r="B445" s="1"/>
      <c r="C445" s="2"/>
      <c r="D445" s="3"/>
      <c r="E445" s="2"/>
      <c r="F445" s="3"/>
      <c r="G445" s="2"/>
      <c r="H445" s="3"/>
      <c r="I445" s="2"/>
      <c r="J445" s="3"/>
      <c r="K445" s="2"/>
      <c r="L445" s="3"/>
      <c r="M445" s="2"/>
      <c r="N445" s="3"/>
      <c r="O445" s="2"/>
      <c r="P445" s="3"/>
      <c r="Q445" s="2"/>
      <c r="R445" s="3"/>
      <c r="S445" s="2"/>
      <c r="T445" s="3"/>
      <c r="U445" s="2"/>
      <c r="V445" s="3"/>
      <c r="W445" s="2"/>
      <c r="X445" s="3"/>
      <c r="Y445" s="2"/>
      <c r="Z445" s="3"/>
    </row>
    <row r="446">
      <c r="A446" s="1"/>
      <c r="B446" s="1"/>
      <c r="C446" s="2"/>
      <c r="D446" s="3"/>
      <c r="E446" s="2"/>
      <c r="F446" s="3"/>
      <c r="G446" s="2"/>
      <c r="H446" s="3"/>
      <c r="I446" s="2"/>
      <c r="J446" s="3"/>
      <c r="K446" s="2"/>
      <c r="L446" s="3"/>
      <c r="M446" s="2"/>
      <c r="N446" s="3"/>
      <c r="O446" s="2"/>
      <c r="P446" s="3"/>
      <c r="Q446" s="2"/>
      <c r="R446" s="3"/>
      <c r="S446" s="2"/>
      <c r="T446" s="3"/>
      <c r="U446" s="2"/>
      <c r="V446" s="3"/>
      <c r="W446" s="2"/>
      <c r="X446" s="3"/>
      <c r="Y446" s="2"/>
      <c r="Z446" s="3"/>
    </row>
    <row r="447">
      <c r="A447" s="1"/>
      <c r="B447" s="1"/>
      <c r="C447" s="2"/>
      <c r="D447" s="3"/>
      <c r="E447" s="2"/>
      <c r="F447" s="3"/>
      <c r="G447" s="2"/>
      <c r="H447" s="3"/>
      <c r="I447" s="2"/>
      <c r="J447" s="3"/>
      <c r="K447" s="2"/>
      <c r="L447" s="3"/>
      <c r="M447" s="2"/>
      <c r="N447" s="3"/>
      <c r="O447" s="2"/>
      <c r="P447" s="3"/>
      <c r="Q447" s="2"/>
      <c r="R447" s="3"/>
      <c r="S447" s="2"/>
      <c r="T447" s="3"/>
      <c r="U447" s="2"/>
      <c r="V447" s="3"/>
      <c r="W447" s="2"/>
      <c r="X447" s="3"/>
      <c r="Y447" s="2"/>
      <c r="Z447" s="3"/>
    </row>
    <row r="448">
      <c r="A448" s="1"/>
      <c r="B448" s="1"/>
      <c r="C448" s="2"/>
      <c r="D448" s="3"/>
      <c r="E448" s="2"/>
      <c r="F448" s="3"/>
      <c r="G448" s="2"/>
      <c r="H448" s="3"/>
      <c r="I448" s="2"/>
      <c r="J448" s="3"/>
      <c r="K448" s="2"/>
      <c r="L448" s="3"/>
      <c r="M448" s="2"/>
      <c r="N448" s="3"/>
      <c r="O448" s="2"/>
      <c r="P448" s="3"/>
      <c r="Q448" s="2"/>
      <c r="R448" s="3"/>
      <c r="S448" s="2"/>
      <c r="T448" s="3"/>
      <c r="U448" s="2"/>
      <c r="V448" s="3"/>
      <c r="W448" s="2"/>
      <c r="X448" s="3"/>
      <c r="Y448" s="2"/>
      <c r="Z448" s="3"/>
    </row>
    <row r="449">
      <c r="A449" s="1"/>
      <c r="B449" s="1"/>
      <c r="C449" s="2"/>
      <c r="D449" s="3"/>
      <c r="E449" s="2"/>
      <c r="F449" s="3"/>
      <c r="G449" s="2"/>
      <c r="H449" s="3"/>
      <c r="I449" s="2"/>
      <c r="J449" s="3"/>
      <c r="K449" s="2"/>
      <c r="L449" s="3"/>
      <c r="M449" s="2"/>
      <c r="N449" s="3"/>
      <c r="O449" s="2"/>
      <c r="P449" s="3"/>
      <c r="Q449" s="2"/>
      <c r="R449" s="3"/>
      <c r="S449" s="2"/>
      <c r="T449" s="3"/>
      <c r="U449" s="2"/>
      <c r="V449" s="3"/>
      <c r="W449" s="2"/>
      <c r="X449" s="3"/>
      <c r="Y449" s="2"/>
      <c r="Z449" s="3"/>
    </row>
    <row r="450">
      <c r="A450" s="1"/>
      <c r="B450" s="1"/>
      <c r="C450" s="2"/>
      <c r="D450" s="3"/>
      <c r="E450" s="2"/>
      <c r="F450" s="3"/>
      <c r="G450" s="2"/>
      <c r="H450" s="3"/>
      <c r="I450" s="2"/>
      <c r="J450" s="3"/>
      <c r="K450" s="2"/>
      <c r="L450" s="3"/>
      <c r="M450" s="2"/>
      <c r="N450" s="3"/>
      <c r="O450" s="2"/>
      <c r="P450" s="3"/>
      <c r="Q450" s="2"/>
      <c r="R450" s="3"/>
      <c r="S450" s="2"/>
      <c r="T450" s="3"/>
      <c r="U450" s="2"/>
      <c r="V450" s="3"/>
      <c r="W450" s="2"/>
      <c r="X450" s="3"/>
      <c r="Y450" s="2"/>
      <c r="Z450" s="3"/>
    </row>
    <row r="451">
      <c r="A451" s="1"/>
      <c r="B451" s="1"/>
      <c r="C451" s="2"/>
      <c r="D451" s="3"/>
      <c r="E451" s="2"/>
      <c r="F451" s="3"/>
      <c r="G451" s="2"/>
      <c r="H451" s="3"/>
      <c r="I451" s="2"/>
      <c r="J451" s="3"/>
      <c r="K451" s="2"/>
      <c r="L451" s="3"/>
      <c r="M451" s="2"/>
      <c r="N451" s="3"/>
      <c r="O451" s="2"/>
      <c r="P451" s="3"/>
      <c r="Q451" s="2"/>
      <c r="R451" s="3"/>
      <c r="S451" s="2"/>
      <c r="T451" s="3"/>
      <c r="U451" s="2"/>
      <c r="V451" s="3"/>
      <c r="W451" s="2"/>
      <c r="X451" s="3"/>
      <c r="Y451" s="2"/>
      <c r="Z451" s="3"/>
    </row>
    <row r="452">
      <c r="A452" s="1"/>
      <c r="B452" s="1"/>
      <c r="C452" s="2"/>
      <c r="D452" s="3"/>
      <c r="E452" s="2"/>
      <c r="F452" s="3"/>
      <c r="G452" s="2"/>
      <c r="H452" s="3"/>
      <c r="I452" s="2"/>
      <c r="J452" s="3"/>
      <c r="K452" s="2"/>
      <c r="L452" s="3"/>
      <c r="M452" s="2"/>
      <c r="N452" s="3"/>
      <c r="O452" s="2"/>
      <c r="P452" s="3"/>
      <c r="Q452" s="2"/>
      <c r="R452" s="3"/>
      <c r="S452" s="2"/>
      <c r="T452" s="3"/>
      <c r="U452" s="2"/>
      <c r="V452" s="3"/>
      <c r="W452" s="2"/>
      <c r="X452" s="3"/>
      <c r="Y452" s="2"/>
      <c r="Z452" s="3"/>
    </row>
    <row r="453">
      <c r="A453" s="1"/>
      <c r="B453" s="1"/>
      <c r="C453" s="2"/>
      <c r="D453" s="3"/>
      <c r="E453" s="2"/>
      <c r="F453" s="3"/>
      <c r="G453" s="2"/>
      <c r="H453" s="3"/>
      <c r="I453" s="2"/>
      <c r="J453" s="3"/>
      <c r="K453" s="2"/>
      <c r="L453" s="3"/>
      <c r="M453" s="2"/>
      <c r="N453" s="3"/>
      <c r="O453" s="2"/>
      <c r="P453" s="3"/>
      <c r="Q453" s="2"/>
      <c r="R453" s="3"/>
      <c r="S453" s="2"/>
      <c r="T453" s="3"/>
      <c r="U453" s="2"/>
      <c r="V453" s="3"/>
      <c r="W453" s="2"/>
      <c r="X453" s="3"/>
      <c r="Y453" s="2"/>
      <c r="Z453" s="3"/>
    </row>
    <row r="454">
      <c r="A454" s="1"/>
      <c r="B454" s="1"/>
      <c r="C454" s="2"/>
      <c r="D454" s="3"/>
      <c r="E454" s="2"/>
      <c r="F454" s="3"/>
      <c r="G454" s="2"/>
      <c r="H454" s="3"/>
      <c r="I454" s="2"/>
      <c r="J454" s="3"/>
      <c r="K454" s="2"/>
      <c r="L454" s="3"/>
      <c r="M454" s="2"/>
      <c r="N454" s="3"/>
      <c r="O454" s="2"/>
      <c r="P454" s="3"/>
      <c r="Q454" s="2"/>
      <c r="R454" s="3"/>
      <c r="S454" s="2"/>
      <c r="T454" s="3"/>
      <c r="U454" s="2"/>
      <c r="V454" s="3"/>
      <c r="W454" s="2"/>
      <c r="X454" s="3"/>
      <c r="Y454" s="2"/>
      <c r="Z454" s="3"/>
    </row>
    <row r="455">
      <c r="A455" s="1"/>
      <c r="B455" s="1"/>
      <c r="C455" s="2"/>
      <c r="D455" s="3"/>
      <c r="E455" s="2"/>
      <c r="F455" s="3"/>
      <c r="G455" s="2"/>
      <c r="H455" s="3"/>
      <c r="I455" s="2"/>
      <c r="J455" s="3"/>
      <c r="K455" s="2"/>
      <c r="L455" s="3"/>
      <c r="M455" s="2"/>
      <c r="N455" s="3"/>
      <c r="O455" s="2"/>
      <c r="P455" s="3"/>
      <c r="Q455" s="2"/>
      <c r="R455" s="3"/>
      <c r="S455" s="2"/>
      <c r="T455" s="3"/>
      <c r="U455" s="2"/>
      <c r="V455" s="3"/>
      <c r="W455" s="2"/>
      <c r="X455" s="3"/>
      <c r="Y455" s="2"/>
      <c r="Z455" s="3"/>
    </row>
    <row r="456">
      <c r="A456" s="1"/>
      <c r="B456" s="1"/>
      <c r="C456" s="2"/>
      <c r="D456" s="3"/>
      <c r="E456" s="2"/>
      <c r="F456" s="3"/>
      <c r="G456" s="2"/>
      <c r="H456" s="3"/>
      <c r="I456" s="2"/>
      <c r="J456" s="3"/>
      <c r="K456" s="2"/>
      <c r="L456" s="3"/>
      <c r="M456" s="2"/>
      <c r="N456" s="3"/>
      <c r="O456" s="2"/>
      <c r="P456" s="3"/>
      <c r="Q456" s="2"/>
      <c r="R456" s="3"/>
      <c r="S456" s="2"/>
      <c r="T456" s="3"/>
      <c r="U456" s="2"/>
      <c r="V456" s="3"/>
      <c r="W456" s="2"/>
      <c r="X456" s="3"/>
      <c r="Y456" s="2"/>
      <c r="Z456" s="3"/>
    </row>
    <row r="457">
      <c r="A457" s="1"/>
      <c r="B457" s="1"/>
      <c r="C457" s="2"/>
      <c r="D457" s="3"/>
      <c r="E457" s="2"/>
      <c r="F457" s="3"/>
      <c r="G457" s="2"/>
      <c r="H457" s="3"/>
      <c r="I457" s="2"/>
      <c r="J457" s="3"/>
      <c r="K457" s="2"/>
      <c r="L457" s="3"/>
      <c r="M457" s="2"/>
      <c r="N457" s="3"/>
      <c r="O457" s="2"/>
      <c r="P457" s="3"/>
      <c r="Q457" s="2"/>
      <c r="R457" s="3"/>
      <c r="S457" s="2"/>
      <c r="T457" s="3"/>
      <c r="U457" s="2"/>
      <c r="V457" s="3"/>
      <c r="W457" s="2"/>
      <c r="X457" s="3"/>
      <c r="Y457" s="2"/>
      <c r="Z457" s="3"/>
    </row>
    <row r="458">
      <c r="A458" s="1"/>
      <c r="B458" s="1"/>
      <c r="C458" s="2"/>
      <c r="D458" s="3"/>
      <c r="E458" s="2"/>
      <c r="F458" s="3"/>
      <c r="G458" s="2"/>
      <c r="H458" s="3"/>
      <c r="I458" s="2"/>
      <c r="J458" s="3"/>
      <c r="K458" s="2"/>
      <c r="L458" s="3"/>
      <c r="M458" s="2"/>
      <c r="N458" s="3"/>
      <c r="O458" s="2"/>
      <c r="P458" s="3"/>
      <c r="Q458" s="2"/>
      <c r="R458" s="3"/>
      <c r="S458" s="2"/>
      <c r="T458" s="3"/>
      <c r="U458" s="2"/>
      <c r="V458" s="3"/>
      <c r="W458" s="2"/>
      <c r="X458" s="3"/>
      <c r="Y458" s="2"/>
      <c r="Z458" s="3"/>
    </row>
    <row r="459">
      <c r="A459" s="1"/>
      <c r="B459" s="1"/>
      <c r="C459" s="2"/>
      <c r="D459" s="3"/>
      <c r="E459" s="2"/>
      <c r="F459" s="3"/>
      <c r="G459" s="2"/>
      <c r="H459" s="3"/>
      <c r="I459" s="2"/>
      <c r="J459" s="3"/>
      <c r="K459" s="2"/>
      <c r="L459" s="3"/>
      <c r="M459" s="2"/>
      <c r="N459" s="3"/>
      <c r="O459" s="2"/>
      <c r="P459" s="3"/>
      <c r="Q459" s="2"/>
      <c r="R459" s="3"/>
      <c r="S459" s="2"/>
      <c r="T459" s="3"/>
      <c r="U459" s="2"/>
      <c r="V459" s="3"/>
      <c r="W459" s="2"/>
      <c r="X459" s="3"/>
      <c r="Y459" s="2"/>
      <c r="Z459" s="3"/>
    </row>
    <row r="460">
      <c r="A460" s="1"/>
      <c r="B460" s="1"/>
      <c r="C460" s="2"/>
      <c r="D460" s="3"/>
      <c r="E460" s="2"/>
      <c r="F460" s="3"/>
      <c r="G460" s="2"/>
      <c r="H460" s="3"/>
      <c r="I460" s="2"/>
      <c r="J460" s="3"/>
      <c r="K460" s="2"/>
      <c r="L460" s="3"/>
      <c r="M460" s="2"/>
      <c r="N460" s="3"/>
      <c r="O460" s="2"/>
      <c r="P460" s="3"/>
      <c r="Q460" s="2"/>
      <c r="R460" s="3"/>
      <c r="S460" s="2"/>
      <c r="T460" s="3"/>
      <c r="U460" s="2"/>
      <c r="V460" s="3"/>
      <c r="W460" s="2"/>
      <c r="X460" s="3"/>
      <c r="Y460" s="2"/>
      <c r="Z460" s="3"/>
    </row>
    <row r="461">
      <c r="A461" s="1"/>
      <c r="B461" s="1"/>
      <c r="C461" s="2"/>
      <c r="D461" s="3"/>
      <c r="E461" s="2"/>
      <c r="F461" s="3"/>
      <c r="G461" s="2"/>
      <c r="H461" s="3"/>
      <c r="I461" s="2"/>
      <c r="J461" s="3"/>
      <c r="K461" s="2"/>
      <c r="L461" s="3"/>
      <c r="M461" s="2"/>
      <c r="N461" s="3"/>
      <c r="O461" s="2"/>
      <c r="P461" s="3"/>
      <c r="Q461" s="2"/>
      <c r="R461" s="3"/>
      <c r="S461" s="2"/>
      <c r="T461" s="3"/>
      <c r="U461" s="2"/>
      <c r="V461" s="3"/>
      <c r="W461" s="2"/>
      <c r="X461" s="3"/>
      <c r="Y461" s="2"/>
      <c r="Z461" s="3"/>
    </row>
    <row r="462">
      <c r="A462" s="1"/>
      <c r="B462" s="1"/>
      <c r="C462" s="2"/>
      <c r="D462" s="3"/>
      <c r="E462" s="2"/>
      <c r="F462" s="3"/>
      <c r="G462" s="2"/>
      <c r="H462" s="3"/>
      <c r="I462" s="2"/>
      <c r="J462" s="3"/>
      <c r="K462" s="2"/>
      <c r="L462" s="3"/>
      <c r="M462" s="2"/>
      <c r="N462" s="3"/>
      <c r="O462" s="2"/>
      <c r="P462" s="3"/>
      <c r="Q462" s="2"/>
      <c r="R462" s="3"/>
      <c r="S462" s="2"/>
      <c r="T462" s="3"/>
      <c r="U462" s="2"/>
      <c r="V462" s="3"/>
      <c r="W462" s="2"/>
      <c r="X462" s="3"/>
      <c r="Y462" s="2"/>
      <c r="Z462" s="3"/>
    </row>
    <row r="463">
      <c r="A463" s="1"/>
      <c r="B463" s="1"/>
      <c r="C463" s="2"/>
      <c r="D463" s="3"/>
      <c r="E463" s="2"/>
      <c r="F463" s="3"/>
      <c r="G463" s="2"/>
      <c r="H463" s="3"/>
      <c r="I463" s="2"/>
      <c r="J463" s="3"/>
      <c r="K463" s="2"/>
      <c r="L463" s="3"/>
      <c r="M463" s="2"/>
      <c r="N463" s="3"/>
      <c r="O463" s="2"/>
      <c r="P463" s="3"/>
      <c r="Q463" s="2"/>
      <c r="R463" s="3"/>
      <c r="S463" s="2"/>
      <c r="T463" s="3"/>
      <c r="U463" s="2"/>
      <c r="V463" s="3"/>
      <c r="W463" s="2"/>
      <c r="X463" s="3"/>
      <c r="Y463" s="2"/>
      <c r="Z463" s="3"/>
    </row>
    <row r="464">
      <c r="A464" s="1"/>
      <c r="B464" s="1"/>
      <c r="C464" s="2"/>
      <c r="D464" s="3"/>
      <c r="E464" s="2"/>
      <c r="F464" s="3"/>
      <c r="G464" s="2"/>
      <c r="H464" s="3"/>
      <c r="I464" s="2"/>
      <c r="J464" s="3"/>
      <c r="K464" s="2"/>
      <c r="L464" s="3"/>
      <c r="M464" s="2"/>
      <c r="N464" s="3"/>
      <c r="O464" s="2"/>
      <c r="P464" s="3"/>
      <c r="Q464" s="2"/>
      <c r="R464" s="3"/>
      <c r="S464" s="2"/>
      <c r="T464" s="3"/>
      <c r="U464" s="2"/>
      <c r="V464" s="3"/>
      <c r="W464" s="2"/>
      <c r="X464" s="3"/>
      <c r="Y464" s="2"/>
      <c r="Z464" s="3"/>
    </row>
    <row r="465">
      <c r="A465" s="1"/>
      <c r="B465" s="1"/>
      <c r="C465" s="2"/>
      <c r="D465" s="3"/>
      <c r="E465" s="2"/>
      <c r="F465" s="3"/>
      <c r="G465" s="2"/>
      <c r="H465" s="3"/>
      <c r="I465" s="2"/>
      <c r="J465" s="3"/>
      <c r="K465" s="2"/>
      <c r="L465" s="3"/>
      <c r="M465" s="2"/>
      <c r="N465" s="3"/>
      <c r="O465" s="2"/>
      <c r="P465" s="3"/>
      <c r="Q465" s="2"/>
      <c r="R465" s="3"/>
      <c r="S465" s="2"/>
      <c r="T465" s="3"/>
      <c r="U465" s="2"/>
      <c r="V465" s="3"/>
      <c r="W465" s="2"/>
      <c r="X465" s="3"/>
      <c r="Y465" s="2"/>
      <c r="Z465" s="3"/>
    </row>
    <row r="466">
      <c r="A466" s="1"/>
      <c r="B466" s="1"/>
      <c r="C466" s="2"/>
      <c r="D466" s="3"/>
      <c r="E466" s="2"/>
      <c r="F466" s="3"/>
      <c r="G466" s="2"/>
      <c r="H466" s="3"/>
      <c r="I466" s="2"/>
      <c r="J466" s="3"/>
      <c r="K466" s="2"/>
      <c r="L466" s="3"/>
      <c r="M466" s="2"/>
      <c r="N466" s="3"/>
      <c r="O466" s="2"/>
      <c r="P466" s="3"/>
      <c r="Q466" s="2"/>
      <c r="R466" s="3"/>
      <c r="S466" s="2"/>
      <c r="T466" s="3"/>
      <c r="U466" s="2"/>
      <c r="V466" s="3"/>
      <c r="W466" s="2"/>
      <c r="X466" s="3"/>
      <c r="Y466" s="2"/>
      <c r="Z466" s="3"/>
    </row>
    <row r="467">
      <c r="A467" s="1"/>
      <c r="B467" s="1"/>
      <c r="C467" s="2"/>
      <c r="D467" s="3"/>
      <c r="E467" s="2"/>
      <c r="F467" s="3"/>
      <c r="G467" s="2"/>
      <c r="H467" s="3"/>
      <c r="I467" s="2"/>
      <c r="J467" s="3"/>
      <c r="K467" s="2"/>
      <c r="L467" s="3"/>
      <c r="M467" s="2"/>
      <c r="N467" s="3"/>
      <c r="O467" s="2"/>
      <c r="P467" s="3"/>
      <c r="Q467" s="2"/>
      <c r="R467" s="3"/>
      <c r="S467" s="2"/>
      <c r="T467" s="3"/>
      <c r="U467" s="2"/>
      <c r="V467" s="3"/>
      <c r="W467" s="2"/>
      <c r="X467" s="3"/>
      <c r="Y467" s="2"/>
      <c r="Z467" s="3"/>
    </row>
    <row r="468">
      <c r="A468" s="1"/>
      <c r="B468" s="1"/>
      <c r="C468" s="2"/>
      <c r="D468" s="3"/>
      <c r="E468" s="2"/>
      <c r="F468" s="3"/>
      <c r="G468" s="2"/>
      <c r="H468" s="3"/>
      <c r="I468" s="2"/>
      <c r="J468" s="3"/>
      <c r="K468" s="2"/>
      <c r="L468" s="3"/>
      <c r="M468" s="2"/>
      <c r="N468" s="3"/>
      <c r="O468" s="2"/>
      <c r="P468" s="3"/>
      <c r="Q468" s="2"/>
      <c r="R468" s="3"/>
      <c r="S468" s="2"/>
      <c r="T468" s="3"/>
      <c r="U468" s="2"/>
      <c r="V468" s="3"/>
      <c r="W468" s="2"/>
      <c r="X468" s="3"/>
      <c r="Y468" s="2"/>
      <c r="Z468" s="3"/>
    </row>
    <row r="469">
      <c r="A469" s="1"/>
      <c r="B469" s="1"/>
      <c r="C469" s="2"/>
      <c r="D469" s="3"/>
      <c r="E469" s="2"/>
      <c r="F469" s="3"/>
      <c r="G469" s="2"/>
      <c r="H469" s="3"/>
      <c r="I469" s="2"/>
      <c r="J469" s="3"/>
      <c r="K469" s="2"/>
      <c r="L469" s="3"/>
      <c r="M469" s="2"/>
      <c r="N469" s="3"/>
      <c r="O469" s="2"/>
      <c r="P469" s="3"/>
      <c r="Q469" s="2"/>
      <c r="R469" s="3"/>
      <c r="S469" s="2"/>
      <c r="T469" s="3"/>
      <c r="U469" s="2"/>
      <c r="V469" s="3"/>
      <c r="W469" s="2"/>
      <c r="X469" s="3"/>
      <c r="Y469" s="2"/>
      <c r="Z469" s="3"/>
    </row>
    <row r="470">
      <c r="A470" s="1"/>
      <c r="B470" s="1"/>
      <c r="C470" s="2"/>
      <c r="D470" s="3"/>
      <c r="E470" s="2"/>
      <c r="F470" s="3"/>
      <c r="G470" s="2"/>
      <c r="H470" s="3"/>
      <c r="I470" s="2"/>
      <c r="J470" s="3"/>
      <c r="K470" s="2"/>
      <c r="L470" s="3"/>
      <c r="M470" s="2"/>
      <c r="N470" s="3"/>
      <c r="O470" s="2"/>
      <c r="P470" s="3"/>
      <c r="Q470" s="2"/>
      <c r="R470" s="3"/>
      <c r="S470" s="2"/>
      <c r="T470" s="3"/>
      <c r="U470" s="2"/>
      <c r="V470" s="3"/>
      <c r="W470" s="2"/>
      <c r="X470" s="3"/>
      <c r="Y470" s="2"/>
      <c r="Z470" s="3"/>
    </row>
    <row r="471">
      <c r="A471" s="1"/>
      <c r="B471" s="1"/>
      <c r="C471" s="2"/>
      <c r="D471" s="3"/>
      <c r="E471" s="2"/>
      <c r="F471" s="3"/>
      <c r="G471" s="2"/>
      <c r="H471" s="3"/>
      <c r="I471" s="2"/>
      <c r="J471" s="3"/>
      <c r="K471" s="2"/>
      <c r="L471" s="3"/>
      <c r="M471" s="2"/>
      <c r="N471" s="3"/>
      <c r="O471" s="2"/>
      <c r="P471" s="3"/>
      <c r="Q471" s="2"/>
      <c r="R471" s="3"/>
      <c r="S471" s="2"/>
      <c r="T471" s="3"/>
      <c r="U471" s="2"/>
      <c r="V471" s="3"/>
      <c r="W471" s="2"/>
      <c r="X471" s="3"/>
      <c r="Y471" s="2"/>
      <c r="Z471" s="3"/>
    </row>
    <row r="472">
      <c r="A472" s="1"/>
      <c r="B472" s="1"/>
      <c r="C472" s="2"/>
      <c r="D472" s="3"/>
      <c r="E472" s="2"/>
      <c r="F472" s="3"/>
      <c r="G472" s="2"/>
      <c r="H472" s="3"/>
      <c r="I472" s="2"/>
      <c r="J472" s="3"/>
      <c r="K472" s="2"/>
      <c r="L472" s="3"/>
      <c r="M472" s="2"/>
      <c r="N472" s="3"/>
      <c r="O472" s="2"/>
      <c r="P472" s="3"/>
      <c r="Q472" s="2"/>
      <c r="R472" s="3"/>
      <c r="S472" s="2"/>
      <c r="T472" s="3"/>
      <c r="U472" s="2"/>
      <c r="V472" s="3"/>
      <c r="W472" s="2"/>
      <c r="X472" s="3"/>
      <c r="Y472" s="2"/>
      <c r="Z472" s="3"/>
    </row>
    <row r="473">
      <c r="A473" s="1"/>
      <c r="B473" s="1"/>
      <c r="C473" s="2"/>
      <c r="D473" s="3"/>
      <c r="E473" s="2"/>
      <c r="F473" s="3"/>
      <c r="G473" s="2"/>
      <c r="H473" s="3"/>
      <c r="I473" s="2"/>
      <c r="J473" s="3"/>
      <c r="K473" s="2"/>
      <c r="L473" s="3"/>
      <c r="M473" s="2"/>
      <c r="N473" s="3"/>
      <c r="O473" s="2"/>
      <c r="P473" s="3"/>
      <c r="Q473" s="2"/>
      <c r="R473" s="3"/>
      <c r="S473" s="2"/>
      <c r="T473" s="3"/>
      <c r="U473" s="2"/>
      <c r="V473" s="3"/>
      <c r="W473" s="2"/>
      <c r="X473" s="3"/>
      <c r="Y473" s="2"/>
      <c r="Z473" s="3"/>
    </row>
    <row r="474">
      <c r="A474" s="1"/>
      <c r="B474" s="1"/>
      <c r="C474" s="2"/>
      <c r="D474" s="3"/>
      <c r="E474" s="2"/>
      <c r="F474" s="3"/>
      <c r="G474" s="2"/>
      <c r="H474" s="3"/>
      <c r="I474" s="2"/>
      <c r="J474" s="3"/>
      <c r="K474" s="2"/>
      <c r="L474" s="3"/>
      <c r="M474" s="2"/>
      <c r="N474" s="3"/>
      <c r="O474" s="2"/>
      <c r="P474" s="3"/>
      <c r="Q474" s="2"/>
      <c r="R474" s="3"/>
      <c r="S474" s="2"/>
      <c r="T474" s="3"/>
      <c r="U474" s="2"/>
      <c r="V474" s="3"/>
      <c r="W474" s="2"/>
      <c r="X474" s="3"/>
      <c r="Y474" s="2"/>
      <c r="Z474" s="3"/>
    </row>
    <row r="475">
      <c r="A475" s="1"/>
      <c r="B475" s="1"/>
      <c r="C475" s="2"/>
      <c r="D475" s="3"/>
      <c r="E475" s="2"/>
      <c r="F475" s="3"/>
      <c r="G475" s="2"/>
      <c r="H475" s="3"/>
      <c r="I475" s="2"/>
      <c r="J475" s="3"/>
      <c r="K475" s="2"/>
      <c r="L475" s="3"/>
      <c r="M475" s="2"/>
      <c r="N475" s="3"/>
      <c r="O475" s="2"/>
      <c r="P475" s="3"/>
      <c r="Q475" s="2"/>
      <c r="R475" s="3"/>
      <c r="S475" s="2"/>
      <c r="T475" s="3"/>
      <c r="U475" s="2"/>
      <c r="V475" s="3"/>
      <c r="W475" s="2"/>
      <c r="X475" s="3"/>
      <c r="Y475" s="2"/>
      <c r="Z475" s="3"/>
    </row>
    <row r="476">
      <c r="A476" s="1"/>
      <c r="B476" s="1"/>
      <c r="C476" s="2"/>
      <c r="D476" s="3"/>
      <c r="E476" s="2"/>
      <c r="F476" s="3"/>
      <c r="G476" s="2"/>
      <c r="H476" s="3"/>
      <c r="I476" s="2"/>
      <c r="J476" s="3"/>
      <c r="K476" s="2"/>
      <c r="L476" s="3"/>
      <c r="M476" s="2"/>
      <c r="N476" s="3"/>
      <c r="O476" s="2"/>
      <c r="P476" s="3"/>
      <c r="Q476" s="2"/>
      <c r="R476" s="3"/>
      <c r="S476" s="2"/>
      <c r="T476" s="3"/>
      <c r="U476" s="2"/>
      <c r="V476" s="3"/>
      <c r="W476" s="2"/>
      <c r="X476" s="3"/>
      <c r="Y476" s="2"/>
      <c r="Z476" s="3"/>
    </row>
    <row r="477">
      <c r="A477" s="1"/>
      <c r="B477" s="1"/>
      <c r="C477" s="2"/>
      <c r="D477" s="3"/>
      <c r="E477" s="2"/>
      <c r="F477" s="3"/>
      <c r="G477" s="2"/>
      <c r="H477" s="3"/>
      <c r="I477" s="2"/>
      <c r="J477" s="3"/>
      <c r="K477" s="2"/>
      <c r="L477" s="3"/>
      <c r="M477" s="2"/>
      <c r="N477" s="3"/>
      <c r="O477" s="2"/>
      <c r="P477" s="3"/>
      <c r="Q477" s="2"/>
      <c r="R477" s="3"/>
      <c r="S477" s="2"/>
      <c r="T477" s="3"/>
      <c r="U477" s="2"/>
      <c r="V477" s="3"/>
      <c r="W477" s="2"/>
      <c r="X477" s="3"/>
      <c r="Y477" s="2"/>
      <c r="Z477" s="3"/>
    </row>
    <row r="478">
      <c r="A478" s="1"/>
      <c r="B478" s="1"/>
      <c r="C478" s="2"/>
      <c r="D478" s="3"/>
      <c r="E478" s="2"/>
      <c r="F478" s="3"/>
      <c r="G478" s="2"/>
      <c r="H478" s="3"/>
      <c r="I478" s="2"/>
      <c r="J478" s="3"/>
      <c r="K478" s="2"/>
      <c r="L478" s="3"/>
      <c r="M478" s="2"/>
      <c r="N478" s="3"/>
      <c r="O478" s="2"/>
      <c r="P478" s="3"/>
      <c r="Q478" s="2"/>
      <c r="R478" s="3"/>
      <c r="S478" s="2"/>
      <c r="T478" s="3"/>
      <c r="U478" s="2"/>
      <c r="V478" s="3"/>
      <c r="W478" s="2"/>
      <c r="X478" s="3"/>
      <c r="Y478" s="2"/>
      <c r="Z478" s="3"/>
    </row>
    <row r="479">
      <c r="A479" s="1"/>
      <c r="B479" s="1"/>
      <c r="C479" s="2"/>
      <c r="D479" s="3"/>
      <c r="E479" s="2"/>
      <c r="F479" s="3"/>
      <c r="G479" s="2"/>
      <c r="H479" s="3"/>
      <c r="I479" s="2"/>
      <c r="J479" s="3"/>
      <c r="K479" s="2"/>
      <c r="L479" s="3"/>
      <c r="M479" s="2"/>
      <c r="N479" s="3"/>
      <c r="O479" s="2"/>
      <c r="P479" s="3"/>
      <c r="Q479" s="2"/>
      <c r="R479" s="3"/>
      <c r="S479" s="2"/>
      <c r="T479" s="3"/>
      <c r="U479" s="2"/>
      <c r="V479" s="3"/>
      <c r="W479" s="2"/>
      <c r="X479" s="3"/>
      <c r="Y479" s="2"/>
      <c r="Z479" s="3"/>
    </row>
    <row r="480">
      <c r="A480" s="1"/>
      <c r="B480" s="1"/>
      <c r="C480" s="2"/>
      <c r="D480" s="3"/>
      <c r="E480" s="2"/>
      <c r="F480" s="3"/>
      <c r="G480" s="2"/>
      <c r="H480" s="3"/>
      <c r="I480" s="2"/>
      <c r="J480" s="3"/>
      <c r="K480" s="2"/>
      <c r="L480" s="3"/>
      <c r="M480" s="2"/>
      <c r="N480" s="3"/>
      <c r="O480" s="2"/>
      <c r="P480" s="3"/>
      <c r="Q480" s="2"/>
      <c r="R480" s="3"/>
      <c r="S480" s="2"/>
      <c r="T480" s="3"/>
      <c r="U480" s="2"/>
      <c r="V480" s="3"/>
      <c r="W480" s="2"/>
      <c r="X480" s="3"/>
      <c r="Y480" s="2"/>
      <c r="Z480" s="3"/>
    </row>
    <row r="481">
      <c r="A481" s="1"/>
      <c r="B481" s="1"/>
      <c r="C481" s="2"/>
      <c r="D481" s="3"/>
      <c r="E481" s="2"/>
      <c r="F481" s="3"/>
      <c r="G481" s="2"/>
      <c r="H481" s="3"/>
      <c r="I481" s="2"/>
      <c r="J481" s="3"/>
      <c r="K481" s="2"/>
      <c r="L481" s="3"/>
      <c r="M481" s="2"/>
      <c r="N481" s="3"/>
      <c r="O481" s="2"/>
      <c r="P481" s="3"/>
      <c r="Q481" s="2"/>
      <c r="R481" s="3"/>
      <c r="S481" s="2"/>
      <c r="T481" s="3"/>
      <c r="U481" s="2"/>
      <c r="V481" s="3"/>
      <c r="W481" s="2"/>
      <c r="X481" s="3"/>
      <c r="Y481" s="2"/>
      <c r="Z481" s="3"/>
    </row>
    <row r="482">
      <c r="A482" s="1"/>
      <c r="B482" s="1"/>
      <c r="C482" s="2"/>
      <c r="D482" s="3"/>
      <c r="E482" s="2"/>
      <c r="F482" s="3"/>
      <c r="G482" s="2"/>
      <c r="H482" s="3"/>
      <c r="I482" s="2"/>
      <c r="J482" s="3"/>
      <c r="K482" s="2"/>
      <c r="L482" s="3"/>
      <c r="M482" s="2"/>
      <c r="N482" s="3"/>
      <c r="O482" s="2"/>
      <c r="P482" s="3"/>
      <c r="Q482" s="2"/>
      <c r="R482" s="3"/>
      <c r="S482" s="2"/>
      <c r="T482" s="3"/>
      <c r="U482" s="2"/>
      <c r="V482" s="3"/>
      <c r="W482" s="2"/>
      <c r="X482" s="3"/>
      <c r="Y482" s="2"/>
      <c r="Z482" s="3"/>
    </row>
    <row r="483">
      <c r="A483" s="1"/>
      <c r="B483" s="1"/>
      <c r="C483" s="2"/>
      <c r="D483" s="3"/>
      <c r="E483" s="2"/>
      <c r="F483" s="3"/>
      <c r="G483" s="2"/>
      <c r="H483" s="3"/>
      <c r="I483" s="2"/>
      <c r="J483" s="3"/>
      <c r="K483" s="2"/>
      <c r="L483" s="3"/>
      <c r="M483" s="2"/>
      <c r="N483" s="3"/>
      <c r="O483" s="2"/>
      <c r="P483" s="3"/>
      <c r="Q483" s="2"/>
      <c r="R483" s="3"/>
      <c r="S483" s="2"/>
      <c r="T483" s="3"/>
      <c r="U483" s="2"/>
      <c r="V483" s="3"/>
      <c r="W483" s="2"/>
      <c r="X483" s="3"/>
      <c r="Y483" s="2"/>
      <c r="Z483" s="3"/>
    </row>
    <row r="484">
      <c r="A484" s="1"/>
      <c r="B484" s="1"/>
      <c r="C484" s="2"/>
      <c r="D484" s="3"/>
      <c r="E484" s="2"/>
      <c r="F484" s="3"/>
      <c r="G484" s="2"/>
      <c r="H484" s="3"/>
      <c r="I484" s="2"/>
      <c r="J484" s="3"/>
      <c r="K484" s="2"/>
      <c r="L484" s="3"/>
      <c r="M484" s="2"/>
      <c r="N484" s="3"/>
      <c r="O484" s="2"/>
      <c r="P484" s="3"/>
      <c r="Q484" s="2"/>
      <c r="R484" s="3"/>
      <c r="S484" s="2"/>
      <c r="T484" s="3"/>
      <c r="U484" s="2"/>
      <c r="V484" s="3"/>
      <c r="W484" s="2"/>
      <c r="X484" s="3"/>
      <c r="Y484" s="2"/>
      <c r="Z484" s="3"/>
    </row>
    <row r="485">
      <c r="A485" s="1"/>
      <c r="B485" s="1"/>
      <c r="C485" s="2"/>
      <c r="D485" s="3"/>
      <c r="E485" s="2"/>
      <c r="F485" s="3"/>
      <c r="G485" s="2"/>
      <c r="H485" s="3"/>
      <c r="I485" s="2"/>
      <c r="J485" s="3"/>
      <c r="K485" s="2"/>
      <c r="L485" s="3"/>
      <c r="M485" s="2"/>
      <c r="N485" s="3"/>
      <c r="O485" s="2"/>
      <c r="P485" s="3"/>
      <c r="Q485" s="2"/>
      <c r="R485" s="3"/>
      <c r="S485" s="2"/>
      <c r="T485" s="3"/>
      <c r="U485" s="2"/>
      <c r="V485" s="3"/>
      <c r="W485" s="2"/>
      <c r="X485" s="3"/>
      <c r="Y485" s="2"/>
      <c r="Z485" s="3"/>
    </row>
    <row r="486">
      <c r="A486" s="1"/>
      <c r="B486" s="1"/>
      <c r="C486" s="2"/>
      <c r="D486" s="3"/>
      <c r="E486" s="2"/>
      <c r="F486" s="3"/>
      <c r="G486" s="2"/>
      <c r="H486" s="3"/>
      <c r="I486" s="2"/>
      <c r="J486" s="3"/>
      <c r="K486" s="2"/>
      <c r="L486" s="3"/>
      <c r="M486" s="2"/>
      <c r="N486" s="3"/>
      <c r="O486" s="2"/>
      <c r="P486" s="3"/>
      <c r="Q486" s="2"/>
      <c r="R486" s="3"/>
      <c r="S486" s="2"/>
      <c r="T486" s="3"/>
      <c r="U486" s="2"/>
      <c r="V486" s="3"/>
      <c r="W486" s="2"/>
      <c r="X486" s="3"/>
      <c r="Y486" s="2"/>
      <c r="Z486" s="3"/>
    </row>
    <row r="487">
      <c r="A487" s="1"/>
      <c r="B487" s="1"/>
      <c r="C487" s="2"/>
      <c r="D487" s="3"/>
      <c r="E487" s="2"/>
      <c r="F487" s="3"/>
      <c r="G487" s="2"/>
      <c r="H487" s="3"/>
      <c r="I487" s="2"/>
      <c r="J487" s="3"/>
      <c r="K487" s="2"/>
      <c r="L487" s="3"/>
      <c r="M487" s="2"/>
      <c r="N487" s="3"/>
      <c r="O487" s="2"/>
      <c r="P487" s="3"/>
      <c r="Q487" s="2"/>
      <c r="R487" s="3"/>
      <c r="S487" s="2"/>
      <c r="T487" s="3"/>
      <c r="U487" s="2"/>
      <c r="V487" s="3"/>
      <c r="W487" s="2"/>
      <c r="X487" s="3"/>
      <c r="Y487" s="2"/>
      <c r="Z487" s="3"/>
    </row>
    <row r="488">
      <c r="A488" s="1"/>
      <c r="B488" s="1"/>
      <c r="C488" s="2"/>
      <c r="D488" s="3"/>
      <c r="E488" s="2"/>
      <c r="F488" s="3"/>
      <c r="G488" s="2"/>
      <c r="H488" s="3"/>
      <c r="I488" s="2"/>
      <c r="J488" s="3"/>
      <c r="K488" s="2"/>
      <c r="L488" s="3"/>
      <c r="M488" s="2"/>
      <c r="N488" s="3"/>
      <c r="O488" s="2"/>
      <c r="P488" s="3"/>
      <c r="Q488" s="2"/>
      <c r="R488" s="3"/>
      <c r="S488" s="2"/>
      <c r="T488" s="3"/>
      <c r="U488" s="2"/>
      <c r="V488" s="3"/>
      <c r="W488" s="2"/>
      <c r="X488" s="3"/>
      <c r="Y488" s="2"/>
      <c r="Z488" s="3"/>
    </row>
    <row r="489">
      <c r="A489" s="1"/>
      <c r="B489" s="1"/>
      <c r="C489" s="2"/>
      <c r="D489" s="3"/>
      <c r="E489" s="2"/>
      <c r="F489" s="3"/>
      <c r="G489" s="2"/>
      <c r="H489" s="3"/>
      <c r="I489" s="2"/>
      <c r="J489" s="3"/>
      <c r="K489" s="2"/>
      <c r="L489" s="3"/>
      <c r="M489" s="2"/>
      <c r="N489" s="3"/>
      <c r="O489" s="2"/>
      <c r="P489" s="3"/>
      <c r="Q489" s="2"/>
      <c r="R489" s="3"/>
      <c r="S489" s="2"/>
      <c r="T489" s="3"/>
      <c r="U489" s="2"/>
      <c r="V489" s="3"/>
      <c r="W489" s="2"/>
      <c r="X489" s="3"/>
      <c r="Y489" s="2"/>
      <c r="Z489" s="3"/>
    </row>
    <row r="490">
      <c r="A490" s="1"/>
      <c r="B490" s="1"/>
      <c r="C490" s="2"/>
      <c r="D490" s="3"/>
      <c r="E490" s="2"/>
      <c r="F490" s="3"/>
      <c r="G490" s="2"/>
      <c r="H490" s="3"/>
      <c r="I490" s="2"/>
      <c r="J490" s="3"/>
      <c r="K490" s="2"/>
      <c r="L490" s="3"/>
      <c r="M490" s="2"/>
      <c r="N490" s="3"/>
      <c r="O490" s="2"/>
      <c r="P490" s="3"/>
      <c r="Q490" s="2"/>
      <c r="R490" s="3"/>
      <c r="S490" s="2"/>
      <c r="T490" s="3"/>
      <c r="U490" s="2"/>
      <c r="V490" s="3"/>
      <c r="W490" s="2"/>
      <c r="X490" s="3"/>
      <c r="Y490" s="2"/>
      <c r="Z490" s="3"/>
    </row>
    <row r="491">
      <c r="A491" s="1"/>
      <c r="B491" s="1"/>
      <c r="C491" s="2"/>
      <c r="D491" s="3"/>
      <c r="E491" s="2"/>
      <c r="F491" s="3"/>
      <c r="G491" s="2"/>
      <c r="H491" s="3"/>
      <c r="I491" s="2"/>
      <c r="J491" s="3"/>
      <c r="K491" s="2"/>
      <c r="L491" s="3"/>
      <c r="M491" s="2"/>
      <c r="N491" s="3"/>
      <c r="O491" s="2"/>
      <c r="P491" s="3"/>
      <c r="Q491" s="2"/>
      <c r="R491" s="3"/>
      <c r="S491" s="2"/>
      <c r="T491" s="3"/>
      <c r="U491" s="2"/>
      <c r="V491" s="3"/>
      <c r="W491" s="2"/>
      <c r="X491" s="3"/>
      <c r="Y491" s="2"/>
      <c r="Z491" s="3"/>
    </row>
    <row r="492">
      <c r="A492" s="1"/>
      <c r="B492" s="1"/>
      <c r="C492" s="2"/>
      <c r="D492" s="3"/>
      <c r="E492" s="2"/>
      <c r="F492" s="3"/>
      <c r="G492" s="2"/>
      <c r="H492" s="3"/>
      <c r="I492" s="2"/>
      <c r="J492" s="3"/>
      <c r="K492" s="2"/>
      <c r="L492" s="3"/>
      <c r="M492" s="2"/>
      <c r="N492" s="3"/>
      <c r="O492" s="2"/>
      <c r="P492" s="3"/>
      <c r="Q492" s="2"/>
      <c r="R492" s="3"/>
      <c r="S492" s="2"/>
      <c r="T492" s="3"/>
      <c r="U492" s="2"/>
      <c r="V492" s="3"/>
      <c r="W492" s="2"/>
      <c r="X492" s="3"/>
      <c r="Y492" s="2"/>
      <c r="Z492" s="3"/>
    </row>
    <row r="493">
      <c r="A493" s="1"/>
      <c r="B493" s="1"/>
      <c r="C493" s="2"/>
      <c r="D493" s="3"/>
      <c r="E493" s="2"/>
      <c r="F493" s="3"/>
      <c r="G493" s="2"/>
      <c r="H493" s="3"/>
      <c r="I493" s="2"/>
      <c r="J493" s="3"/>
      <c r="K493" s="2"/>
      <c r="L493" s="3"/>
      <c r="M493" s="2"/>
      <c r="N493" s="3"/>
      <c r="O493" s="2"/>
      <c r="P493" s="3"/>
      <c r="Q493" s="2"/>
      <c r="R493" s="3"/>
      <c r="S493" s="2"/>
      <c r="T493" s="3"/>
      <c r="U493" s="2"/>
      <c r="V493" s="3"/>
      <c r="W493" s="2"/>
      <c r="X493" s="3"/>
      <c r="Y493" s="2"/>
      <c r="Z493" s="3"/>
    </row>
    <row r="494">
      <c r="A494" s="1"/>
      <c r="B494" s="1"/>
      <c r="C494" s="2"/>
      <c r="D494" s="3"/>
      <c r="E494" s="2"/>
      <c r="F494" s="3"/>
      <c r="G494" s="2"/>
      <c r="H494" s="3"/>
      <c r="I494" s="2"/>
      <c r="J494" s="3"/>
      <c r="K494" s="2"/>
      <c r="L494" s="3"/>
      <c r="M494" s="2"/>
      <c r="N494" s="3"/>
      <c r="O494" s="2"/>
      <c r="P494" s="3"/>
      <c r="Q494" s="2"/>
      <c r="R494" s="3"/>
      <c r="S494" s="2"/>
      <c r="T494" s="3"/>
      <c r="U494" s="2"/>
      <c r="V494" s="3"/>
      <c r="W494" s="2"/>
      <c r="X494" s="3"/>
      <c r="Y494" s="2"/>
      <c r="Z494" s="3"/>
    </row>
    <row r="495">
      <c r="A495" s="1"/>
      <c r="B495" s="1"/>
      <c r="C495" s="2"/>
      <c r="D495" s="3"/>
      <c r="E495" s="2"/>
      <c r="F495" s="3"/>
      <c r="G495" s="2"/>
      <c r="H495" s="3"/>
      <c r="I495" s="2"/>
      <c r="J495" s="3"/>
      <c r="K495" s="2"/>
      <c r="L495" s="3"/>
      <c r="M495" s="2"/>
      <c r="N495" s="3"/>
      <c r="O495" s="2"/>
      <c r="P495" s="3"/>
      <c r="Q495" s="2"/>
      <c r="R495" s="3"/>
      <c r="S495" s="2"/>
      <c r="T495" s="3"/>
      <c r="U495" s="2"/>
      <c r="V495" s="3"/>
      <c r="W495" s="2"/>
      <c r="X495" s="3"/>
      <c r="Y495" s="2"/>
      <c r="Z495" s="3"/>
    </row>
    <row r="496">
      <c r="A496" s="1"/>
      <c r="B496" s="1"/>
      <c r="C496" s="2"/>
      <c r="D496" s="3"/>
      <c r="E496" s="2"/>
      <c r="F496" s="3"/>
      <c r="G496" s="2"/>
      <c r="H496" s="3"/>
      <c r="I496" s="2"/>
      <c r="J496" s="3"/>
      <c r="K496" s="2"/>
      <c r="L496" s="3"/>
      <c r="M496" s="2"/>
      <c r="N496" s="3"/>
      <c r="O496" s="2"/>
      <c r="P496" s="3"/>
      <c r="Q496" s="2"/>
      <c r="R496" s="3"/>
      <c r="S496" s="2"/>
      <c r="T496" s="3"/>
      <c r="U496" s="2"/>
      <c r="V496" s="3"/>
      <c r="W496" s="2"/>
      <c r="X496" s="3"/>
      <c r="Y496" s="2"/>
      <c r="Z496" s="3"/>
    </row>
    <row r="497">
      <c r="A497" s="1"/>
      <c r="B497" s="1"/>
      <c r="C497" s="2"/>
      <c r="D497" s="3"/>
      <c r="E497" s="2"/>
      <c r="F497" s="3"/>
      <c r="G497" s="2"/>
      <c r="H497" s="3"/>
      <c r="I497" s="2"/>
      <c r="J497" s="3"/>
      <c r="K497" s="2"/>
      <c r="L497" s="3"/>
      <c r="M497" s="2"/>
      <c r="N497" s="3"/>
      <c r="O497" s="2"/>
      <c r="P497" s="3"/>
      <c r="Q497" s="2"/>
      <c r="R497" s="3"/>
      <c r="S497" s="2"/>
      <c r="T497" s="3"/>
      <c r="U497" s="2"/>
      <c r="V497" s="3"/>
      <c r="W497" s="2"/>
      <c r="X497" s="3"/>
      <c r="Y497" s="2"/>
      <c r="Z497" s="3"/>
    </row>
    <row r="498">
      <c r="A498" s="1"/>
      <c r="B498" s="1"/>
      <c r="C498" s="2"/>
      <c r="D498" s="3"/>
      <c r="E498" s="2"/>
      <c r="F498" s="3"/>
      <c r="G498" s="2"/>
      <c r="H498" s="3"/>
      <c r="I498" s="2"/>
      <c r="J498" s="3"/>
      <c r="K498" s="2"/>
      <c r="L498" s="3"/>
      <c r="M498" s="2"/>
      <c r="N498" s="3"/>
      <c r="O498" s="2"/>
      <c r="P498" s="3"/>
      <c r="Q498" s="2"/>
      <c r="R498" s="3"/>
      <c r="S498" s="2"/>
      <c r="T498" s="3"/>
      <c r="U498" s="2"/>
      <c r="V498" s="3"/>
      <c r="W498" s="2"/>
      <c r="X498" s="3"/>
      <c r="Y498" s="2"/>
      <c r="Z498" s="3"/>
    </row>
    <row r="499">
      <c r="A499" s="1"/>
      <c r="B499" s="1"/>
      <c r="C499" s="2"/>
      <c r="D499" s="3"/>
      <c r="E499" s="2"/>
      <c r="F499" s="3"/>
      <c r="G499" s="2"/>
      <c r="H499" s="3"/>
      <c r="I499" s="2"/>
      <c r="J499" s="3"/>
      <c r="K499" s="2"/>
      <c r="L499" s="3"/>
      <c r="M499" s="2"/>
      <c r="N499" s="3"/>
      <c r="O499" s="2"/>
      <c r="P499" s="3"/>
      <c r="Q499" s="2"/>
      <c r="R499" s="3"/>
      <c r="S499" s="2"/>
      <c r="T499" s="3"/>
      <c r="U499" s="2"/>
      <c r="V499" s="3"/>
      <c r="W499" s="2"/>
      <c r="X499" s="3"/>
      <c r="Y499" s="2"/>
      <c r="Z499" s="3"/>
    </row>
    <row r="500">
      <c r="A500" s="1"/>
      <c r="B500" s="1"/>
      <c r="C500" s="2"/>
      <c r="D500" s="3"/>
      <c r="E500" s="2"/>
      <c r="F500" s="3"/>
      <c r="G500" s="2"/>
      <c r="H500" s="3"/>
      <c r="I500" s="2"/>
      <c r="J500" s="3"/>
      <c r="K500" s="2"/>
      <c r="L500" s="3"/>
      <c r="M500" s="2"/>
      <c r="N500" s="3"/>
      <c r="O500" s="2"/>
      <c r="P500" s="3"/>
      <c r="Q500" s="2"/>
      <c r="R500" s="3"/>
      <c r="S500" s="2"/>
      <c r="T500" s="3"/>
      <c r="U500" s="2"/>
      <c r="V500" s="3"/>
      <c r="W500" s="2"/>
      <c r="X500" s="3"/>
      <c r="Y500" s="2"/>
      <c r="Z500" s="3"/>
    </row>
    <row r="501">
      <c r="A501" s="1"/>
      <c r="B501" s="1"/>
      <c r="C501" s="2"/>
      <c r="D501" s="3"/>
      <c r="E501" s="2"/>
      <c r="F501" s="3"/>
      <c r="G501" s="2"/>
      <c r="H501" s="3"/>
      <c r="I501" s="2"/>
      <c r="J501" s="3"/>
      <c r="K501" s="2"/>
      <c r="L501" s="3"/>
      <c r="M501" s="2"/>
      <c r="N501" s="3"/>
      <c r="O501" s="2"/>
      <c r="P501" s="3"/>
      <c r="Q501" s="2"/>
      <c r="R501" s="3"/>
      <c r="S501" s="2"/>
      <c r="T501" s="3"/>
      <c r="U501" s="2"/>
      <c r="V501" s="3"/>
      <c r="W501" s="2"/>
      <c r="X501" s="3"/>
      <c r="Y501" s="2"/>
      <c r="Z501" s="3"/>
    </row>
    <row r="502">
      <c r="A502" s="1"/>
      <c r="B502" s="1"/>
      <c r="C502" s="2"/>
      <c r="D502" s="3"/>
      <c r="E502" s="2"/>
      <c r="F502" s="3"/>
      <c r="G502" s="2"/>
      <c r="H502" s="3"/>
      <c r="I502" s="2"/>
      <c r="J502" s="3"/>
      <c r="K502" s="2"/>
      <c r="L502" s="3"/>
      <c r="M502" s="2"/>
      <c r="N502" s="3"/>
      <c r="O502" s="2"/>
      <c r="P502" s="3"/>
      <c r="Q502" s="2"/>
      <c r="R502" s="3"/>
      <c r="S502" s="2"/>
      <c r="T502" s="3"/>
      <c r="U502" s="2"/>
      <c r="V502" s="3"/>
      <c r="W502" s="2"/>
      <c r="X502" s="3"/>
      <c r="Y502" s="2"/>
      <c r="Z502" s="3"/>
    </row>
    <row r="503">
      <c r="A503" s="1"/>
      <c r="B503" s="1"/>
      <c r="C503" s="2"/>
      <c r="D503" s="3"/>
      <c r="E503" s="2"/>
      <c r="F503" s="3"/>
      <c r="G503" s="2"/>
      <c r="H503" s="3"/>
      <c r="I503" s="2"/>
      <c r="J503" s="3"/>
      <c r="K503" s="2"/>
      <c r="L503" s="3"/>
      <c r="M503" s="2"/>
      <c r="N503" s="3"/>
      <c r="O503" s="2"/>
      <c r="P503" s="3"/>
      <c r="Q503" s="2"/>
      <c r="R503" s="3"/>
      <c r="S503" s="2"/>
      <c r="T503" s="3"/>
      <c r="U503" s="2"/>
      <c r="V503" s="3"/>
      <c r="W503" s="2"/>
      <c r="X503" s="3"/>
      <c r="Y503" s="2"/>
      <c r="Z503" s="3"/>
    </row>
    <row r="504">
      <c r="A504" s="1"/>
      <c r="B504" s="1"/>
      <c r="C504" s="2"/>
      <c r="D504" s="3"/>
      <c r="E504" s="2"/>
      <c r="F504" s="3"/>
      <c r="G504" s="2"/>
      <c r="H504" s="3"/>
      <c r="I504" s="2"/>
      <c r="J504" s="3"/>
      <c r="K504" s="2"/>
      <c r="L504" s="3"/>
      <c r="M504" s="2"/>
      <c r="N504" s="3"/>
      <c r="O504" s="2"/>
      <c r="P504" s="3"/>
      <c r="Q504" s="2"/>
      <c r="R504" s="3"/>
      <c r="S504" s="2"/>
      <c r="T504" s="3"/>
      <c r="U504" s="2"/>
      <c r="V504" s="3"/>
      <c r="W504" s="2"/>
      <c r="X504" s="3"/>
      <c r="Y504" s="2"/>
      <c r="Z504" s="3"/>
    </row>
    <row r="505">
      <c r="A505" s="1"/>
      <c r="B505" s="1"/>
      <c r="C505" s="2"/>
      <c r="D505" s="3"/>
      <c r="E505" s="2"/>
      <c r="F505" s="3"/>
      <c r="G505" s="2"/>
      <c r="H505" s="3"/>
      <c r="I505" s="2"/>
      <c r="J505" s="3"/>
      <c r="K505" s="2"/>
      <c r="L505" s="3"/>
      <c r="M505" s="2"/>
      <c r="N505" s="3"/>
      <c r="O505" s="2"/>
      <c r="P505" s="3"/>
      <c r="Q505" s="2"/>
      <c r="R505" s="3"/>
      <c r="S505" s="2"/>
      <c r="T505" s="3"/>
      <c r="U505" s="2"/>
      <c r="V505" s="3"/>
      <c r="W505" s="2"/>
      <c r="X505" s="3"/>
      <c r="Y505" s="2"/>
      <c r="Z505" s="3"/>
    </row>
    <row r="506">
      <c r="A506" s="1"/>
      <c r="B506" s="1"/>
      <c r="C506" s="2"/>
      <c r="D506" s="3"/>
      <c r="E506" s="2"/>
      <c r="F506" s="3"/>
      <c r="G506" s="2"/>
      <c r="H506" s="3"/>
      <c r="I506" s="2"/>
      <c r="J506" s="3"/>
      <c r="K506" s="2"/>
      <c r="L506" s="3"/>
      <c r="M506" s="2"/>
      <c r="N506" s="3"/>
      <c r="O506" s="2"/>
      <c r="P506" s="3"/>
      <c r="Q506" s="2"/>
      <c r="R506" s="3"/>
      <c r="S506" s="2"/>
      <c r="T506" s="3"/>
      <c r="U506" s="2"/>
      <c r="V506" s="3"/>
      <c r="W506" s="2"/>
      <c r="X506" s="3"/>
      <c r="Y506" s="2"/>
      <c r="Z506" s="3"/>
    </row>
    <row r="507">
      <c r="A507" s="1"/>
      <c r="B507" s="1"/>
      <c r="C507" s="2"/>
      <c r="D507" s="3"/>
      <c r="E507" s="2"/>
      <c r="F507" s="3"/>
      <c r="G507" s="2"/>
      <c r="H507" s="3"/>
      <c r="I507" s="2"/>
      <c r="J507" s="3"/>
      <c r="K507" s="2"/>
      <c r="L507" s="3"/>
      <c r="M507" s="2"/>
      <c r="N507" s="3"/>
      <c r="O507" s="2"/>
      <c r="P507" s="3"/>
      <c r="Q507" s="2"/>
      <c r="R507" s="3"/>
      <c r="S507" s="2"/>
      <c r="T507" s="3"/>
      <c r="U507" s="2"/>
      <c r="V507" s="3"/>
      <c r="W507" s="2"/>
      <c r="X507" s="3"/>
      <c r="Y507" s="2"/>
      <c r="Z507" s="3"/>
    </row>
    <row r="508">
      <c r="A508" s="1"/>
      <c r="B508" s="1"/>
      <c r="C508" s="2"/>
      <c r="D508" s="3"/>
      <c r="E508" s="2"/>
      <c r="F508" s="3"/>
      <c r="G508" s="2"/>
      <c r="H508" s="3"/>
      <c r="I508" s="2"/>
      <c r="J508" s="3"/>
      <c r="K508" s="2"/>
      <c r="L508" s="3"/>
      <c r="M508" s="2"/>
      <c r="N508" s="3"/>
      <c r="O508" s="2"/>
      <c r="P508" s="3"/>
      <c r="Q508" s="2"/>
      <c r="R508" s="3"/>
      <c r="S508" s="2"/>
      <c r="T508" s="3"/>
      <c r="U508" s="2"/>
      <c r="V508" s="3"/>
      <c r="W508" s="2"/>
      <c r="X508" s="3"/>
      <c r="Y508" s="2"/>
      <c r="Z508" s="3"/>
    </row>
    <row r="509">
      <c r="A509" s="1"/>
      <c r="B509" s="1"/>
      <c r="C509" s="2"/>
      <c r="D509" s="3"/>
      <c r="E509" s="2"/>
      <c r="F509" s="3"/>
      <c r="G509" s="2"/>
      <c r="H509" s="3"/>
      <c r="I509" s="2"/>
      <c r="J509" s="3"/>
      <c r="K509" s="2"/>
      <c r="L509" s="3"/>
      <c r="M509" s="2"/>
      <c r="N509" s="3"/>
      <c r="O509" s="2"/>
      <c r="P509" s="3"/>
      <c r="Q509" s="2"/>
      <c r="R509" s="3"/>
      <c r="S509" s="2"/>
      <c r="T509" s="3"/>
      <c r="U509" s="2"/>
      <c r="V509" s="3"/>
      <c r="W509" s="2"/>
      <c r="X509" s="3"/>
      <c r="Y509" s="2"/>
      <c r="Z509" s="3"/>
    </row>
    <row r="510">
      <c r="A510" s="1"/>
      <c r="B510" s="1"/>
      <c r="C510" s="2"/>
      <c r="D510" s="3"/>
      <c r="E510" s="2"/>
      <c r="F510" s="3"/>
      <c r="G510" s="2"/>
      <c r="H510" s="3"/>
      <c r="I510" s="2"/>
      <c r="J510" s="3"/>
      <c r="K510" s="2"/>
      <c r="L510" s="3"/>
      <c r="M510" s="2"/>
      <c r="N510" s="3"/>
      <c r="O510" s="2"/>
      <c r="P510" s="3"/>
      <c r="Q510" s="2"/>
      <c r="R510" s="3"/>
      <c r="S510" s="2"/>
      <c r="T510" s="3"/>
      <c r="U510" s="2"/>
      <c r="V510" s="3"/>
      <c r="W510" s="2"/>
      <c r="X510" s="3"/>
      <c r="Y510" s="2"/>
      <c r="Z510" s="3"/>
    </row>
    <row r="511">
      <c r="A511" s="1"/>
      <c r="B511" s="1"/>
      <c r="C511" s="2"/>
      <c r="D511" s="3"/>
      <c r="E511" s="2"/>
      <c r="F511" s="3"/>
      <c r="G511" s="2"/>
      <c r="H511" s="3"/>
      <c r="I511" s="2"/>
      <c r="J511" s="3"/>
      <c r="K511" s="2"/>
      <c r="L511" s="3"/>
      <c r="M511" s="2"/>
      <c r="N511" s="3"/>
      <c r="O511" s="2"/>
      <c r="P511" s="3"/>
      <c r="Q511" s="2"/>
      <c r="R511" s="3"/>
      <c r="S511" s="2"/>
      <c r="T511" s="3"/>
      <c r="U511" s="2"/>
      <c r="V511" s="3"/>
      <c r="W511" s="2"/>
      <c r="X511" s="3"/>
      <c r="Y511" s="2"/>
      <c r="Z511" s="3"/>
    </row>
    <row r="512">
      <c r="A512" s="1"/>
      <c r="B512" s="1"/>
      <c r="C512" s="2"/>
      <c r="D512" s="3"/>
      <c r="E512" s="2"/>
      <c r="F512" s="3"/>
      <c r="G512" s="2"/>
      <c r="H512" s="3"/>
      <c r="I512" s="2"/>
      <c r="J512" s="3"/>
      <c r="K512" s="2"/>
      <c r="L512" s="3"/>
      <c r="M512" s="2"/>
      <c r="N512" s="3"/>
      <c r="O512" s="2"/>
      <c r="P512" s="3"/>
      <c r="Q512" s="2"/>
      <c r="R512" s="3"/>
      <c r="S512" s="2"/>
      <c r="T512" s="3"/>
      <c r="U512" s="2"/>
      <c r="V512" s="3"/>
      <c r="W512" s="2"/>
      <c r="X512" s="3"/>
      <c r="Y512" s="2"/>
      <c r="Z512" s="3"/>
    </row>
    <row r="513">
      <c r="A513" s="1"/>
      <c r="B513" s="1"/>
      <c r="C513" s="2"/>
      <c r="D513" s="3"/>
      <c r="E513" s="2"/>
      <c r="F513" s="3"/>
      <c r="G513" s="2"/>
      <c r="H513" s="3"/>
      <c r="I513" s="2"/>
      <c r="J513" s="3"/>
      <c r="K513" s="2"/>
      <c r="L513" s="3"/>
      <c r="M513" s="2"/>
      <c r="N513" s="3"/>
      <c r="O513" s="2"/>
      <c r="P513" s="3"/>
      <c r="Q513" s="2"/>
      <c r="R513" s="3"/>
      <c r="S513" s="2"/>
      <c r="T513" s="3"/>
      <c r="U513" s="2"/>
      <c r="V513" s="3"/>
      <c r="W513" s="2"/>
      <c r="X513" s="3"/>
      <c r="Y513" s="2"/>
      <c r="Z513" s="3"/>
    </row>
    <row r="514">
      <c r="A514" s="1"/>
      <c r="B514" s="1"/>
      <c r="C514" s="2"/>
      <c r="D514" s="3"/>
      <c r="E514" s="2"/>
      <c r="F514" s="3"/>
      <c r="G514" s="2"/>
      <c r="H514" s="3"/>
      <c r="I514" s="2"/>
      <c r="J514" s="3"/>
      <c r="K514" s="2"/>
      <c r="L514" s="3"/>
      <c r="M514" s="2"/>
      <c r="N514" s="3"/>
      <c r="O514" s="2"/>
      <c r="P514" s="3"/>
      <c r="Q514" s="2"/>
      <c r="R514" s="3"/>
      <c r="S514" s="2"/>
      <c r="T514" s="3"/>
      <c r="U514" s="2"/>
      <c r="V514" s="3"/>
      <c r="W514" s="2"/>
      <c r="X514" s="3"/>
      <c r="Y514" s="2"/>
      <c r="Z514" s="3"/>
    </row>
    <row r="515">
      <c r="A515" s="1"/>
      <c r="B515" s="1"/>
      <c r="C515" s="2"/>
      <c r="D515" s="3"/>
      <c r="E515" s="2"/>
      <c r="F515" s="3"/>
      <c r="G515" s="2"/>
      <c r="H515" s="3"/>
      <c r="I515" s="2"/>
      <c r="J515" s="3"/>
      <c r="K515" s="2"/>
      <c r="L515" s="3"/>
      <c r="M515" s="2"/>
      <c r="N515" s="3"/>
      <c r="O515" s="2"/>
      <c r="P515" s="3"/>
      <c r="Q515" s="2"/>
      <c r="R515" s="3"/>
      <c r="S515" s="2"/>
      <c r="T515" s="3"/>
      <c r="U515" s="2"/>
      <c r="V515" s="3"/>
      <c r="W515" s="2"/>
      <c r="X515" s="3"/>
      <c r="Y515" s="2"/>
      <c r="Z515" s="3"/>
    </row>
    <row r="516">
      <c r="A516" s="1"/>
      <c r="B516" s="1"/>
      <c r="C516" s="2"/>
      <c r="D516" s="3"/>
      <c r="E516" s="2"/>
      <c r="F516" s="3"/>
      <c r="G516" s="2"/>
      <c r="H516" s="3"/>
      <c r="I516" s="2"/>
      <c r="J516" s="3"/>
      <c r="K516" s="2"/>
      <c r="L516" s="3"/>
      <c r="M516" s="2"/>
      <c r="N516" s="3"/>
      <c r="O516" s="2"/>
      <c r="P516" s="3"/>
      <c r="Q516" s="2"/>
      <c r="R516" s="3"/>
      <c r="S516" s="2"/>
      <c r="T516" s="3"/>
      <c r="U516" s="2"/>
      <c r="V516" s="3"/>
      <c r="W516" s="2"/>
      <c r="X516" s="3"/>
      <c r="Y516" s="2"/>
      <c r="Z516" s="3"/>
    </row>
    <row r="517">
      <c r="A517" s="1"/>
      <c r="B517" s="1"/>
      <c r="C517" s="2"/>
      <c r="D517" s="3"/>
      <c r="E517" s="2"/>
      <c r="F517" s="3"/>
      <c r="G517" s="2"/>
      <c r="H517" s="3"/>
      <c r="I517" s="2"/>
      <c r="J517" s="3"/>
      <c r="K517" s="2"/>
      <c r="L517" s="3"/>
      <c r="M517" s="2"/>
      <c r="N517" s="3"/>
      <c r="O517" s="2"/>
      <c r="P517" s="3"/>
      <c r="Q517" s="2"/>
      <c r="R517" s="3"/>
      <c r="S517" s="2"/>
      <c r="T517" s="3"/>
      <c r="U517" s="2"/>
      <c r="V517" s="3"/>
      <c r="W517" s="2"/>
      <c r="X517" s="3"/>
      <c r="Y517" s="2"/>
      <c r="Z517" s="3"/>
    </row>
    <row r="518">
      <c r="A518" s="1"/>
      <c r="B518" s="1"/>
      <c r="C518" s="2"/>
      <c r="D518" s="3"/>
      <c r="E518" s="2"/>
      <c r="F518" s="3"/>
      <c r="G518" s="2"/>
      <c r="H518" s="3"/>
      <c r="I518" s="2"/>
      <c r="J518" s="3"/>
      <c r="K518" s="2"/>
      <c r="L518" s="3"/>
      <c r="M518" s="2"/>
      <c r="N518" s="3"/>
      <c r="O518" s="2"/>
      <c r="P518" s="3"/>
      <c r="Q518" s="2"/>
      <c r="R518" s="3"/>
      <c r="S518" s="2"/>
      <c r="T518" s="3"/>
      <c r="U518" s="2"/>
      <c r="V518" s="3"/>
      <c r="W518" s="2"/>
      <c r="X518" s="3"/>
      <c r="Y518" s="2"/>
      <c r="Z518" s="3"/>
    </row>
    <row r="519">
      <c r="A519" s="1"/>
      <c r="B519" s="1"/>
      <c r="C519" s="2"/>
      <c r="D519" s="3"/>
      <c r="E519" s="2"/>
      <c r="F519" s="3"/>
      <c r="G519" s="2"/>
      <c r="H519" s="3"/>
      <c r="I519" s="2"/>
      <c r="J519" s="3"/>
      <c r="K519" s="2"/>
      <c r="L519" s="3"/>
      <c r="M519" s="2"/>
      <c r="N519" s="3"/>
      <c r="O519" s="2"/>
      <c r="P519" s="3"/>
      <c r="Q519" s="2"/>
      <c r="R519" s="3"/>
      <c r="S519" s="2"/>
      <c r="T519" s="3"/>
      <c r="U519" s="2"/>
      <c r="V519" s="3"/>
      <c r="W519" s="2"/>
      <c r="X519" s="3"/>
      <c r="Y519" s="2"/>
      <c r="Z519" s="3"/>
    </row>
    <row r="520">
      <c r="A520" s="1"/>
      <c r="B520" s="1"/>
      <c r="C520" s="2"/>
      <c r="D520" s="3"/>
      <c r="E520" s="2"/>
      <c r="F520" s="3"/>
      <c r="G520" s="2"/>
      <c r="H520" s="3"/>
      <c r="I520" s="2"/>
      <c r="J520" s="3"/>
      <c r="K520" s="2"/>
      <c r="L520" s="3"/>
      <c r="M520" s="2"/>
      <c r="N520" s="3"/>
      <c r="O520" s="2"/>
      <c r="P520" s="3"/>
      <c r="Q520" s="2"/>
      <c r="R520" s="3"/>
      <c r="S520" s="2"/>
      <c r="T520" s="3"/>
      <c r="U520" s="2"/>
      <c r="V520" s="3"/>
      <c r="W520" s="2"/>
      <c r="X520" s="3"/>
      <c r="Y520" s="2"/>
      <c r="Z520" s="3"/>
    </row>
    <row r="521">
      <c r="A521" s="1"/>
      <c r="B521" s="1"/>
      <c r="C521" s="2"/>
      <c r="D521" s="3"/>
      <c r="E521" s="2"/>
      <c r="F521" s="3"/>
      <c r="G521" s="2"/>
      <c r="H521" s="3"/>
      <c r="I521" s="2"/>
      <c r="J521" s="3"/>
      <c r="K521" s="2"/>
      <c r="L521" s="3"/>
      <c r="M521" s="2"/>
      <c r="N521" s="3"/>
      <c r="O521" s="2"/>
      <c r="P521" s="3"/>
      <c r="Q521" s="2"/>
      <c r="R521" s="3"/>
      <c r="S521" s="2"/>
      <c r="T521" s="3"/>
      <c r="U521" s="2"/>
      <c r="V521" s="3"/>
      <c r="W521" s="2"/>
      <c r="X521" s="3"/>
      <c r="Y521" s="2"/>
      <c r="Z521" s="3"/>
    </row>
    <row r="522">
      <c r="A522" s="1"/>
      <c r="B522" s="1"/>
      <c r="C522" s="2"/>
      <c r="D522" s="3"/>
      <c r="E522" s="2"/>
      <c r="F522" s="3"/>
      <c r="G522" s="2"/>
      <c r="H522" s="3"/>
      <c r="I522" s="2"/>
      <c r="J522" s="3"/>
      <c r="K522" s="2"/>
      <c r="L522" s="3"/>
      <c r="M522" s="2"/>
      <c r="N522" s="3"/>
      <c r="O522" s="2"/>
      <c r="P522" s="3"/>
      <c r="Q522" s="2"/>
      <c r="R522" s="3"/>
      <c r="S522" s="2"/>
      <c r="T522" s="3"/>
      <c r="U522" s="2"/>
      <c r="V522" s="3"/>
      <c r="W522" s="2"/>
      <c r="X522" s="3"/>
      <c r="Y522" s="2"/>
      <c r="Z522" s="3"/>
    </row>
    <row r="523">
      <c r="A523" s="1"/>
      <c r="B523" s="1"/>
      <c r="C523" s="2"/>
      <c r="D523" s="3"/>
      <c r="E523" s="2"/>
      <c r="F523" s="3"/>
      <c r="G523" s="2"/>
      <c r="H523" s="3"/>
      <c r="I523" s="2"/>
      <c r="J523" s="3"/>
      <c r="K523" s="2"/>
      <c r="L523" s="3"/>
      <c r="M523" s="2"/>
      <c r="N523" s="3"/>
      <c r="O523" s="2"/>
      <c r="P523" s="3"/>
      <c r="Q523" s="2"/>
      <c r="R523" s="3"/>
      <c r="S523" s="2"/>
      <c r="T523" s="3"/>
      <c r="U523" s="2"/>
      <c r="V523" s="3"/>
      <c r="W523" s="2"/>
      <c r="X523" s="3"/>
      <c r="Y523" s="2"/>
      <c r="Z523" s="3"/>
    </row>
    <row r="524">
      <c r="A524" s="1"/>
      <c r="B524" s="1"/>
      <c r="C524" s="2"/>
      <c r="D524" s="3"/>
      <c r="E524" s="2"/>
      <c r="F524" s="3"/>
      <c r="G524" s="2"/>
      <c r="H524" s="3"/>
      <c r="I524" s="2"/>
      <c r="J524" s="3"/>
      <c r="K524" s="2"/>
      <c r="L524" s="3"/>
      <c r="M524" s="2"/>
      <c r="N524" s="3"/>
      <c r="O524" s="2"/>
      <c r="P524" s="3"/>
      <c r="Q524" s="2"/>
      <c r="R524" s="3"/>
      <c r="S524" s="2"/>
      <c r="T524" s="3"/>
      <c r="U524" s="2"/>
      <c r="V524" s="3"/>
      <c r="W524" s="2"/>
      <c r="X524" s="3"/>
      <c r="Y524" s="2"/>
      <c r="Z524" s="3"/>
    </row>
    <row r="525">
      <c r="A525" s="1"/>
      <c r="B525" s="1"/>
      <c r="C525" s="2"/>
      <c r="D525" s="3"/>
      <c r="E525" s="2"/>
      <c r="F525" s="3"/>
      <c r="G525" s="2"/>
      <c r="H525" s="3"/>
      <c r="I525" s="2"/>
      <c r="J525" s="3"/>
      <c r="K525" s="2"/>
      <c r="L525" s="3"/>
      <c r="M525" s="2"/>
      <c r="N525" s="3"/>
      <c r="O525" s="2"/>
      <c r="P525" s="3"/>
      <c r="Q525" s="2"/>
      <c r="R525" s="3"/>
      <c r="S525" s="2"/>
      <c r="T525" s="3"/>
      <c r="U525" s="2"/>
      <c r="V525" s="3"/>
      <c r="W525" s="2"/>
      <c r="X525" s="3"/>
      <c r="Y525" s="2"/>
      <c r="Z525" s="3"/>
    </row>
    <row r="526">
      <c r="A526" s="1"/>
      <c r="B526" s="1"/>
      <c r="C526" s="2"/>
      <c r="D526" s="3"/>
      <c r="E526" s="2"/>
      <c r="F526" s="3"/>
      <c r="G526" s="2"/>
      <c r="H526" s="3"/>
      <c r="I526" s="2"/>
      <c r="J526" s="3"/>
      <c r="K526" s="2"/>
      <c r="L526" s="3"/>
      <c r="M526" s="2"/>
      <c r="N526" s="3"/>
      <c r="O526" s="2"/>
      <c r="P526" s="3"/>
      <c r="Q526" s="2"/>
      <c r="R526" s="3"/>
      <c r="S526" s="2"/>
      <c r="T526" s="3"/>
      <c r="U526" s="2"/>
      <c r="V526" s="3"/>
      <c r="W526" s="2"/>
      <c r="X526" s="3"/>
      <c r="Y526" s="2"/>
      <c r="Z526" s="3"/>
    </row>
    <row r="527">
      <c r="A527" s="1"/>
      <c r="B527" s="1"/>
      <c r="C527" s="2"/>
      <c r="D527" s="3"/>
      <c r="E527" s="2"/>
      <c r="F527" s="3"/>
      <c r="G527" s="2"/>
      <c r="H527" s="3"/>
      <c r="I527" s="2"/>
      <c r="J527" s="3"/>
      <c r="K527" s="2"/>
      <c r="L527" s="3"/>
      <c r="M527" s="2"/>
      <c r="N527" s="3"/>
      <c r="O527" s="2"/>
      <c r="P527" s="3"/>
      <c r="Q527" s="2"/>
      <c r="R527" s="3"/>
      <c r="S527" s="2"/>
      <c r="T527" s="3"/>
      <c r="U527" s="2"/>
      <c r="V527" s="3"/>
      <c r="W527" s="2"/>
      <c r="X527" s="3"/>
      <c r="Y527" s="2"/>
      <c r="Z527" s="3"/>
    </row>
    <row r="528">
      <c r="A528" s="1"/>
      <c r="B528" s="1"/>
      <c r="C528" s="2"/>
      <c r="D528" s="3"/>
      <c r="E528" s="2"/>
      <c r="F528" s="3"/>
      <c r="G528" s="2"/>
      <c r="H528" s="3"/>
      <c r="I528" s="2"/>
      <c r="J528" s="3"/>
      <c r="K528" s="2"/>
      <c r="L528" s="3"/>
      <c r="M528" s="2"/>
      <c r="N528" s="3"/>
      <c r="O528" s="2"/>
      <c r="P528" s="3"/>
      <c r="Q528" s="2"/>
      <c r="R528" s="3"/>
      <c r="S528" s="2"/>
      <c r="T528" s="3"/>
      <c r="U528" s="2"/>
      <c r="V528" s="3"/>
      <c r="W528" s="2"/>
      <c r="X528" s="3"/>
      <c r="Y528" s="2"/>
      <c r="Z528" s="3"/>
    </row>
    <row r="529">
      <c r="A529" s="1"/>
      <c r="B529" s="1"/>
      <c r="C529" s="2"/>
      <c r="D529" s="3"/>
      <c r="E529" s="2"/>
      <c r="F529" s="3"/>
      <c r="G529" s="2"/>
      <c r="H529" s="3"/>
      <c r="I529" s="2"/>
      <c r="J529" s="3"/>
      <c r="K529" s="2"/>
      <c r="L529" s="3"/>
      <c r="M529" s="2"/>
      <c r="N529" s="3"/>
      <c r="O529" s="2"/>
      <c r="P529" s="3"/>
      <c r="Q529" s="2"/>
      <c r="R529" s="3"/>
      <c r="S529" s="2"/>
      <c r="T529" s="3"/>
      <c r="U529" s="2"/>
      <c r="V529" s="3"/>
      <c r="W529" s="2"/>
      <c r="X529" s="3"/>
      <c r="Y529" s="2"/>
      <c r="Z529" s="3"/>
    </row>
    <row r="530">
      <c r="A530" s="1"/>
      <c r="B530" s="1"/>
      <c r="C530" s="2"/>
      <c r="D530" s="3"/>
      <c r="E530" s="2"/>
      <c r="F530" s="3"/>
      <c r="G530" s="2"/>
      <c r="H530" s="3"/>
      <c r="I530" s="2"/>
      <c r="J530" s="3"/>
      <c r="K530" s="2"/>
      <c r="L530" s="3"/>
      <c r="M530" s="2"/>
      <c r="N530" s="3"/>
      <c r="O530" s="2"/>
      <c r="P530" s="3"/>
      <c r="Q530" s="2"/>
      <c r="R530" s="3"/>
      <c r="S530" s="2"/>
      <c r="T530" s="3"/>
      <c r="U530" s="2"/>
      <c r="V530" s="3"/>
      <c r="W530" s="2"/>
      <c r="X530" s="3"/>
      <c r="Y530" s="2"/>
      <c r="Z530" s="3"/>
    </row>
    <row r="531">
      <c r="A531" s="1"/>
      <c r="B531" s="1"/>
      <c r="C531" s="2"/>
      <c r="D531" s="3"/>
      <c r="E531" s="2"/>
      <c r="F531" s="3"/>
      <c r="G531" s="2"/>
      <c r="H531" s="3"/>
      <c r="I531" s="2"/>
      <c r="J531" s="3"/>
      <c r="K531" s="2"/>
      <c r="L531" s="3"/>
      <c r="M531" s="2"/>
      <c r="N531" s="3"/>
      <c r="O531" s="2"/>
      <c r="P531" s="3"/>
      <c r="Q531" s="2"/>
      <c r="R531" s="3"/>
      <c r="S531" s="2"/>
      <c r="T531" s="3"/>
      <c r="U531" s="2"/>
      <c r="V531" s="3"/>
      <c r="W531" s="2"/>
      <c r="X531" s="3"/>
      <c r="Y531" s="2"/>
      <c r="Z531" s="3"/>
    </row>
    <row r="532">
      <c r="A532" s="1"/>
      <c r="B532" s="1"/>
      <c r="C532" s="2"/>
      <c r="D532" s="3"/>
      <c r="E532" s="2"/>
      <c r="F532" s="3"/>
      <c r="G532" s="2"/>
      <c r="H532" s="3"/>
      <c r="I532" s="2"/>
      <c r="J532" s="3"/>
      <c r="K532" s="2"/>
      <c r="L532" s="3"/>
      <c r="M532" s="2"/>
      <c r="N532" s="3"/>
      <c r="O532" s="2"/>
      <c r="P532" s="3"/>
      <c r="Q532" s="2"/>
      <c r="R532" s="3"/>
      <c r="S532" s="2"/>
      <c r="T532" s="3"/>
      <c r="U532" s="2"/>
      <c r="V532" s="3"/>
      <c r="W532" s="2"/>
      <c r="X532" s="3"/>
      <c r="Y532" s="2"/>
      <c r="Z532" s="3"/>
    </row>
    <row r="533">
      <c r="A533" s="1"/>
      <c r="B533" s="1"/>
      <c r="C533" s="2"/>
      <c r="D533" s="3"/>
      <c r="E533" s="2"/>
      <c r="F533" s="3"/>
      <c r="G533" s="2"/>
      <c r="H533" s="3"/>
      <c r="I533" s="2"/>
      <c r="J533" s="3"/>
      <c r="K533" s="2"/>
      <c r="L533" s="3"/>
      <c r="M533" s="2"/>
      <c r="N533" s="3"/>
      <c r="O533" s="2"/>
      <c r="P533" s="3"/>
      <c r="Q533" s="2"/>
      <c r="R533" s="3"/>
      <c r="S533" s="2"/>
      <c r="T533" s="3"/>
      <c r="U533" s="2"/>
      <c r="V533" s="3"/>
      <c r="W533" s="2"/>
      <c r="X533" s="3"/>
      <c r="Y533" s="2"/>
      <c r="Z533" s="3"/>
    </row>
    <row r="534">
      <c r="A534" s="1"/>
      <c r="B534" s="1"/>
      <c r="C534" s="2"/>
      <c r="D534" s="3"/>
      <c r="E534" s="2"/>
      <c r="F534" s="3"/>
      <c r="G534" s="2"/>
      <c r="H534" s="3"/>
      <c r="I534" s="2"/>
      <c r="J534" s="3"/>
      <c r="K534" s="2"/>
      <c r="L534" s="3"/>
      <c r="M534" s="2"/>
      <c r="N534" s="3"/>
      <c r="O534" s="2"/>
      <c r="P534" s="3"/>
      <c r="Q534" s="2"/>
      <c r="R534" s="3"/>
      <c r="S534" s="2"/>
      <c r="T534" s="3"/>
      <c r="U534" s="2"/>
      <c r="V534" s="3"/>
      <c r="W534" s="2"/>
      <c r="X534" s="3"/>
      <c r="Y534" s="2"/>
      <c r="Z534" s="3"/>
    </row>
    <row r="535">
      <c r="A535" s="1"/>
      <c r="B535" s="1"/>
      <c r="C535" s="2"/>
      <c r="D535" s="3"/>
      <c r="E535" s="2"/>
      <c r="F535" s="3"/>
      <c r="G535" s="2"/>
      <c r="H535" s="3"/>
      <c r="I535" s="2"/>
      <c r="J535" s="3"/>
      <c r="K535" s="2"/>
      <c r="L535" s="3"/>
      <c r="M535" s="2"/>
      <c r="N535" s="3"/>
      <c r="O535" s="2"/>
      <c r="P535" s="3"/>
      <c r="Q535" s="2"/>
      <c r="R535" s="3"/>
      <c r="S535" s="2"/>
      <c r="T535" s="3"/>
      <c r="U535" s="2"/>
      <c r="V535" s="3"/>
      <c r="W535" s="2"/>
      <c r="X535" s="3"/>
      <c r="Y535" s="2"/>
      <c r="Z535" s="3"/>
    </row>
    <row r="536">
      <c r="A536" s="1"/>
      <c r="B536" s="1"/>
      <c r="C536" s="2"/>
      <c r="D536" s="3"/>
      <c r="E536" s="2"/>
      <c r="F536" s="3"/>
      <c r="G536" s="2"/>
      <c r="H536" s="3"/>
      <c r="I536" s="2"/>
      <c r="J536" s="3"/>
      <c r="K536" s="2"/>
      <c r="L536" s="3"/>
      <c r="M536" s="2"/>
      <c r="N536" s="3"/>
      <c r="O536" s="2"/>
      <c r="P536" s="3"/>
      <c r="Q536" s="2"/>
      <c r="R536" s="3"/>
      <c r="S536" s="2"/>
      <c r="T536" s="3"/>
      <c r="U536" s="2"/>
      <c r="V536" s="3"/>
      <c r="W536" s="2"/>
      <c r="X536" s="3"/>
      <c r="Y536" s="2"/>
      <c r="Z536" s="3"/>
    </row>
    <row r="537">
      <c r="A537" s="1"/>
      <c r="B537" s="1"/>
      <c r="C537" s="2"/>
      <c r="D537" s="3"/>
      <c r="E537" s="2"/>
      <c r="F537" s="3"/>
      <c r="G537" s="2"/>
      <c r="H537" s="3"/>
      <c r="I537" s="2"/>
      <c r="J537" s="3"/>
      <c r="K537" s="2"/>
      <c r="L537" s="3"/>
      <c r="M537" s="2"/>
      <c r="N537" s="3"/>
      <c r="O537" s="2"/>
      <c r="P537" s="3"/>
      <c r="Q537" s="2"/>
      <c r="R537" s="3"/>
      <c r="S537" s="2"/>
      <c r="T537" s="3"/>
      <c r="U537" s="2"/>
      <c r="V537" s="3"/>
      <c r="W537" s="2"/>
      <c r="X537" s="3"/>
      <c r="Y537" s="2"/>
      <c r="Z537" s="3"/>
    </row>
    <row r="538">
      <c r="A538" s="1"/>
      <c r="B538" s="1"/>
      <c r="C538" s="2"/>
      <c r="D538" s="3"/>
      <c r="E538" s="2"/>
      <c r="F538" s="3"/>
      <c r="G538" s="2"/>
      <c r="H538" s="3"/>
      <c r="I538" s="2"/>
      <c r="J538" s="3"/>
      <c r="K538" s="2"/>
      <c r="L538" s="3"/>
      <c r="M538" s="2"/>
      <c r="N538" s="3"/>
      <c r="O538" s="2"/>
      <c r="P538" s="3"/>
      <c r="Q538" s="2"/>
      <c r="R538" s="3"/>
      <c r="S538" s="2"/>
      <c r="T538" s="3"/>
      <c r="U538" s="2"/>
      <c r="V538" s="3"/>
      <c r="W538" s="2"/>
      <c r="X538" s="3"/>
      <c r="Y538" s="2"/>
      <c r="Z538" s="3"/>
    </row>
    <row r="539">
      <c r="A539" s="1"/>
      <c r="B539" s="1"/>
      <c r="C539" s="2"/>
      <c r="D539" s="3"/>
      <c r="E539" s="2"/>
      <c r="F539" s="3"/>
      <c r="G539" s="2"/>
      <c r="H539" s="3"/>
      <c r="I539" s="2"/>
      <c r="J539" s="3"/>
      <c r="K539" s="2"/>
      <c r="L539" s="3"/>
      <c r="M539" s="2"/>
      <c r="N539" s="3"/>
      <c r="O539" s="2"/>
      <c r="P539" s="3"/>
      <c r="Q539" s="2"/>
      <c r="R539" s="3"/>
      <c r="S539" s="2"/>
      <c r="T539" s="3"/>
      <c r="U539" s="2"/>
      <c r="V539" s="3"/>
      <c r="W539" s="2"/>
      <c r="X539" s="3"/>
      <c r="Y539" s="2"/>
      <c r="Z539" s="3"/>
    </row>
    <row r="540">
      <c r="A540" s="1"/>
      <c r="B540" s="1"/>
      <c r="C540" s="2"/>
      <c r="D540" s="3"/>
      <c r="E540" s="2"/>
      <c r="F540" s="3"/>
      <c r="G540" s="2"/>
      <c r="H540" s="3"/>
      <c r="I540" s="2"/>
      <c r="J540" s="3"/>
      <c r="K540" s="2"/>
      <c r="L540" s="3"/>
      <c r="M540" s="2"/>
      <c r="N540" s="3"/>
      <c r="O540" s="2"/>
      <c r="P540" s="3"/>
      <c r="Q540" s="2"/>
      <c r="R540" s="3"/>
      <c r="S540" s="2"/>
      <c r="T540" s="3"/>
      <c r="U540" s="2"/>
      <c r="V540" s="3"/>
      <c r="W540" s="2"/>
      <c r="X540" s="3"/>
      <c r="Y540" s="2"/>
      <c r="Z540" s="3"/>
    </row>
    <row r="541">
      <c r="A541" s="1"/>
      <c r="B541" s="1"/>
      <c r="C541" s="2"/>
      <c r="D541" s="3"/>
      <c r="E541" s="2"/>
      <c r="F541" s="3"/>
      <c r="G541" s="2"/>
      <c r="H541" s="3"/>
      <c r="I541" s="2"/>
      <c r="J541" s="3"/>
      <c r="K541" s="2"/>
      <c r="L541" s="3"/>
      <c r="M541" s="2"/>
      <c r="N541" s="3"/>
      <c r="O541" s="2"/>
      <c r="P541" s="3"/>
      <c r="Q541" s="2"/>
      <c r="R541" s="3"/>
      <c r="S541" s="2"/>
      <c r="T541" s="3"/>
      <c r="U541" s="2"/>
      <c r="V541" s="3"/>
      <c r="W541" s="2"/>
      <c r="X541" s="3"/>
      <c r="Y541" s="2"/>
      <c r="Z541" s="3"/>
    </row>
    <row r="542">
      <c r="A542" s="1"/>
      <c r="B542" s="1"/>
      <c r="C542" s="2"/>
      <c r="D542" s="3"/>
      <c r="E542" s="2"/>
      <c r="F542" s="3"/>
      <c r="G542" s="2"/>
      <c r="H542" s="3"/>
      <c r="I542" s="2"/>
      <c r="J542" s="3"/>
      <c r="K542" s="2"/>
      <c r="L542" s="3"/>
      <c r="M542" s="2"/>
      <c r="N542" s="3"/>
      <c r="O542" s="2"/>
      <c r="P542" s="3"/>
      <c r="Q542" s="2"/>
      <c r="R542" s="3"/>
      <c r="S542" s="2"/>
      <c r="T542" s="3"/>
      <c r="U542" s="2"/>
      <c r="V542" s="3"/>
      <c r="W542" s="2"/>
      <c r="X542" s="3"/>
      <c r="Y542" s="2"/>
      <c r="Z542" s="3"/>
    </row>
    <row r="543">
      <c r="A543" s="1"/>
      <c r="B543" s="1"/>
      <c r="C543" s="2"/>
      <c r="D543" s="3"/>
      <c r="E543" s="2"/>
      <c r="F543" s="3"/>
      <c r="G543" s="2"/>
      <c r="H543" s="3"/>
      <c r="I543" s="2"/>
      <c r="J543" s="3"/>
      <c r="K543" s="2"/>
      <c r="L543" s="3"/>
      <c r="M543" s="2"/>
      <c r="N543" s="3"/>
      <c r="O543" s="2"/>
      <c r="P543" s="3"/>
      <c r="Q543" s="2"/>
      <c r="R543" s="3"/>
      <c r="S543" s="2"/>
      <c r="T543" s="3"/>
      <c r="U543" s="2"/>
      <c r="V543" s="3"/>
      <c r="W543" s="2"/>
      <c r="X543" s="3"/>
      <c r="Y543" s="2"/>
      <c r="Z543" s="3"/>
    </row>
    <row r="544">
      <c r="A544" s="1"/>
      <c r="B544" s="1"/>
      <c r="C544" s="2"/>
      <c r="D544" s="3"/>
      <c r="E544" s="2"/>
      <c r="F544" s="3"/>
      <c r="G544" s="2"/>
      <c r="H544" s="3"/>
      <c r="I544" s="2"/>
      <c r="J544" s="3"/>
      <c r="K544" s="2"/>
      <c r="L544" s="3"/>
      <c r="M544" s="2"/>
      <c r="N544" s="3"/>
      <c r="O544" s="2"/>
      <c r="P544" s="3"/>
      <c r="Q544" s="2"/>
      <c r="R544" s="3"/>
      <c r="S544" s="2"/>
      <c r="T544" s="3"/>
      <c r="U544" s="2"/>
      <c r="V544" s="3"/>
      <c r="W544" s="2"/>
      <c r="X544" s="3"/>
      <c r="Y544" s="2"/>
      <c r="Z544" s="3"/>
    </row>
    <row r="545">
      <c r="A545" s="1"/>
      <c r="B545" s="1"/>
      <c r="C545" s="2"/>
      <c r="D545" s="3"/>
      <c r="E545" s="2"/>
      <c r="F545" s="3"/>
      <c r="G545" s="2"/>
      <c r="H545" s="3"/>
      <c r="I545" s="2"/>
      <c r="J545" s="3"/>
      <c r="K545" s="2"/>
      <c r="L545" s="3"/>
      <c r="M545" s="2"/>
      <c r="N545" s="3"/>
      <c r="O545" s="2"/>
      <c r="P545" s="3"/>
      <c r="Q545" s="2"/>
      <c r="R545" s="3"/>
      <c r="S545" s="2"/>
      <c r="T545" s="3"/>
      <c r="U545" s="2"/>
      <c r="V545" s="3"/>
      <c r="W545" s="2"/>
      <c r="X545" s="3"/>
      <c r="Y545" s="2"/>
      <c r="Z545" s="3"/>
    </row>
    <row r="546">
      <c r="A546" s="1"/>
      <c r="B546" s="1"/>
      <c r="C546" s="2"/>
      <c r="D546" s="3"/>
      <c r="E546" s="2"/>
      <c r="F546" s="3"/>
      <c r="G546" s="2"/>
      <c r="H546" s="3"/>
      <c r="I546" s="2"/>
      <c r="J546" s="3"/>
      <c r="K546" s="2"/>
      <c r="L546" s="3"/>
      <c r="M546" s="2"/>
      <c r="N546" s="3"/>
      <c r="O546" s="2"/>
      <c r="P546" s="3"/>
      <c r="Q546" s="2"/>
      <c r="R546" s="3"/>
      <c r="S546" s="2"/>
      <c r="T546" s="3"/>
      <c r="U546" s="2"/>
      <c r="V546" s="3"/>
      <c r="W546" s="2"/>
      <c r="X546" s="3"/>
      <c r="Y546" s="2"/>
      <c r="Z546" s="3"/>
    </row>
    <row r="547">
      <c r="A547" s="1"/>
      <c r="B547" s="1"/>
      <c r="C547" s="2"/>
      <c r="D547" s="3"/>
      <c r="E547" s="2"/>
      <c r="F547" s="3"/>
      <c r="G547" s="2"/>
      <c r="H547" s="3"/>
      <c r="I547" s="2"/>
      <c r="J547" s="3"/>
      <c r="K547" s="2"/>
      <c r="L547" s="3"/>
      <c r="M547" s="2"/>
      <c r="N547" s="3"/>
      <c r="O547" s="2"/>
      <c r="P547" s="3"/>
      <c r="Q547" s="2"/>
      <c r="R547" s="3"/>
      <c r="S547" s="2"/>
      <c r="T547" s="3"/>
      <c r="U547" s="2"/>
      <c r="V547" s="3"/>
      <c r="W547" s="2"/>
      <c r="X547" s="3"/>
      <c r="Y547" s="2"/>
      <c r="Z547" s="3"/>
    </row>
    <row r="548">
      <c r="A548" s="1"/>
      <c r="B548" s="1"/>
      <c r="C548" s="2"/>
      <c r="D548" s="3"/>
      <c r="E548" s="2"/>
      <c r="F548" s="3"/>
      <c r="G548" s="2"/>
      <c r="H548" s="3"/>
      <c r="I548" s="2"/>
      <c r="J548" s="3"/>
      <c r="K548" s="2"/>
      <c r="L548" s="3"/>
      <c r="M548" s="2"/>
      <c r="N548" s="3"/>
      <c r="O548" s="2"/>
      <c r="P548" s="3"/>
      <c r="Q548" s="2"/>
      <c r="R548" s="3"/>
      <c r="S548" s="2"/>
      <c r="T548" s="3"/>
      <c r="U548" s="2"/>
      <c r="V548" s="3"/>
      <c r="W548" s="2"/>
      <c r="X548" s="3"/>
      <c r="Y548" s="2"/>
      <c r="Z548" s="3"/>
    </row>
    <row r="549">
      <c r="A549" s="1"/>
      <c r="B549" s="1"/>
      <c r="C549" s="2"/>
      <c r="D549" s="3"/>
      <c r="E549" s="2"/>
      <c r="F549" s="3"/>
      <c r="G549" s="2"/>
      <c r="H549" s="3"/>
      <c r="I549" s="2"/>
      <c r="J549" s="3"/>
      <c r="K549" s="2"/>
      <c r="L549" s="3"/>
      <c r="M549" s="2"/>
      <c r="N549" s="3"/>
      <c r="O549" s="2"/>
      <c r="P549" s="3"/>
      <c r="Q549" s="2"/>
      <c r="R549" s="3"/>
      <c r="S549" s="2"/>
      <c r="T549" s="3"/>
      <c r="U549" s="2"/>
      <c r="V549" s="3"/>
      <c r="W549" s="2"/>
      <c r="X549" s="3"/>
      <c r="Y549" s="2"/>
      <c r="Z549" s="3"/>
    </row>
    <row r="550">
      <c r="A550" s="1"/>
      <c r="B550" s="1"/>
      <c r="C550" s="2"/>
      <c r="D550" s="3"/>
      <c r="E550" s="2"/>
      <c r="F550" s="3"/>
      <c r="G550" s="2"/>
      <c r="H550" s="3"/>
      <c r="I550" s="2"/>
      <c r="J550" s="3"/>
      <c r="K550" s="2"/>
      <c r="L550" s="3"/>
      <c r="M550" s="2"/>
      <c r="N550" s="3"/>
      <c r="O550" s="2"/>
      <c r="P550" s="3"/>
      <c r="Q550" s="2"/>
      <c r="R550" s="3"/>
      <c r="S550" s="2"/>
      <c r="T550" s="3"/>
      <c r="U550" s="2"/>
      <c r="V550" s="3"/>
      <c r="W550" s="2"/>
      <c r="X550" s="3"/>
      <c r="Y550" s="2"/>
      <c r="Z550" s="3"/>
    </row>
    <row r="551">
      <c r="A551" s="1"/>
      <c r="B551" s="1"/>
      <c r="C551" s="2"/>
      <c r="D551" s="3"/>
      <c r="E551" s="2"/>
      <c r="F551" s="3"/>
      <c r="G551" s="2"/>
      <c r="H551" s="3"/>
      <c r="I551" s="2"/>
      <c r="J551" s="3"/>
      <c r="K551" s="2"/>
      <c r="L551" s="3"/>
      <c r="M551" s="2"/>
      <c r="N551" s="3"/>
      <c r="O551" s="2"/>
      <c r="P551" s="3"/>
      <c r="Q551" s="2"/>
      <c r="R551" s="3"/>
      <c r="S551" s="2"/>
      <c r="T551" s="3"/>
      <c r="U551" s="2"/>
      <c r="V551" s="3"/>
      <c r="W551" s="2"/>
      <c r="X551" s="3"/>
      <c r="Y551" s="2"/>
      <c r="Z551" s="3"/>
    </row>
    <row r="552">
      <c r="A552" s="1"/>
      <c r="B552" s="1"/>
      <c r="C552" s="2"/>
      <c r="D552" s="3"/>
      <c r="E552" s="2"/>
      <c r="F552" s="3"/>
      <c r="G552" s="2"/>
      <c r="H552" s="3"/>
      <c r="I552" s="2"/>
      <c r="J552" s="3"/>
      <c r="K552" s="2"/>
      <c r="L552" s="3"/>
      <c r="M552" s="2"/>
      <c r="N552" s="3"/>
      <c r="O552" s="2"/>
      <c r="P552" s="3"/>
      <c r="Q552" s="2"/>
      <c r="R552" s="3"/>
      <c r="S552" s="2"/>
      <c r="T552" s="3"/>
      <c r="U552" s="2"/>
      <c r="V552" s="3"/>
      <c r="W552" s="2"/>
      <c r="X552" s="3"/>
      <c r="Y552" s="2"/>
      <c r="Z552" s="3"/>
    </row>
    <row r="553">
      <c r="A553" s="1"/>
      <c r="B553" s="1"/>
      <c r="C553" s="2"/>
      <c r="D553" s="3"/>
      <c r="E553" s="2"/>
      <c r="F553" s="3"/>
      <c r="G553" s="2"/>
      <c r="H553" s="3"/>
      <c r="I553" s="2"/>
      <c r="J553" s="3"/>
      <c r="K553" s="2"/>
      <c r="L553" s="3"/>
      <c r="M553" s="2"/>
      <c r="N553" s="3"/>
      <c r="O553" s="2"/>
      <c r="P553" s="3"/>
      <c r="Q553" s="2"/>
      <c r="R553" s="3"/>
      <c r="S553" s="2"/>
      <c r="T553" s="3"/>
      <c r="U553" s="2"/>
      <c r="V553" s="3"/>
      <c r="W553" s="2"/>
      <c r="X553" s="3"/>
      <c r="Y553" s="2"/>
      <c r="Z553" s="3"/>
    </row>
    <row r="554">
      <c r="A554" s="1"/>
      <c r="B554" s="1"/>
      <c r="C554" s="2"/>
      <c r="D554" s="3"/>
      <c r="E554" s="2"/>
      <c r="F554" s="3"/>
      <c r="G554" s="2"/>
      <c r="H554" s="3"/>
      <c r="I554" s="2"/>
      <c r="J554" s="3"/>
      <c r="K554" s="2"/>
      <c r="L554" s="3"/>
      <c r="M554" s="2"/>
      <c r="N554" s="3"/>
      <c r="O554" s="2"/>
      <c r="P554" s="3"/>
      <c r="Q554" s="2"/>
      <c r="R554" s="3"/>
      <c r="S554" s="2"/>
      <c r="T554" s="3"/>
      <c r="U554" s="2"/>
      <c r="V554" s="3"/>
      <c r="W554" s="2"/>
      <c r="X554" s="3"/>
      <c r="Y554" s="2"/>
      <c r="Z554" s="3"/>
    </row>
    <row r="555">
      <c r="A555" s="1"/>
      <c r="B555" s="1"/>
      <c r="C555" s="2"/>
      <c r="D555" s="3"/>
      <c r="E555" s="2"/>
      <c r="F555" s="3"/>
      <c r="G555" s="2"/>
      <c r="H555" s="3"/>
      <c r="I555" s="2"/>
      <c r="J555" s="3"/>
      <c r="K555" s="2"/>
      <c r="L555" s="3"/>
      <c r="M555" s="2"/>
      <c r="N555" s="3"/>
      <c r="O555" s="2"/>
      <c r="P555" s="3"/>
      <c r="Q555" s="2"/>
      <c r="R555" s="3"/>
      <c r="S555" s="2"/>
      <c r="T555" s="3"/>
      <c r="U555" s="2"/>
      <c r="V555" s="3"/>
      <c r="W555" s="2"/>
      <c r="X555" s="3"/>
      <c r="Y555" s="2"/>
      <c r="Z555" s="3"/>
    </row>
    <row r="556">
      <c r="A556" s="1"/>
      <c r="B556" s="1"/>
      <c r="C556" s="2"/>
      <c r="D556" s="3"/>
      <c r="E556" s="2"/>
      <c r="F556" s="3"/>
      <c r="G556" s="2"/>
      <c r="H556" s="3"/>
      <c r="I556" s="2"/>
      <c r="J556" s="3"/>
      <c r="K556" s="2"/>
      <c r="L556" s="3"/>
      <c r="M556" s="2"/>
      <c r="N556" s="3"/>
      <c r="O556" s="2"/>
      <c r="P556" s="3"/>
      <c r="Q556" s="2"/>
      <c r="R556" s="3"/>
      <c r="S556" s="2"/>
      <c r="T556" s="3"/>
      <c r="U556" s="2"/>
      <c r="V556" s="3"/>
      <c r="W556" s="2"/>
      <c r="X556" s="3"/>
      <c r="Y556" s="2"/>
      <c r="Z556" s="3"/>
    </row>
    <row r="557">
      <c r="A557" s="1"/>
      <c r="B557" s="1"/>
      <c r="C557" s="2"/>
      <c r="D557" s="3"/>
      <c r="E557" s="2"/>
      <c r="F557" s="3"/>
      <c r="G557" s="2"/>
      <c r="H557" s="3"/>
      <c r="I557" s="2"/>
      <c r="J557" s="3"/>
      <c r="K557" s="2"/>
      <c r="L557" s="3"/>
      <c r="M557" s="2"/>
      <c r="N557" s="3"/>
      <c r="O557" s="2"/>
      <c r="P557" s="3"/>
      <c r="Q557" s="2"/>
      <c r="R557" s="3"/>
      <c r="S557" s="2"/>
      <c r="T557" s="3"/>
      <c r="U557" s="2"/>
      <c r="V557" s="3"/>
      <c r="W557" s="2"/>
      <c r="X557" s="3"/>
      <c r="Y557" s="2"/>
      <c r="Z557" s="3"/>
    </row>
    <row r="558">
      <c r="A558" s="1"/>
      <c r="B558" s="1"/>
      <c r="C558" s="2"/>
      <c r="D558" s="3"/>
      <c r="E558" s="2"/>
      <c r="F558" s="3"/>
      <c r="G558" s="2"/>
      <c r="H558" s="3"/>
      <c r="I558" s="2"/>
      <c r="J558" s="3"/>
      <c r="K558" s="2"/>
      <c r="L558" s="3"/>
      <c r="M558" s="2"/>
      <c r="N558" s="3"/>
      <c r="O558" s="2"/>
      <c r="P558" s="3"/>
      <c r="Q558" s="2"/>
      <c r="R558" s="3"/>
      <c r="S558" s="2"/>
      <c r="T558" s="3"/>
      <c r="U558" s="2"/>
      <c r="V558" s="3"/>
      <c r="W558" s="2"/>
      <c r="X558" s="3"/>
      <c r="Y558" s="2"/>
      <c r="Z558" s="3"/>
    </row>
    <row r="559">
      <c r="A559" s="1"/>
      <c r="B559" s="1"/>
      <c r="C559" s="2"/>
      <c r="D559" s="3"/>
      <c r="E559" s="2"/>
      <c r="F559" s="3"/>
      <c r="G559" s="2"/>
      <c r="H559" s="3"/>
      <c r="I559" s="2"/>
      <c r="J559" s="3"/>
      <c r="K559" s="2"/>
      <c r="L559" s="3"/>
      <c r="M559" s="2"/>
      <c r="N559" s="3"/>
      <c r="O559" s="2"/>
      <c r="P559" s="3"/>
      <c r="Q559" s="2"/>
      <c r="R559" s="3"/>
      <c r="S559" s="2"/>
      <c r="T559" s="3"/>
      <c r="U559" s="2"/>
      <c r="V559" s="3"/>
      <c r="W559" s="2"/>
      <c r="X559" s="3"/>
      <c r="Y559" s="2"/>
      <c r="Z559" s="3"/>
    </row>
    <row r="560">
      <c r="A560" s="1"/>
      <c r="B560" s="1"/>
      <c r="C560" s="2"/>
      <c r="D560" s="3"/>
      <c r="E560" s="2"/>
      <c r="F560" s="3"/>
      <c r="G560" s="2"/>
      <c r="H560" s="3"/>
      <c r="I560" s="2"/>
      <c r="J560" s="3"/>
      <c r="K560" s="2"/>
      <c r="L560" s="3"/>
      <c r="M560" s="2"/>
      <c r="N560" s="3"/>
      <c r="O560" s="2"/>
      <c r="P560" s="3"/>
      <c r="Q560" s="2"/>
      <c r="R560" s="3"/>
      <c r="S560" s="2"/>
      <c r="T560" s="3"/>
      <c r="U560" s="2"/>
      <c r="V560" s="3"/>
      <c r="W560" s="2"/>
      <c r="X560" s="3"/>
      <c r="Y560" s="2"/>
      <c r="Z560" s="3"/>
    </row>
    <row r="561">
      <c r="A561" s="1"/>
      <c r="B561" s="1"/>
      <c r="C561" s="2"/>
      <c r="D561" s="3"/>
      <c r="E561" s="2"/>
      <c r="F561" s="3"/>
      <c r="G561" s="2"/>
      <c r="H561" s="3"/>
      <c r="I561" s="2"/>
      <c r="J561" s="3"/>
      <c r="K561" s="2"/>
      <c r="L561" s="3"/>
      <c r="M561" s="2"/>
      <c r="N561" s="3"/>
      <c r="O561" s="2"/>
      <c r="P561" s="3"/>
      <c r="Q561" s="2"/>
      <c r="R561" s="3"/>
      <c r="S561" s="2"/>
      <c r="T561" s="3"/>
      <c r="U561" s="2"/>
      <c r="V561" s="3"/>
      <c r="W561" s="2"/>
      <c r="X561" s="3"/>
      <c r="Y561" s="2"/>
      <c r="Z561" s="3"/>
    </row>
    <row r="562">
      <c r="A562" s="1"/>
      <c r="B562" s="1"/>
      <c r="C562" s="2"/>
      <c r="D562" s="3"/>
      <c r="E562" s="2"/>
      <c r="F562" s="3"/>
      <c r="G562" s="2"/>
      <c r="H562" s="3"/>
      <c r="I562" s="2"/>
      <c r="J562" s="3"/>
      <c r="K562" s="2"/>
      <c r="L562" s="3"/>
      <c r="M562" s="2"/>
      <c r="N562" s="3"/>
      <c r="O562" s="2"/>
      <c r="P562" s="3"/>
      <c r="Q562" s="2"/>
      <c r="R562" s="3"/>
      <c r="S562" s="2"/>
      <c r="T562" s="3"/>
      <c r="U562" s="2"/>
      <c r="V562" s="3"/>
      <c r="W562" s="2"/>
      <c r="X562" s="3"/>
      <c r="Y562" s="2"/>
      <c r="Z562" s="3"/>
    </row>
    <row r="563">
      <c r="A563" s="1"/>
      <c r="B563" s="1"/>
      <c r="C563" s="2"/>
      <c r="D563" s="3"/>
      <c r="E563" s="2"/>
      <c r="F563" s="3"/>
      <c r="G563" s="2"/>
      <c r="H563" s="3"/>
      <c r="I563" s="2"/>
      <c r="J563" s="3"/>
      <c r="K563" s="2"/>
      <c r="L563" s="3"/>
      <c r="M563" s="2"/>
      <c r="N563" s="3"/>
      <c r="O563" s="2"/>
      <c r="P563" s="3"/>
      <c r="Q563" s="2"/>
      <c r="R563" s="3"/>
      <c r="S563" s="2"/>
      <c r="T563" s="3"/>
      <c r="U563" s="2"/>
      <c r="V563" s="3"/>
      <c r="W563" s="2"/>
      <c r="X563" s="3"/>
      <c r="Y563" s="2"/>
      <c r="Z563" s="3"/>
    </row>
    <row r="564">
      <c r="A564" s="1"/>
      <c r="B564" s="1"/>
      <c r="C564" s="2"/>
      <c r="D564" s="3"/>
      <c r="E564" s="2"/>
      <c r="F564" s="3"/>
      <c r="G564" s="2"/>
      <c r="H564" s="3"/>
      <c r="I564" s="2"/>
      <c r="J564" s="3"/>
      <c r="K564" s="2"/>
      <c r="L564" s="3"/>
      <c r="M564" s="2"/>
      <c r="N564" s="3"/>
      <c r="O564" s="2"/>
      <c r="P564" s="3"/>
      <c r="Q564" s="2"/>
      <c r="R564" s="3"/>
      <c r="S564" s="2"/>
      <c r="T564" s="3"/>
      <c r="U564" s="2"/>
      <c r="V564" s="3"/>
      <c r="W564" s="2"/>
      <c r="X564" s="3"/>
      <c r="Y564" s="2"/>
      <c r="Z564" s="3"/>
    </row>
    <row r="565">
      <c r="A565" s="1"/>
      <c r="B565" s="1"/>
      <c r="C565" s="2"/>
      <c r="D565" s="3"/>
      <c r="E565" s="2"/>
      <c r="F565" s="3"/>
      <c r="G565" s="2"/>
      <c r="H565" s="3"/>
      <c r="I565" s="2"/>
      <c r="J565" s="3"/>
      <c r="K565" s="2"/>
      <c r="L565" s="3"/>
      <c r="M565" s="2"/>
      <c r="N565" s="3"/>
      <c r="O565" s="2"/>
      <c r="P565" s="3"/>
      <c r="Q565" s="2"/>
      <c r="R565" s="3"/>
      <c r="S565" s="2"/>
      <c r="T565" s="3"/>
      <c r="U565" s="2"/>
      <c r="V565" s="3"/>
      <c r="W565" s="2"/>
      <c r="X565" s="3"/>
      <c r="Y565" s="2"/>
      <c r="Z565" s="3"/>
    </row>
    <row r="566">
      <c r="A566" s="1"/>
      <c r="B566" s="1"/>
      <c r="C566" s="2"/>
      <c r="D566" s="3"/>
      <c r="E566" s="2"/>
      <c r="F566" s="3"/>
      <c r="G566" s="2"/>
      <c r="H566" s="3"/>
      <c r="I566" s="2"/>
      <c r="J566" s="3"/>
      <c r="K566" s="2"/>
      <c r="L566" s="3"/>
      <c r="M566" s="2"/>
      <c r="N566" s="3"/>
      <c r="O566" s="2"/>
      <c r="P566" s="3"/>
      <c r="Q566" s="2"/>
      <c r="R566" s="3"/>
      <c r="S566" s="2"/>
      <c r="T566" s="3"/>
      <c r="U566" s="2"/>
      <c r="V566" s="3"/>
      <c r="W566" s="2"/>
      <c r="X566" s="3"/>
      <c r="Y566" s="2"/>
      <c r="Z566" s="3"/>
    </row>
    <row r="567">
      <c r="A567" s="1"/>
      <c r="B567" s="1"/>
      <c r="C567" s="2"/>
      <c r="D567" s="3"/>
      <c r="E567" s="2"/>
      <c r="F567" s="3"/>
      <c r="G567" s="2"/>
      <c r="H567" s="3"/>
      <c r="I567" s="2"/>
      <c r="J567" s="3"/>
      <c r="K567" s="2"/>
      <c r="L567" s="3"/>
      <c r="M567" s="2"/>
      <c r="N567" s="3"/>
      <c r="O567" s="2"/>
      <c r="P567" s="3"/>
      <c r="Q567" s="2"/>
      <c r="R567" s="3"/>
      <c r="S567" s="2"/>
      <c r="T567" s="3"/>
      <c r="U567" s="2"/>
      <c r="V567" s="3"/>
      <c r="W567" s="2"/>
      <c r="X567" s="3"/>
      <c r="Y567" s="2"/>
      <c r="Z567" s="3"/>
    </row>
    <row r="568">
      <c r="A568" s="1"/>
      <c r="B568" s="1"/>
      <c r="C568" s="2"/>
      <c r="D568" s="3"/>
      <c r="E568" s="2"/>
      <c r="F568" s="3"/>
      <c r="G568" s="2"/>
      <c r="H568" s="3"/>
      <c r="I568" s="2"/>
      <c r="J568" s="3"/>
      <c r="K568" s="2"/>
      <c r="L568" s="3"/>
      <c r="M568" s="2"/>
      <c r="N568" s="3"/>
      <c r="O568" s="2"/>
      <c r="P568" s="3"/>
      <c r="Q568" s="2"/>
      <c r="R568" s="3"/>
      <c r="S568" s="2"/>
      <c r="T568" s="3"/>
      <c r="U568" s="2"/>
      <c r="V568" s="3"/>
      <c r="W568" s="2"/>
      <c r="X568" s="3"/>
      <c r="Y568" s="2"/>
      <c r="Z568" s="3"/>
    </row>
    <row r="569">
      <c r="A569" s="1"/>
      <c r="B569" s="1"/>
      <c r="C569" s="2"/>
      <c r="D569" s="3"/>
      <c r="E569" s="2"/>
      <c r="F569" s="3"/>
      <c r="G569" s="2"/>
      <c r="H569" s="3"/>
      <c r="I569" s="2"/>
      <c r="J569" s="3"/>
      <c r="K569" s="2"/>
      <c r="L569" s="3"/>
      <c r="M569" s="2"/>
      <c r="N569" s="3"/>
      <c r="O569" s="2"/>
      <c r="P569" s="3"/>
      <c r="Q569" s="2"/>
      <c r="R569" s="3"/>
      <c r="S569" s="2"/>
      <c r="T569" s="3"/>
      <c r="U569" s="2"/>
      <c r="V569" s="3"/>
      <c r="W569" s="2"/>
      <c r="X569" s="3"/>
      <c r="Y569" s="2"/>
      <c r="Z569" s="3"/>
    </row>
    <row r="570">
      <c r="A570" s="1"/>
      <c r="B570" s="1"/>
      <c r="C570" s="2"/>
      <c r="D570" s="3"/>
      <c r="E570" s="2"/>
      <c r="F570" s="3"/>
      <c r="G570" s="2"/>
      <c r="H570" s="3"/>
      <c r="I570" s="2"/>
      <c r="J570" s="3"/>
      <c r="K570" s="2"/>
      <c r="L570" s="3"/>
      <c r="M570" s="2"/>
      <c r="N570" s="3"/>
      <c r="O570" s="2"/>
      <c r="P570" s="3"/>
      <c r="Q570" s="2"/>
      <c r="R570" s="3"/>
      <c r="S570" s="2"/>
      <c r="T570" s="3"/>
      <c r="U570" s="2"/>
      <c r="V570" s="3"/>
      <c r="W570" s="2"/>
      <c r="X570" s="3"/>
      <c r="Y570" s="2"/>
      <c r="Z570" s="3"/>
    </row>
    <row r="571">
      <c r="A571" s="1"/>
      <c r="B571" s="1"/>
      <c r="C571" s="2"/>
      <c r="D571" s="3"/>
      <c r="E571" s="2"/>
      <c r="F571" s="3"/>
      <c r="G571" s="2"/>
      <c r="H571" s="3"/>
      <c r="I571" s="2"/>
      <c r="J571" s="3"/>
      <c r="K571" s="2"/>
      <c r="L571" s="3"/>
      <c r="M571" s="2"/>
      <c r="N571" s="3"/>
      <c r="O571" s="2"/>
      <c r="P571" s="3"/>
      <c r="Q571" s="2"/>
      <c r="R571" s="3"/>
      <c r="S571" s="2"/>
      <c r="T571" s="3"/>
      <c r="U571" s="2"/>
      <c r="V571" s="3"/>
      <c r="W571" s="2"/>
      <c r="X571" s="3"/>
      <c r="Y571" s="2"/>
      <c r="Z571" s="3"/>
    </row>
    <row r="572">
      <c r="A572" s="1"/>
      <c r="B572" s="1"/>
      <c r="C572" s="2"/>
      <c r="D572" s="3"/>
      <c r="E572" s="2"/>
      <c r="F572" s="3"/>
      <c r="G572" s="2"/>
      <c r="H572" s="3"/>
      <c r="I572" s="2"/>
      <c r="J572" s="3"/>
      <c r="K572" s="2"/>
      <c r="L572" s="3"/>
      <c r="M572" s="2"/>
      <c r="N572" s="3"/>
      <c r="O572" s="2"/>
      <c r="P572" s="3"/>
      <c r="Q572" s="2"/>
      <c r="R572" s="3"/>
      <c r="S572" s="2"/>
      <c r="T572" s="3"/>
      <c r="U572" s="2"/>
      <c r="V572" s="3"/>
      <c r="W572" s="2"/>
      <c r="X572" s="3"/>
      <c r="Y572" s="2"/>
      <c r="Z572" s="3"/>
    </row>
    <row r="573">
      <c r="A573" s="1"/>
      <c r="B573" s="1"/>
      <c r="C573" s="2"/>
      <c r="D573" s="3"/>
      <c r="E573" s="2"/>
      <c r="F573" s="3"/>
      <c r="G573" s="2"/>
      <c r="H573" s="3"/>
      <c r="I573" s="2"/>
      <c r="J573" s="3"/>
      <c r="K573" s="2"/>
      <c r="L573" s="3"/>
      <c r="M573" s="2"/>
      <c r="N573" s="3"/>
      <c r="O573" s="2"/>
      <c r="P573" s="3"/>
      <c r="Q573" s="2"/>
      <c r="R573" s="3"/>
      <c r="S573" s="2"/>
      <c r="T573" s="3"/>
      <c r="U573" s="2"/>
      <c r="V573" s="3"/>
      <c r="W573" s="2"/>
      <c r="X573" s="3"/>
      <c r="Y573" s="2"/>
      <c r="Z573" s="3"/>
    </row>
    <row r="574">
      <c r="A574" s="1"/>
      <c r="B574" s="1"/>
      <c r="C574" s="2"/>
      <c r="D574" s="3"/>
      <c r="E574" s="2"/>
      <c r="F574" s="3"/>
      <c r="G574" s="2"/>
      <c r="H574" s="3"/>
      <c r="I574" s="2"/>
      <c r="J574" s="3"/>
      <c r="K574" s="2"/>
      <c r="L574" s="3"/>
      <c r="M574" s="2"/>
      <c r="N574" s="3"/>
      <c r="O574" s="2"/>
      <c r="P574" s="3"/>
      <c r="Q574" s="2"/>
      <c r="R574" s="3"/>
      <c r="S574" s="2"/>
      <c r="T574" s="3"/>
      <c r="U574" s="2"/>
      <c r="V574" s="3"/>
      <c r="W574" s="2"/>
      <c r="X574" s="3"/>
      <c r="Y574" s="2"/>
      <c r="Z574" s="3"/>
    </row>
    <row r="575">
      <c r="A575" s="1"/>
      <c r="B575" s="1"/>
      <c r="C575" s="2"/>
      <c r="D575" s="3"/>
      <c r="E575" s="2"/>
      <c r="F575" s="3"/>
      <c r="G575" s="2"/>
      <c r="H575" s="3"/>
      <c r="I575" s="2"/>
      <c r="J575" s="3"/>
      <c r="K575" s="2"/>
      <c r="L575" s="3"/>
      <c r="M575" s="2"/>
      <c r="N575" s="3"/>
      <c r="O575" s="2"/>
      <c r="P575" s="3"/>
      <c r="Q575" s="2"/>
      <c r="R575" s="3"/>
      <c r="S575" s="2"/>
      <c r="T575" s="3"/>
      <c r="U575" s="2"/>
      <c r="V575" s="3"/>
      <c r="W575" s="2"/>
      <c r="X575" s="3"/>
      <c r="Y575" s="2"/>
      <c r="Z575" s="3"/>
    </row>
    <row r="576">
      <c r="A576" s="1"/>
      <c r="B576" s="1"/>
      <c r="C576" s="2"/>
      <c r="D576" s="3"/>
      <c r="E576" s="2"/>
      <c r="F576" s="3"/>
      <c r="G576" s="2"/>
      <c r="H576" s="3"/>
      <c r="I576" s="2"/>
      <c r="J576" s="3"/>
      <c r="K576" s="2"/>
      <c r="L576" s="3"/>
      <c r="M576" s="2"/>
      <c r="N576" s="3"/>
      <c r="O576" s="2"/>
      <c r="P576" s="3"/>
      <c r="Q576" s="2"/>
      <c r="R576" s="3"/>
      <c r="S576" s="2"/>
      <c r="T576" s="3"/>
      <c r="U576" s="2"/>
      <c r="V576" s="3"/>
      <c r="W576" s="2"/>
      <c r="X576" s="3"/>
      <c r="Y576" s="2"/>
      <c r="Z576" s="3"/>
    </row>
    <row r="577">
      <c r="A577" s="1"/>
      <c r="B577" s="1"/>
      <c r="C577" s="2"/>
      <c r="D577" s="3"/>
      <c r="E577" s="2"/>
      <c r="F577" s="3"/>
      <c r="G577" s="2"/>
      <c r="H577" s="3"/>
      <c r="I577" s="2"/>
      <c r="J577" s="3"/>
      <c r="K577" s="2"/>
      <c r="L577" s="3"/>
      <c r="M577" s="2"/>
      <c r="N577" s="3"/>
      <c r="O577" s="2"/>
      <c r="P577" s="3"/>
      <c r="Q577" s="2"/>
      <c r="R577" s="3"/>
      <c r="S577" s="2"/>
      <c r="T577" s="3"/>
      <c r="U577" s="2"/>
      <c r="V577" s="3"/>
      <c r="W577" s="2"/>
      <c r="X577" s="3"/>
      <c r="Y577" s="2"/>
      <c r="Z577" s="3"/>
    </row>
    <row r="578">
      <c r="A578" s="1"/>
      <c r="B578" s="1"/>
      <c r="C578" s="2"/>
      <c r="D578" s="3"/>
      <c r="E578" s="2"/>
      <c r="F578" s="3"/>
      <c r="G578" s="2"/>
      <c r="H578" s="3"/>
      <c r="I578" s="2"/>
      <c r="J578" s="3"/>
      <c r="K578" s="2"/>
      <c r="L578" s="3"/>
      <c r="M578" s="2"/>
      <c r="N578" s="3"/>
      <c r="O578" s="2"/>
      <c r="P578" s="3"/>
      <c r="Q578" s="2"/>
      <c r="R578" s="3"/>
      <c r="S578" s="2"/>
      <c r="T578" s="3"/>
      <c r="U578" s="2"/>
      <c r="V578" s="3"/>
      <c r="W578" s="2"/>
      <c r="X578" s="3"/>
      <c r="Y578" s="2"/>
      <c r="Z578" s="3"/>
    </row>
    <row r="579">
      <c r="A579" s="1"/>
      <c r="B579" s="1"/>
      <c r="C579" s="2"/>
      <c r="D579" s="3"/>
      <c r="E579" s="2"/>
      <c r="F579" s="3"/>
      <c r="G579" s="2"/>
      <c r="H579" s="3"/>
      <c r="I579" s="2"/>
      <c r="J579" s="3"/>
      <c r="K579" s="2"/>
      <c r="L579" s="3"/>
      <c r="M579" s="2"/>
      <c r="N579" s="3"/>
      <c r="O579" s="2"/>
      <c r="P579" s="3"/>
      <c r="Q579" s="2"/>
      <c r="R579" s="3"/>
      <c r="S579" s="2"/>
      <c r="T579" s="3"/>
      <c r="U579" s="2"/>
      <c r="V579" s="3"/>
      <c r="W579" s="2"/>
      <c r="X579" s="3"/>
      <c r="Y579" s="2"/>
      <c r="Z579" s="3"/>
    </row>
    <row r="580">
      <c r="A580" s="1"/>
      <c r="B580" s="1"/>
      <c r="C580" s="2"/>
      <c r="D580" s="3"/>
      <c r="E580" s="2"/>
      <c r="F580" s="3"/>
      <c r="G580" s="2"/>
      <c r="H580" s="3"/>
      <c r="I580" s="2"/>
      <c r="J580" s="3"/>
      <c r="K580" s="2"/>
      <c r="L580" s="3"/>
      <c r="M580" s="2"/>
      <c r="N580" s="3"/>
      <c r="O580" s="2"/>
      <c r="P580" s="3"/>
      <c r="Q580" s="2"/>
      <c r="R580" s="3"/>
      <c r="S580" s="2"/>
      <c r="T580" s="3"/>
      <c r="U580" s="2"/>
      <c r="V580" s="3"/>
      <c r="W580" s="2"/>
      <c r="X580" s="3"/>
      <c r="Y580" s="2"/>
      <c r="Z580" s="3"/>
    </row>
    <row r="581">
      <c r="A581" s="1"/>
      <c r="B581" s="1"/>
      <c r="C581" s="2"/>
      <c r="D581" s="3"/>
      <c r="E581" s="2"/>
      <c r="F581" s="3"/>
      <c r="G581" s="2"/>
      <c r="H581" s="3"/>
      <c r="I581" s="2"/>
      <c r="J581" s="3"/>
      <c r="K581" s="2"/>
      <c r="L581" s="3"/>
      <c r="M581" s="2"/>
      <c r="N581" s="3"/>
      <c r="O581" s="2"/>
      <c r="P581" s="3"/>
      <c r="Q581" s="2"/>
      <c r="R581" s="3"/>
      <c r="S581" s="2"/>
      <c r="T581" s="3"/>
      <c r="U581" s="2"/>
      <c r="V581" s="3"/>
      <c r="W581" s="2"/>
      <c r="X581" s="3"/>
      <c r="Y581" s="2"/>
      <c r="Z581" s="3"/>
    </row>
    <row r="582">
      <c r="A582" s="1"/>
      <c r="B582" s="1"/>
      <c r="C582" s="2"/>
      <c r="D582" s="3"/>
      <c r="E582" s="2"/>
      <c r="F582" s="3"/>
      <c r="G582" s="2"/>
      <c r="H582" s="3"/>
      <c r="I582" s="2"/>
      <c r="J582" s="3"/>
      <c r="K582" s="2"/>
      <c r="L582" s="3"/>
      <c r="M582" s="2"/>
      <c r="N582" s="3"/>
      <c r="O582" s="2"/>
      <c r="P582" s="3"/>
      <c r="Q582" s="2"/>
      <c r="R582" s="3"/>
      <c r="S582" s="2"/>
      <c r="T582" s="3"/>
      <c r="U582" s="2"/>
      <c r="V582" s="3"/>
      <c r="W582" s="2"/>
      <c r="X582" s="3"/>
      <c r="Y582" s="2"/>
      <c r="Z582" s="3"/>
    </row>
    <row r="583">
      <c r="A583" s="1"/>
      <c r="B583" s="1"/>
      <c r="C583" s="2"/>
      <c r="D583" s="3"/>
      <c r="E583" s="2"/>
      <c r="F583" s="3"/>
      <c r="G583" s="2"/>
      <c r="H583" s="3"/>
      <c r="I583" s="2"/>
      <c r="J583" s="3"/>
      <c r="K583" s="2"/>
      <c r="L583" s="3"/>
      <c r="M583" s="2"/>
      <c r="N583" s="3"/>
      <c r="O583" s="2"/>
      <c r="P583" s="3"/>
      <c r="Q583" s="2"/>
      <c r="R583" s="3"/>
      <c r="S583" s="2"/>
      <c r="T583" s="3"/>
      <c r="U583" s="2"/>
      <c r="V583" s="3"/>
      <c r="W583" s="2"/>
      <c r="X583" s="3"/>
      <c r="Y583" s="2"/>
      <c r="Z583" s="3"/>
    </row>
    <row r="584">
      <c r="A584" s="1"/>
      <c r="B584" s="1"/>
      <c r="C584" s="2"/>
      <c r="D584" s="3"/>
      <c r="E584" s="2"/>
      <c r="F584" s="3"/>
      <c r="G584" s="2"/>
      <c r="H584" s="3"/>
      <c r="I584" s="2"/>
      <c r="J584" s="3"/>
      <c r="K584" s="2"/>
      <c r="L584" s="3"/>
      <c r="M584" s="2"/>
      <c r="N584" s="3"/>
      <c r="O584" s="2"/>
      <c r="P584" s="3"/>
      <c r="Q584" s="2"/>
      <c r="R584" s="3"/>
      <c r="S584" s="2"/>
      <c r="T584" s="3"/>
      <c r="U584" s="2"/>
      <c r="V584" s="3"/>
      <c r="W584" s="2"/>
      <c r="X584" s="3"/>
      <c r="Y584" s="2"/>
      <c r="Z584" s="3"/>
    </row>
    <row r="585">
      <c r="A585" s="1"/>
      <c r="B585" s="1"/>
      <c r="C585" s="2"/>
      <c r="D585" s="3"/>
      <c r="E585" s="2"/>
      <c r="F585" s="3"/>
      <c r="G585" s="2"/>
      <c r="H585" s="3"/>
      <c r="I585" s="2"/>
      <c r="J585" s="3"/>
      <c r="K585" s="2"/>
      <c r="L585" s="3"/>
      <c r="M585" s="2"/>
      <c r="N585" s="3"/>
      <c r="O585" s="2"/>
      <c r="P585" s="3"/>
      <c r="Q585" s="2"/>
      <c r="R585" s="3"/>
      <c r="S585" s="2"/>
      <c r="T585" s="3"/>
      <c r="U585" s="2"/>
      <c r="V585" s="3"/>
      <c r="W585" s="2"/>
      <c r="X585" s="3"/>
      <c r="Y585" s="2"/>
      <c r="Z585" s="3"/>
    </row>
    <row r="586">
      <c r="A586" s="1"/>
      <c r="B586" s="1"/>
      <c r="C586" s="2"/>
      <c r="D586" s="3"/>
      <c r="E586" s="2"/>
      <c r="F586" s="3"/>
      <c r="G586" s="2"/>
      <c r="H586" s="3"/>
      <c r="I586" s="2"/>
      <c r="J586" s="3"/>
      <c r="K586" s="2"/>
      <c r="L586" s="3"/>
      <c r="M586" s="2"/>
      <c r="N586" s="3"/>
      <c r="O586" s="2"/>
      <c r="P586" s="3"/>
      <c r="Q586" s="2"/>
      <c r="R586" s="3"/>
      <c r="S586" s="2"/>
      <c r="T586" s="3"/>
      <c r="U586" s="2"/>
      <c r="V586" s="3"/>
      <c r="W586" s="2"/>
      <c r="X586" s="3"/>
      <c r="Y586" s="2"/>
      <c r="Z586" s="3"/>
    </row>
    <row r="587">
      <c r="A587" s="1"/>
      <c r="B587" s="1"/>
      <c r="C587" s="2"/>
      <c r="D587" s="3"/>
      <c r="E587" s="2"/>
      <c r="F587" s="3"/>
      <c r="G587" s="2"/>
      <c r="H587" s="3"/>
      <c r="I587" s="2"/>
      <c r="J587" s="3"/>
      <c r="K587" s="2"/>
      <c r="L587" s="3"/>
      <c r="M587" s="2"/>
      <c r="N587" s="3"/>
      <c r="O587" s="2"/>
      <c r="P587" s="3"/>
      <c r="Q587" s="2"/>
      <c r="R587" s="3"/>
      <c r="S587" s="2"/>
      <c r="T587" s="3"/>
      <c r="U587" s="2"/>
      <c r="V587" s="3"/>
      <c r="W587" s="2"/>
      <c r="X587" s="3"/>
      <c r="Y587" s="2"/>
      <c r="Z587" s="3"/>
    </row>
    <row r="588">
      <c r="A588" s="1"/>
      <c r="B588" s="1"/>
      <c r="C588" s="2"/>
      <c r="D588" s="3"/>
      <c r="E588" s="2"/>
      <c r="F588" s="3"/>
      <c r="G588" s="2"/>
      <c r="H588" s="3"/>
      <c r="I588" s="2"/>
      <c r="J588" s="3"/>
      <c r="K588" s="2"/>
      <c r="L588" s="3"/>
      <c r="M588" s="2"/>
      <c r="N588" s="3"/>
      <c r="O588" s="2"/>
      <c r="P588" s="3"/>
      <c r="Q588" s="2"/>
      <c r="R588" s="3"/>
      <c r="S588" s="2"/>
      <c r="T588" s="3"/>
      <c r="U588" s="2"/>
      <c r="V588" s="3"/>
      <c r="W588" s="2"/>
      <c r="X588" s="3"/>
      <c r="Y588" s="2"/>
      <c r="Z588" s="3"/>
    </row>
    <row r="589">
      <c r="A589" s="1"/>
      <c r="B589" s="1"/>
      <c r="C589" s="2"/>
      <c r="D589" s="3"/>
      <c r="E589" s="2"/>
      <c r="F589" s="3"/>
      <c r="G589" s="2"/>
      <c r="H589" s="3"/>
      <c r="I589" s="2"/>
      <c r="J589" s="3"/>
      <c r="K589" s="2"/>
      <c r="L589" s="3"/>
      <c r="M589" s="2"/>
      <c r="N589" s="3"/>
      <c r="O589" s="2"/>
      <c r="P589" s="3"/>
      <c r="Q589" s="2"/>
      <c r="R589" s="3"/>
      <c r="S589" s="2"/>
      <c r="T589" s="3"/>
      <c r="U589" s="2"/>
      <c r="V589" s="3"/>
      <c r="W589" s="2"/>
      <c r="X589" s="3"/>
      <c r="Y589" s="2"/>
      <c r="Z589" s="3"/>
    </row>
    <row r="590">
      <c r="A590" s="1"/>
      <c r="B590" s="1"/>
      <c r="C590" s="2"/>
      <c r="D590" s="3"/>
      <c r="E590" s="2"/>
      <c r="F590" s="3"/>
      <c r="G590" s="2"/>
      <c r="H590" s="3"/>
      <c r="I590" s="2"/>
      <c r="J590" s="3"/>
      <c r="K590" s="2"/>
      <c r="L590" s="3"/>
      <c r="M590" s="2"/>
      <c r="N590" s="3"/>
      <c r="O590" s="2"/>
      <c r="P590" s="3"/>
      <c r="Q590" s="2"/>
      <c r="R590" s="3"/>
      <c r="S590" s="2"/>
      <c r="T590" s="3"/>
      <c r="U590" s="2"/>
      <c r="V590" s="3"/>
      <c r="W590" s="2"/>
      <c r="X590" s="3"/>
      <c r="Y590" s="2"/>
      <c r="Z590" s="3"/>
    </row>
    <row r="591">
      <c r="A591" s="1"/>
      <c r="B591" s="1"/>
      <c r="C591" s="2"/>
      <c r="D591" s="3"/>
      <c r="E591" s="2"/>
      <c r="F591" s="3"/>
      <c r="G591" s="2"/>
      <c r="H591" s="3"/>
      <c r="I591" s="2"/>
      <c r="J591" s="3"/>
      <c r="K591" s="2"/>
      <c r="L591" s="3"/>
      <c r="M591" s="2"/>
      <c r="N591" s="3"/>
      <c r="O591" s="2"/>
      <c r="P591" s="3"/>
      <c r="Q591" s="2"/>
      <c r="R591" s="3"/>
      <c r="S591" s="2"/>
      <c r="T591" s="3"/>
      <c r="U591" s="2"/>
      <c r="V591" s="3"/>
      <c r="W591" s="2"/>
      <c r="X591" s="3"/>
      <c r="Y591" s="2"/>
      <c r="Z591" s="3"/>
    </row>
    <row r="592">
      <c r="A592" s="1"/>
      <c r="B592" s="1"/>
      <c r="C592" s="2"/>
      <c r="D592" s="3"/>
      <c r="E592" s="2"/>
      <c r="F592" s="3"/>
      <c r="G592" s="2"/>
      <c r="H592" s="3"/>
      <c r="I592" s="2"/>
      <c r="J592" s="3"/>
      <c r="K592" s="2"/>
      <c r="L592" s="3"/>
      <c r="M592" s="2"/>
      <c r="N592" s="3"/>
      <c r="O592" s="2"/>
      <c r="P592" s="3"/>
      <c r="Q592" s="2"/>
      <c r="R592" s="3"/>
      <c r="S592" s="2"/>
      <c r="T592" s="3"/>
      <c r="U592" s="2"/>
      <c r="V592" s="3"/>
      <c r="W592" s="2"/>
      <c r="X592" s="3"/>
      <c r="Y592" s="2"/>
      <c r="Z592" s="3"/>
    </row>
    <row r="593">
      <c r="A593" s="1"/>
      <c r="B593" s="1"/>
      <c r="C593" s="2"/>
      <c r="D593" s="3"/>
      <c r="E593" s="2"/>
      <c r="F593" s="3"/>
      <c r="G593" s="2"/>
      <c r="H593" s="3"/>
      <c r="I593" s="2"/>
      <c r="J593" s="3"/>
      <c r="K593" s="2"/>
      <c r="L593" s="3"/>
      <c r="M593" s="2"/>
      <c r="N593" s="3"/>
      <c r="O593" s="2"/>
      <c r="P593" s="3"/>
      <c r="Q593" s="2"/>
      <c r="R593" s="3"/>
      <c r="S593" s="2"/>
      <c r="T593" s="3"/>
      <c r="U593" s="2"/>
      <c r="V593" s="3"/>
      <c r="W593" s="2"/>
      <c r="X593" s="3"/>
      <c r="Y593" s="2"/>
      <c r="Z593" s="3"/>
    </row>
    <row r="594">
      <c r="A594" s="1"/>
      <c r="B594" s="1"/>
      <c r="C594" s="2"/>
      <c r="D594" s="3"/>
      <c r="E594" s="2"/>
      <c r="F594" s="3"/>
      <c r="G594" s="2"/>
      <c r="H594" s="3"/>
      <c r="I594" s="2"/>
      <c r="J594" s="3"/>
      <c r="K594" s="2"/>
      <c r="L594" s="3"/>
      <c r="M594" s="2"/>
      <c r="N594" s="3"/>
      <c r="O594" s="2"/>
      <c r="P594" s="3"/>
      <c r="Q594" s="2"/>
      <c r="R594" s="3"/>
      <c r="S594" s="2"/>
      <c r="T594" s="3"/>
      <c r="U594" s="2"/>
      <c r="V594" s="3"/>
      <c r="W594" s="2"/>
      <c r="X594" s="3"/>
      <c r="Y594" s="2"/>
      <c r="Z594" s="3"/>
    </row>
    <row r="595">
      <c r="A595" s="1"/>
      <c r="B595" s="1"/>
      <c r="C595" s="2"/>
      <c r="D595" s="3"/>
      <c r="E595" s="2"/>
      <c r="F595" s="3"/>
      <c r="G595" s="2"/>
      <c r="H595" s="3"/>
      <c r="I595" s="2"/>
      <c r="J595" s="3"/>
      <c r="K595" s="2"/>
      <c r="L595" s="3"/>
      <c r="M595" s="2"/>
      <c r="N595" s="3"/>
      <c r="O595" s="2"/>
      <c r="P595" s="3"/>
      <c r="Q595" s="2"/>
      <c r="R595" s="3"/>
      <c r="S595" s="2"/>
      <c r="T595" s="3"/>
      <c r="U595" s="2"/>
      <c r="V595" s="3"/>
      <c r="W595" s="2"/>
      <c r="X595" s="3"/>
      <c r="Y595" s="2"/>
      <c r="Z595" s="3"/>
    </row>
    <row r="596">
      <c r="A596" s="1"/>
      <c r="B596" s="1"/>
      <c r="C596" s="2"/>
      <c r="D596" s="3"/>
      <c r="E596" s="2"/>
      <c r="F596" s="3"/>
      <c r="G596" s="2"/>
      <c r="H596" s="3"/>
      <c r="I596" s="2"/>
      <c r="J596" s="3"/>
      <c r="K596" s="2"/>
      <c r="L596" s="3"/>
      <c r="M596" s="2"/>
      <c r="N596" s="3"/>
      <c r="O596" s="2"/>
      <c r="P596" s="3"/>
      <c r="Q596" s="2"/>
      <c r="R596" s="3"/>
      <c r="S596" s="2"/>
      <c r="T596" s="3"/>
      <c r="U596" s="2"/>
      <c r="V596" s="3"/>
      <c r="W596" s="2"/>
      <c r="X596" s="3"/>
      <c r="Y596" s="2"/>
      <c r="Z596" s="3"/>
    </row>
    <row r="597">
      <c r="A597" s="1"/>
      <c r="B597" s="1"/>
      <c r="C597" s="2"/>
      <c r="D597" s="3"/>
      <c r="E597" s="2"/>
      <c r="F597" s="3"/>
      <c r="G597" s="2"/>
      <c r="H597" s="3"/>
      <c r="I597" s="2"/>
      <c r="J597" s="3"/>
      <c r="K597" s="2"/>
      <c r="L597" s="3"/>
      <c r="M597" s="2"/>
      <c r="N597" s="3"/>
      <c r="O597" s="2"/>
      <c r="P597" s="3"/>
      <c r="Q597" s="2"/>
      <c r="R597" s="3"/>
      <c r="S597" s="2"/>
      <c r="T597" s="3"/>
      <c r="U597" s="2"/>
      <c r="V597" s="3"/>
      <c r="W597" s="2"/>
      <c r="X597" s="3"/>
      <c r="Y597" s="2"/>
      <c r="Z597" s="3"/>
    </row>
    <row r="598">
      <c r="A598" s="1"/>
      <c r="B598" s="1"/>
      <c r="C598" s="2"/>
      <c r="D598" s="3"/>
      <c r="E598" s="2"/>
      <c r="F598" s="3"/>
      <c r="G598" s="2"/>
      <c r="H598" s="3"/>
      <c r="I598" s="2"/>
      <c r="J598" s="3"/>
      <c r="K598" s="2"/>
      <c r="L598" s="3"/>
      <c r="M598" s="2"/>
      <c r="N598" s="3"/>
      <c r="O598" s="2"/>
      <c r="P598" s="3"/>
      <c r="Q598" s="2"/>
      <c r="R598" s="3"/>
      <c r="S598" s="2"/>
      <c r="T598" s="3"/>
      <c r="U598" s="2"/>
      <c r="V598" s="3"/>
      <c r="W598" s="2"/>
      <c r="X598" s="3"/>
      <c r="Y598" s="2"/>
      <c r="Z598" s="3"/>
    </row>
    <row r="599">
      <c r="A599" s="1"/>
      <c r="B599" s="1"/>
      <c r="C599" s="2"/>
      <c r="D599" s="3"/>
      <c r="E599" s="2"/>
      <c r="F599" s="3"/>
      <c r="G599" s="2"/>
      <c r="H599" s="3"/>
      <c r="I599" s="2"/>
      <c r="J599" s="3"/>
      <c r="K599" s="2"/>
      <c r="L599" s="3"/>
      <c r="M599" s="2"/>
      <c r="N599" s="3"/>
      <c r="O599" s="2"/>
      <c r="P599" s="3"/>
      <c r="Q599" s="2"/>
      <c r="R599" s="3"/>
      <c r="S599" s="2"/>
      <c r="T599" s="3"/>
      <c r="U599" s="2"/>
      <c r="V599" s="3"/>
      <c r="W599" s="2"/>
      <c r="X599" s="3"/>
      <c r="Y599" s="2"/>
      <c r="Z599" s="3"/>
    </row>
    <row r="600">
      <c r="A600" s="1"/>
      <c r="B600" s="1"/>
      <c r="C600" s="2"/>
      <c r="D600" s="3"/>
      <c r="E600" s="2"/>
      <c r="F600" s="3"/>
      <c r="G600" s="2"/>
      <c r="H600" s="3"/>
      <c r="I600" s="2"/>
      <c r="J600" s="3"/>
      <c r="K600" s="2"/>
      <c r="L600" s="3"/>
      <c r="M600" s="2"/>
      <c r="N600" s="3"/>
      <c r="O600" s="2"/>
      <c r="P600" s="3"/>
      <c r="Q600" s="2"/>
      <c r="R600" s="3"/>
      <c r="S600" s="2"/>
      <c r="T600" s="3"/>
      <c r="U600" s="2"/>
      <c r="V600" s="3"/>
      <c r="W600" s="2"/>
      <c r="X600" s="3"/>
      <c r="Y600" s="2"/>
      <c r="Z600" s="3"/>
    </row>
    <row r="601">
      <c r="A601" s="1"/>
      <c r="B601" s="1"/>
      <c r="C601" s="2"/>
      <c r="D601" s="3"/>
      <c r="E601" s="2"/>
      <c r="F601" s="3"/>
      <c r="G601" s="2"/>
      <c r="H601" s="3"/>
      <c r="I601" s="2"/>
      <c r="J601" s="3"/>
      <c r="K601" s="2"/>
      <c r="L601" s="3"/>
      <c r="M601" s="2"/>
      <c r="N601" s="3"/>
      <c r="O601" s="2"/>
      <c r="P601" s="3"/>
      <c r="Q601" s="2"/>
      <c r="R601" s="3"/>
      <c r="S601" s="2"/>
      <c r="T601" s="3"/>
      <c r="U601" s="2"/>
      <c r="V601" s="3"/>
      <c r="W601" s="2"/>
      <c r="X601" s="3"/>
      <c r="Y601" s="2"/>
      <c r="Z601" s="3"/>
    </row>
    <row r="602">
      <c r="A602" s="1"/>
      <c r="B602" s="1"/>
      <c r="C602" s="2"/>
      <c r="D602" s="3"/>
      <c r="E602" s="2"/>
      <c r="F602" s="3"/>
      <c r="G602" s="2"/>
      <c r="H602" s="3"/>
      <c r="I602" s="2"/>
      <c r="J602" s="3"/>
      <c r="K602" s="2"/>
      <c r="L602" s="3"/>
      <c r="M602" s="2"/>
      <c r="N602" s="3"/>
      <c r="O602" s="2"/>
      <c r="P602" s="3"/>
      <c r="Q602" s="2"/>
      <c r="R602" s="3"/>
      <c r="S602" s="2"/>
      <c r="T602" s="3"/>
      <c r="U602" s="2"/>
      <c r="V602" s="3"/>
      <c r="W602" s="2"/>
      <c r="X602" s="3"/>
      <c r="Y602" s="2"/>
      <c r="Z602" s="3"/>
    </row>
    <row r="603">
      <c r="A603" s="1"/>
      <c r="B603" s="1"/>
      <c r="C603" s="2"/>
      <c r="D603" s="3"/>
      <c r="E603" s="2"/>
      <c r="F603" s="3"/>
      <c r="G603" s="2"/>
      <c r="H603" s="3"/>
      <c r="I603" s="2"/>
      <c r="J603" s="3"/>
      <c r="K603" s="2"/>
      <c r="L603" s="3"/>
      <c r="M603" s="2"/>
      <c r="N603" s="3"/>
      <c r="O603" s="2"/>
      <c r="P603" s="3"/>
      <c r="Q603" s="2"/>
      <c r="R603" s="3"/>
      <c r="S603" s="2"/>
      <c r="T603" s="3"/>
      <c r="U603" s="2"/>
      <c r="V603" s="3"/>
      <c r="W603" s="2"/>
      <c r="X603" s="3"/>
      <c r="Y603" s="2"/>
      <c r="Z603" s="3"/>
    </row>
    <row r="604">
      <c r="A604" s="1"/>
      <c r="B604" s="1"/>
      <c r="C604" s="2"/>
      <c r="D604" s="3"/>
      <c r="E604" s="2"/>
      <c r="F604" s="3"/>
      <c r="G604" s="2"/>
      <c r="H604" s="3"/>
      <c r="I604" s="2"/>
      <c r="J604" s="3"/>
      <c r="K604" s="2"/>
      <c r="L604" s="3"/>
      <c r="M604" s="2"/>
      <c r="N604" s="3"/>
      <c r="O604" s="2"/>
      <c r="P604" s="3"/>
      <c r="Q604" s="2"/>
      <c r="R604" s="3"/>
      <c r="S604" s="2"/>
      <c r="T604" s="3"/>
      <c r="U604" s="2"/>
      <c r="V604" s="3"/>
      <c r="W604" s="2"/>
      <c r="X604" s="3"/>
      <c r="Y604" s="2"/>
      <c r="Z604" s="3"/>
    </row>
    <row r="605">
      <c r="A605" s="1"/>
      <c r="B605" s="1"/>
      <c r="C605" s="2"/>
      <c r="D605" s="3"/>
      <c r="E605" s="2"/>
      <c r="F605" s="3"/>
      <c r="G605" s="2"/>
      <c r="H605" s="3"/>
      <c r="I605" s="2"/>
      <c r="J605" s="3"/>
      <c r="K605" s="2"/>
      <c r="L605" s="3"/>
      <c r="M605" s="2"/>
      <c r="N605" s="3"/>
      <c r="O605" s="2"/>
      <c r="P605" s="3"/>
      <c r="Q605" s="2"/>
      <c r="R605" s="3"/>
      <c r="S605" s="2"/>
      <c r="T605" s="3"/>
      <c r="U605" s="2"/>
      <c r="V605" s="3"/>
      <c r="W605" s="2"/>
      <c r="X605" s="3"/>
      <c r="Y605" s="2"/>
      <c r="Z605" s="3"/>
    </row>
    <row r="606">
      <c r="A606" s="1"/>
      <c r="B606" s="1"/>
      <c r="C606" s="2"/>
      <c r="D606" s="3"/>
      <c r="E606" s="2"/>
      <c r="F606" s="3"/>
      <c r="G606" s="2"/>
      <c r="H606" s="3"/>
      <c r="I606" s="2"/>
      <c r="J606" s="3"/>
      <c r="K606" s="2"/>
      <c r="L606" s="3"/>
      <c r="M606" s="2"/>
      <c r="N606" s="3"/>
      <c r="O606" s="2"/>
      <c r="P606" s="3"/>
      <c r="Q606" s="2"/>
      <c r="R606" s="3"/>
      <c r="S606" s="2"/>
      <c r="T606" s="3"/>
      <c r="U606" s="2"/>
      <c r="V606" s="3"/>
      <c r="W606" s="2"/>
      <c r="X606" s="3"/>
      <c r="Y606" s="2"/>
      <c r="Z606" s="3"/>
    </row>
    <row r="607">
      <c r="A607" s="1"/>
      <c r="B607" s="1"/>
      <c r="C607" s="2"/>
      <c r="D607" s="3"/>
      <c r="E607" s="2"/>
      <c r="F607" s="3"/>
      <c r="G607" s="2"/>
      <c r="H607" s="3"/>
      <c r="I607" s="2"/>
      <c r="J607" s="3"/>
      <c r="K607" s="2"/>
      <c r="L607" s="3"/>
      <c r="M607" s="2"/>
      <c r="N607" s="3"/>
      <c r="O607" s="2"/>
      <c r="P607" s="3"/>
      <c r="Q607" s="2"/>
      <c r="R607" s="3"/>
      <c r="S607" s="2"/>
      <c r="T607" s="3"/>
      <c r="U607" s="2"/>
      <c r="V607" s="3"/>
      <c r="W607" s="2"/>
      <c r="X607" s="3"/>
      <c r="Y607" s="2"/>
      <c r="Z607" s="3"/>
    </row>
    <row r="608">
      <c r="A608" s="1"/>
      <c r="B608" s="1"/>
      <c r="C608" s="2"/>
      <c r="D608" s="3"/>
      <c r="E608" s="2"/>
      <c r="F608" s="3"/>
      <c r="G608" s="2"/>
      <c r="H608" s="3"/>
      <c r="I608" s="2"/>
      <c r="J608" s="3"/>
      <c r="K608" s="2"/>
      <c r="L608" s="3"/>
      <c r="M608" s="2"/>
      <c r="N608" s="3"/>
      <c r="O608" s="2"/>
      <c r="P608" s="3"/>
      <c r="Q608" s="2"/>
      <c r="R608" s="3"/>
      <c r="S608" s="2"/>
      <c r="T608" s="3"/>
      <c r="U608" s="2"/>
      <c r="V608" s="3"/>
      <c r="W608" s="2"/>
      <c r="X608" s="3"/>
      <c r="Y608" s="2"/>
      <c r="Z608" s="3"/>
    </row>
    <row r="609">
      <c r="A609" s="1"/>
      <c r="B609" s="1"/>
      <c r="C609" s="2"/>
      <c r="D609" s="3"/>
      <c r="E609" s="2"/>
      <c r="F609" s="3"/>
      <c r="G609" s="2"/>
      <c r="H609" s="3"/>
      <c r="I609" s="2"/>
      <c r="J609" s="3"/>
      <c r="K609" s="2"/>
      <c r="L609" s="3"/>
      <c r="M609" s="2"/>
      <c r="N609" s="3"/>
      <c r="O609" s="2"/>
      <c r="P609" s="3"/>
      <c r="Q609" s="2"/>
      <c r="R609" s="3"/>
      <c r="S609" s="2"/>
      <c r="T609" s="3"/>
      <c r="U609" s="2"/>
      <c r="V609" s="3"/>
      <c r="W609" s="2"/>
      <c r="X609" s="3"/>
      <c r="Y609" s="2"/>
      <c r="Z609" s="3"/>
    </row>
    <row r="610">
      <c r="A610" s="1"/>
      <c r="B610" s="1"/>
      <c r="C610" s="2"/>
      <c r="D610" s="3"/>
      <c r="E610" s="2"/>
      <c r="F610" s="3"/>
      <c r="G610" s="2"/>
      <c r="H610" s="3"/>
      <c r="I610" s="2"/>
      <c r="J610" s="3"/>
      <c r="K610" s="2"/>
      <c r="L610" s="3"/>
      <c r="M610" s="2"/>
      <c r="N610" s="3"/>
      <c r="O610" s="2"/>
      <c r="P610" s="3"/>
      <c r="Q610" s="2"/>
      <c r="R610" s="3"/>
      <c r="S610" s="2"/>
      <c r="T610" s="3"/>
      <c r="U610" s="2"/>
      <c r="V610" s="3"/>
      <c r="W610" s="2"/>
      <c r="X610" s="3"/>
      <c r="Y610" s="2"/>
      <c r="Z610" s="3"/>
    </row>
    <row r="611">
      <c r="A611" s="1"/>
      <c r="B611" s="1"/>
      <c r="C611" s="2"/>
      <c r="D611" s="3"/>
      <c r="E611" s="2"/>
      <c r="F611" s="3"/>
      <c r="G611" s="2"/>
      <c r="H611" s="3"/>
      <c r="I611" s="2"/>
      <c r="J611" s="3"/>
      <c r="K611" s="2"/>
      <c r="L611" s="3"/>
      <c r="M611" s="2"/>
      <c r="N611" s="3"/>
      <c r="O611" s="2"/>
      <c r="P611" s="3"/>
      <c r="Q611" s="2"/>
      <c r="R611" s="3"/>
      <c r="S611" s="2"/>
      <c r="T611" s="3"/>
      <c r="U611" s="2"/>
      <c r="V611" s="3"/>
      <c r="W611" s="2"/>
      <c r="X611" s="3"/>
      <c r="Y611" s="2"/>
      <c r="Z611" s="3"/>
    </row>
    <row r="612">
      <c r="A612" s="1"/>
      <c r="B612" s="1"/>
      <c r="C612" s="2"/>
      <c r="D612" s="3"/>
      <c r="E612" s="2"/>
      <c r="F612" s="3"/>
      <c r="G612" s="2"/>
      <c r="H612" s="3"/>
      <c r="I612" s="2"/>
      <c r="J612" s="3"/>
      <c r="K612" s="2"/>
      <c r="L612" s="3"/>
      <c r="M612" s="2"/>
      <c r="N612" s="3"/>
      <c r="O612" s="2"/>
      <c r="P612" s="3"/>
      <c r="Q612" s="2"/>
      <c r="R612" s="3"/>
      <c r="S612" s="2"/>
      <c r="T612" s="3"/>
      <c r="U612" s="2"/>
      <c r="V612" s="3"/>
      <c r="W612" s="2"/>
      <c r="X612" s="3"/>
      <c r="Y612" s="2"/>
      <c r="Z612" s="3"/>
    </row>
    <row r="613">
      <c r="A613" s="1"/>
      <c r="B613" s="1"/>
      <c r="C613" s="2"/>
      <c r="D613" s="3"/>
      <c r="E613" s="2"/>
      <c r="F613" s="3"/>
      <c r="G613" s="2"/>
      <c r="H613" s="3"/>
      <c r="I613" s="2"/>
      <c r="J613" s="3"/>
      <c r="K613" s="2"/>
      <c r="L613" s="3"/>
      <c r="M613" s="2"/>
      <c r="N613" s="3"/>
      <c r="O613" s="2"/>
      <c r="P613" s="3"/>
      <c r="Q613" s="2"/>
      <c r="R613" s="3"/>
      <c r="S613" s="2"/>
      <c r="T613" s="3"/>
      <c r="U613" s="2"/>
      <c r="V613" s="3"/>
      <c r="W613" s="2"/>
      <c r="X613" s="3"/>
      <c r="Y613" s="2"/>
      <c r="Z613" s="3"/>
    </row>
    <row r="614">
      <c r="A614" s="1"/>
      <c r="B614" s="1"/>
      <c r="C614" s="2"/>
      <c r="D614" s="3"/>
      <c r="E614" s="2"/>
      <c r="F614" s="3"/>
      <c r="G614" s="2"/>
      <c r="H614" s="3"/>
      <c r="I614" s="2"/>
      <c r="J614" s="3"/>
      <c r="K614" s="2"/>
      <c r="L614" s="3"/>
      <c r="M614" s="2"/>
      <c r="N614" s="3"/>
      <c r="O614" s="2"/>
      <c r="P614" s="3"/>
      <c r="Q614" s="2"/>
      <c r="R614" s="3"/>
      <c r="S614" s="2"/>
      <c r="T614" s="3"/>
      <c r="U614" s="2"/>
      <c r="V614" s="3"/>
      <c r="W614" s="2"/>
      <c r="X614" s="3"/>
      <c r="Y614" s="2"/>
      <c r="Z614" s="3"/>
    </row>
    <row r="615">
      <c r="A615" s="1"/>
      <c r="B615" s="1"/>
      <c r="C615" s="2"/>
      <c r="D615" s="3"/>
      <c r="E615" s="2"/>
      <c r="F615" s="3"/>
      <c r="G615" s="2"/>
      <c r="H615" s="3"/>
      <c r="I615" s="2"/>
      <c r="J615" s="3"/>
      <c r="K615" s="2"/>
      <c r="L615" s="3"/>
      <c r="M615" s="2"/>
      <c r="N615" s="3"/>
      <c r="O615" s="2"/>
      <c r="P615" s="3"/>
      <c r="Q615" s="2"/>
      <c r="R615" s="3"/>
      <c r="S615" s="2"/>
      <c r="T615" s="3"/>
      <c r="U615" s="2"/>
      <c r="V615" s="3"/>
      <c r="W615" s="2"/>
      <c r="X615" s="3"/>
      <c r="Y615" s="2"/>
      <c r="Z615" s="3"/>
    </row>
    <row r="616">
      <c r="A616" s="1"/>
      <c r="B616" s="1"/>
      <c r="C616" s="2"/>
      <c r="D616" s="3"/>
      <c r="E616" s="2"/>
      <c r="F616" s="3"/>
      <c r="G616" s="2"/>
      <c r="H616" s="3"/>
      <c r="I616" s="2"/>
      <c r="J616" s="3"/>
      <c r="K616" s="2"/>
      <c r="L616" s="3"/>
      <c r="M616" s="2"/>
      <c r="N616" s="3"/>
      <c r="O616" s="2"/>
      <c r="P616" s="3"/>
      <c r="Q616" s="2"/>
      <c r="R616" s="3"/>
      <c r="S616" s="2"/>
      <c r="T616" s="3"/>
      <c r="U616" s="2"/>
      <c r="V616" s="3"/>
      <c r="W616" s="2"/>
      <c r="X616" s="3"/>
      <c r="Y616" s="2"/>
      <c r="Z616" s="3"/>
    </row>
    <row r="617">
      <c r="A617" s="1"/>
      <c r="B617" s="1"/>
      <c r="C617" s="2"/>
      <c r="D617" s="3"/>
      <c r="E617" s="2"/>
      <c r="F617" s="3"/>
      <c r="G617" s="2"/>
      <c r="H617" s="3"/>
      <c r="I617" s="2"/>
      <c r="J617" s="3"/>
      <c r="K617" s="2"/>
      <c r="L617" s="3"/>
      <c r="M617" s="2"/>
      <c r="N617" s="3"/>
      <c r="O617" s="2"/>
      <c r="P617" s="3"/>
      <c r="Q617" s="2"/>
      <c r="R617" s="3"/>
      <c r="S617" s="2"/>
      <c r="T617" s="3"/>
      <c r="U617" s="2"/>
      <c r="V617" s="3"/>
      <c r="W617" s="2"/>
      <c r="X617" s="3"/>
      <c r="Y617" s="2"/>
      <c r="Z617" s="3"/>
    </row>
    <row r="618">
      <c r="A618" s="1"/>
      <c r="B618" s="1"/>
      <c r="C618" s="2"/>
      <c r="D618" s="3"/>
      <c r="E618" s="2"/>
      <c r="F618" s="3"/>
      <c r="G618" s="2"/>
      <c r="H618" s="3"/>
      <c r="I618" s="2"/>
      <c r="J618" s="3"/>
      <c r="K618" s="2"/>
      <c r="L618" s="3"/>
      <c r="M618" s="2"/>
      <c r="N618" s="3"/>
      <c r="O618" s="2"/>
      <c r="P618" s="3"/>
      <c r="Q618" s="2"/>
      <c r="R618" s="3"/>
      <c r="S618" s="2"/>
      <c r="T618" s="3"/>
      <c r="U618" s="2"/>
      <c r="V618" s="3"/>
      <c r="W618" s="2"/>
      <c r="X618" s="3"/>
      <c r="Y618" s="2"/>
      <c r="Z618" s="3"/>
    </row>
    <row r="619">
      <c r="A619" s="1"/>
      <c r="B619" s="1"/>
      <c r="C619" s="2"/>
      <c r="D619" s="3"/>
      <c r="E619" s="2"/>
      <c r="F619" s="3"/>
      <c r="G619" s="2"/>
      <c r="H619" s="3"/>
      <c r="I619" s="2"/>
      <c r="J619" s="3"/>
      <c r="K619" s="2"/>
      <c r="L619" s="3"/>
      <c r="M619" s="2"/>
      <c r="N619" s="3"/>
      <c r="O619" s="2"/>
      <c r="P619" s="3"/>
      <c r="Q619" s="2"/>
      <c r="R619" s="3"/>
      <c r="S619" s="2"/>
      <c r="T619" s="3"/>
      <c r="U619" s="2"/>
      <c r="V619" s="3"/>
      <c r="W619" s="2"/>
      <c r="X619" s="3"/>
      <c r="Y619" s="2"/>
      <c r="Z619" s="3"/>
    </row>
    <row r="620">
      <c r="A620" s="1"/>
      <c r="B620" s="1"/>
      <c r="C620" s="2"/>
      <c r="D620" s="3"/>
      <c r="E620" s="2"/>
      <c r="F620" s="3"/>
      <c r="G620" s="2"/>
      <c r="H620" s="3"/>
      <c r="I620" s="2"/>
      <c r="J620" s="3"/>
      <c r="K620" s="2"/>
      <c r="L620" s="3"/>
      <c r="M620" s="2"/>
      <c r="N620" s="3"/>
      <c r="O620" s="2"/>
      <c r="P620" s="3"/>
      <c r="Q620" s="2"/>
      <c r="R620" s="3"/>
      <c r="S620" s="2"/>
      <c r="T620" s="3"/>
      <c r="U620" s="2"/>
      <c r="V620" s="3"/>
      <c r="W620" s="2"/>
      <c r="X620" s="3"/>
      <c r="Y620" s="2"/>
      <c r="Z620" s="3"/>
    </row>
    <row r="621">
      <c r="A621" s="1"/>
      <c r="B621" s="1"/>
      <c r="C621" s="2"/>
      <c r="D621" s="3"/>
      <c r="E621" s="2"/>
      <c r="F621" s="3"/>
      <c r="G621" s="2"/>
      <c r="H621" s="3"/>
      <c r="I621" s="2"/>
      <c r="J621" s="3"/>
      <c r="K621" s="2"/>
      <c r="L621" s="3"/>
      <c r="M621" s="2"/>
      <c r="N621" s="3"/>
      <c r="O621" s="2"/>
      <c r="P621" s="3"/>
      <c r="Q621" s="2"/>
      <c r="R621" s="3"/>
      <c r="S621" s="2"/>
      <c r="T621" s="3"/>
      <c r="U621" s="2"/>
      <c r="V621" s="3"/>
      <c r="W621" s="2"/>
      <c r="X621" s="3"/>
      <c r="Y621" s="2"/>
      <c r="Z621" s="3"/>
    </row>
    <row r="622">
      <c r="A622" s="1"/>
      <c r="B622" s="1"/>
      <c r="C622" s="2"/>
      <c r="D622" s="3"/>
      <c r="E622" s="2"/>
      <c r="F622" s="3"/>
      <c r="G622" s="2"/>
      <c r="H622" s="3"/>
      <c r="I622" s="2"/>
      <c r="J622" s="3"/>
      <c r="K622" s="2"/>
      <c r="L622" s="3"/>
      <c r="M622" s="2"/>
      <c r="N622" s="3"/>
      <c r="O622" s="2"/>
      <c r="P622" s="3"/>
      <c r="Q622" s="2"/>
      <c r="R622" s="3"/>
      <c r="S622" s="2"/>
      <c r="T622" s="3"/>
      <c r="U622" s="2"/>
      <c r="V622" s="3"/>
      <c r="W622" s="2"/>
      <c r="X622" s="3"/>
      <c r="Y622" s="2"/>
      <c r="Z622" s="3"/>
    </row>
    <row r="623">
      <c r="A623" s="1"/>
      <c r="B623" s="1"/>
      <c r="C623" s="2"/>
      <c r="D623" s="3"/>
      <c r="E623" s="2"/>
      <c r="F623" s="3"/>
      <c r="G623" s="2"/>
      <c r="H623" s="3"/>
      <c r="I623" s="2"/>
      <c r="J623" s="3"/>
      <c r="K623" s="2"/>
      <c r="L623" s="3"/>
      <c r="M623" s="2"/>
      <c r="N623" s="3"/>
      <c r="O623" s="2"/>
      <c r="P623" s="3"/>
      <c r="Q623" s="2"/>
      <c r="R623" s="3"/>
      <c r="S623" s="2"/>
      <c r="T623" s="3"/>
      <c r="U623" s="2"/>
      <c r="V623" s="3"/>
      <c r="W623" s="2"/>
      <c r="X623" s="3"/>
      <c r="Y623" s="2"/>
      <c r="Z623" s="3"/>
    </row>
    <row r="624">
      <c r="A624" s="1"/>
      <c r="B624" s="1"/>
      <c r="C624" s="2"/>
      <c r="D624" s="3"/>
      <c r="E624" s="2"/>
      <c r="F624" s="3"/>
      <c r="G624" s="2"/>
      <c r="H624" s="3"/>
      <c r="I624" s="2"/>
      <c r="J624" s="3"/>
      <c r="K624" s="2"/>
      <c r="L624" s="3"/>
      <c r="M624" s="2"/>
      <c r="N624" s="3"/>
      <c r="O624" s="2"/>
      <c r="P624" s="3"/>
      <c r="Q624" s="2"/>
      <c r="R624" s="3"/>
      <c r="S624" s="2"/>
      <c r="T624" s="3"/>
      <c r="U624" s="2"/>
      <c r="V624" s="3"/>
      <c r="W624" s="2"/>
      <c r="X624" s="3"/>
      <c r="Y624" s="2"/>
      <c r="Z624" s="3"/>
    </row>
    <row r="625">
      <c r="A625" s="1"/>
      <c r="B625" s="1"/>
      <c r="C625" s="2"/>
      <c r="D625" s="3"/>
      <c r="E625" s="2"/>
      <c r="F625" s="3"/>
      <c r="G625" s="2"/>
      <c r="H625" s="3"/>
      <c r="I625" s="2"/>
      <c r="J625" s="3"/>
      <c r="K625" s="2"/>
      <c r="L625" s="3"/>
      <c r="M625" s="2"/>
      <c r="N625" s="3"/>
      <c r="O625" s="2"/>
      <c r="P625" s="3"/>
      <c r="Q625" s="2"/>
      <c r="R625" s="3"/>
      <c r="S625" s="2"/>
      <c r="T625" s="3"/>
      <c r="U625" s="2"/>
      <c r="V625" s="3"/>
      <c r="W625" s="2"/>
      <c r="X625" s="3"/>
      <c r="Y625" s="2"/>
      <c r="Z625" s="3"/>
    </row>
    <row r="626">
      <c r="A626" s="1"/>
      <c r="B626" s="1"/>
      <c r="C626" s="2"/>
      <c r="D626" s="3"/>
      <c r="E626" s="2"/>
      <c r="F626" s="3"/>
      <c r="G626" s="2"/>
      <c r="H626" s="3"/>
      <c r="I626" s="2"/>
      <c r="J626" s="3"/>
      <c r="K626" s="2"/>
      <c r="L626" s="3"/>
      <c r="M626" s="2"/>
      <c r="N626" s="3"/>
      <c r="O626" s="2"/>
      <c r="P626" s="3"/>
      <c r="Q626" s="2"/>
      <c r="R626" s="3"/>
      <c r="S626" s="2"/>
      <c r="T626" s="3"/>
      <c r="U626" s="2"/>
      <c r="V626" s="3"/>
      <c r="W626" s="2"/>
      <c r="X626" s="3"/>
      <c r="Y626" s="2"/>
      <c r="Z626" s="3"/>
    </row>
    <row r="627">
      <c r="A627" s="1"/>
      <c r="B627" s="1"/>
      <c r="C627" s="2"/>
      <c r="D627" s="3"/>
      <c r="E627" s="2"/>
      <c r="F627" s="3"/>
      <c r="G627" s="2"/>
      <c r="H627" s="3"/>
      <c r="I627" s="2"/>
      <c r="J627" s="3"/>
      <c r="K627" s="2"/>
      <c r="L627" s="3"/>
      <c r="M627" s="2"/>
      <c r="N627" s="3"/>
      <c r="O627" s="2"/>
      <c r="P627" s="3"/>
      <c r="Q627" s="2"/>
      <c r="R627" s="3"/>
      <c r="S627" s="2"/>
      <c r="T627" s="3"/>
      <c r="U627" s="2"/>
      <c r="V627" s="3"/>
      <c r="W627" s="2"/>
      <c r="X627" s="3"/>
      <c r="Y627" s="2"/>
      <c r="Z627" s="3"/>
    </row>
    <row r="628">
      <c r="A628" s="1"/>
      <c r="B628" s="1"/>
      <c r="C628" s="2"/>
      <c r="D628" s="3"/>
      <c r="E628" s="2"/>
      <c r="F628" s="3"/>
      <c r="G628" s="2"/>
      <c r="H628" s="3"/>
      <c r="I628" s="2"/>
      <c r="J628" s="3"/>
      <c r="K628" s="2"/>
      <c r="L628" s="3"/>
      <c r="M628" s="2"/>
      <c r="N628" s="3"/>
      <c r="O628" s="2"/>
      <c r="P628" s="3"/>
      <c r="Q628" s="2"/>
      <c r="R628" s="3"/>
      <c r="S628" s="2"/>
      <c r="T628" s="3"/>
      <c r="U628" s="2"/>
      <c r="V628" s="3"/>
      <c r="W628" s="2"/>
      <c r="X628" s="3"/>
      <c r="Y628" s="2"/>
      <c r="Z628" s="3"/>
    </row>
    <row r="629">
      <c r="A629" s="1"/>
      <c r="B629" s="1"/>
      <c r="C629" s="2"/>
      <c r="D629" s="3"/>
      <c r="E629" s="2"/>
      <c r="F629" s="3"/>
      <c r="G629" s="2"/>
      <c r="H629" s="3"/>
      <c r="I629" s="2"/>
      <c r="J629" s="3"/>
      <c r="K629" s="2"/>
      <c r="L629" s="3"/>
      <c r="M629" s="2"/>
      <c r="N629" s="3"/>
      <c r="O629" s="2"/>
      <c r="P629" s="3"/>
      <c r="Q629" s="2"/>
      <c r="R629" s="3"/>
      <c r="S629" s="2"/>
      <c r="T629" s="3"/>
      <c r="U629" s="2"/>
      <c r="V629" s="3"/>
      <c r="W629" s="2"/>
      <c r="X629" s="3"/>
      <c r="Y629" s="2"/>
      <c r="Z629" s="3"/>
    </row>
    <row r="630">
      <c r="A630" s="1"/>
      <c r="B630" s="1"/>
      <c r="C630" s="2"/>
      <c r="D630" s="3"/>
      <c r="E630" s="2"/>
      <c r="F630" s="3"/>
      <c r="G630" s="2"/>
      <c r="H630" s="3"/>
      <c r="I630" s="2"/>
      <c r="J630" s="3"/>
      <c r="K630" s="2"/>
      <c r="L630" s="3"/>
      <c r="M630" s="2"/>
      <c r="N630" s="3"/>
      <c r="O630" s="2"/>
      <c r="P630" s="3"/>
      <c r="Q630" s="2"/>
      <c r="R630" s="3"/>
      <c r="S630" s="2"/>
      <c r="T630" s="3"/>
      <c r="U630" s="2"/>
      <c r="V630" s="3"/>
      <c r="W630" s="2"/>
      <c r="X630" s="3"/>
      <c r="Y630" s="2"/>
      <c r="Z630" s="3"/>
    </row>
    <row r="631">
      <c r="A631" s="1"/>
      <c r="B631" s="1"/>
      <c r="C631" s="2"/>
      <c r="D631" s="3"/>
      <c r="E631" s="2"/>
      <c r="F631" s="3"/>
      <c r="G631" s="2"/>
      <c r="H631" s="3"/>
      <c r="I631" s="2"/>
      <c r="J631" s="3"/>
      <c r="K631" s="2"/>
      <c r="L631" s="3"/>
      <c r="M631" s="2"/>
      <c r="N631" s="3"/>
      <c r="O631" s="2"/>
      <c r="P631" s="3"/>
      <c r="Q631" s="2"/>
      <c r="R631" s="3"/>
      <c r="S631" s="2"/>
      <c r="T631" s="3"/>
      <c r="U631" s="2"/>
      <c r="V631" s="3"/>
      <c r="W631" s="2"/>
      <c r="X631" s="3"/>
      <c r="Y631" s="2"/>
      <c r="Z631" s="3"/>
    </row>
    <row r="632">
      <c r="A632" s="1"/>
      <c r="B632" s="1"/>
      <c r="C632" s="2"/>
      <c r="D632" s="3"/>
      <c r="E632" s="2"/>
      <c r="F632" s="3"/>
      <c r="G632" s="2"/>
      <c r="H632" s="3"/>
      <c r="I632" s="2"/>
      <c r="J632" s="3"/>
      <c r="K632" s="2"/>
      <c r="L632" s="3"/>
      <c r="M632" s="2"/>
      <c r="N632" s="3"/>
      <c r="O632" s="2"/>
      <c r="P632" s="3"/>
      <c r="Q632" s="2"/>
      <c r="R632" s="3"/>
      <c r="S632" s="2"/>
      <c r="T632" s="3"/>
      <c r="U632" s="2"/>
      <c r="V632" s="3"/>
      <c r="W632" s="2"/>
      <c r="X632" s="3"/>
      <c r="Y632" s="2"/>
      <c r="Z632" s="3"/>
    </row>
    <row r="633">
      <c r="A633" s="1"/>
      <c r="B633" s="1"/>
      <c r="C633" s="2"/>
      <c r="D633" s="3"/>
      <c r="E633" s="2"/>
      <c r="F633" s="3"/>
      <c r="G633" s="2"/>
      <c r="H633" s="3"/>
      <c r="I633" s="2"/>
      <c r="J633" s="3"/>
      <c r="K633" s="2"/>
      <c r="L633" s="3"/>
      <c r="M633" s="2"/>
      <c r="N633" s="3"/>
      <c r="O633" s="2"/>
      <c r="P633" s="3"/>
      <c r="Q633" s="2"/>
      <c r="R633" s="3"/>
      <c r="S633" s="2"/>
      <c r="T633" s="3"/>
      <c r="U633" s="2"/>
      <c r="V633" s="3"/>
      <c r="W633" s="2"/>
      <c r="X633" s="3"/>
      <c r="Y633" s="2"/>
      <c r="Z633" s="3"/>
    </row>
    <row r="634">
      <c r="A634" s="1"/>
      <c r="B634" s="1"/>
      <c r="C634" s="2"/>
      <c r="D634" s="3"/>
      <c r="E634" s="2"/>
      <c r="F634" s="3"/>
      <c r="G634" s="2"/>
      <c r="H634" s="3"/>
      <c r="I634" s="2"/>
      <c r="J634" s="3"/>
      <c r="K634" s="2"/>
      <c r="L634" s="3"/>
      <c r="M634" s="2"/>
      <c r="N634" s="3"/>
      <c r="O634" s="2"/>
      <c r="P634" s="3"/>
      <c r="Q634" s="2"/>
      <c r="R634" s="3"/>
      <c r="S634" s="2"/>
      <c r="T634" s="3"/>
      <c r="U634" s="2"/>
      <c r="V634" s="3"/>
      <c r="W634" s="2"/>
      <c r="X634" s="3"/>
      <c r="Y634" s="2"/>
      <c r="Z634" s="3"/>
    </row>
    <row r="635">
      <c r="A635" s="1"/>
      <c r="B635" s="1"/>
      <c r="C635" s="2"/>
      <c r="D635" s="3"/>
      <c r="E635" s="2"/>
      <c r="F635" s="3"/>
      <c r="G635" s="2"/>
      <c r="H635" s="3"/>
      <c r="I635" s="2"/>
      <c r="J635" s="3"/>
      <c r="K635" s="2"/>
      <c r="L635" s="3"/>
      <c r="M635" s="2"/>
      <c r="N635" s="3"/>
      <c r="O635" s="2"/>
      <c r="P635" s="3"/>
      <c r="Q635" s="2"/>
      <c r="R635" s="3"/>
      <c r="S635" s="2"/>
      <c r="T635" s="3"/>
      <c r="U635" s="2"/>
      <c r="V635" s="3"/>
      <c r="W635" s="2"/>
      <c r="X635" s="3"/>
      <c r="Y635" s="2"/>
      <c r="Z635" s="3"/>
    </row>
    <row r="636">
      <c r="A636" s="1"/>
      <c r="B636" s="1"/>
      <c r="C636" s="2"/>
      <c r="D636" s="3"/>
      <c r="E636" s="2"/>
      <c r="F636" s="3"/>
      <c r="G636" s="2"/>
      <c r="H636" s="3"/>
      <c r="I636" s="2"/>
      <c r="J636" s="3"/>
      <c r="K636" s="2"/>
      <c r="L636" s="3"/>
      <c r="M636" s="2"/>
      <c r="N636" s="3"/>
      <c r="O636" s="2"/>
      <c r="P636" s="3"/>
      <c r="Q636" s="2"/>
      <c r="R636" s="3"/>
      <c r="S636" s="2"/>
      <c r="T636" s="3"/>
      <c r="U636" s="2"/>
      <c r="V636" s="3"/>
      <c r="W636" s="2"/>
      <c r="X636" s="3"/>
      <c r="Y636" s="2"/>
      <c r="Z636" s="3"/>
    </row>
    <row r="637">
      <c r="A637" s="1"/>
      <c r="B637" s="1"/>
      <c r="C637" s="2"/>
      <c r="D637" s="3"/>
      <c r="E637" s="2"/>
      <c r="F637" s="3"/>
      <c r="G637" s="2"/>
      <c r="H637" s="3"/>
      <c r="I637" s="2"/>
      <c r="J637" s="3"/>
      <c r="K637" s="2"/>
      <c r="L637" s="3"/>
      <c r="M637" s="2"/>
      <c r="N637" s="3"/>
      <c r="O637" s="2"/>
      <c r="P637" s="3"/>
      <c r="Q637" s="2"/>
      <c r="R637" s="3"/>
      <c r="S637" s="2"/>
      <c r="T637" s="3"/>
      <c r="U637" s="2"/>
      <c r="V637" s="3"/>
      <c r="W637" s="2"/>
      <c r="X637" s="3"/>
      <c r="Y637" s="2"/>
      <c r="Z637" s="3"/>
    </row>
    <row r="638">
      <c r="A638" s="1"/>
      <c r="B638" s="1"/>
      <c r="C638" s="2"/>
      <c r="D638" s="3"/>
      <c r="E638" s="2"/>
      <c r="F638" s="3"/>
      <c r="G638" s="2"/>
      <c r="H638" s="3"/>
      <c r="I638" s="2"/>
      <c r="J638" s="3"/>
      <c r="K638" s="2"/>
      <c r="L638" s="3"/>
      <c r="M638" s="2"/>
      <c r="N638" s="3"/>
      <c r="O638" s="2"/>
      <c r="P638" s="3"/>
      <c r="Q638" s="2"/>
      <c r="R638" s="3"/>
      <c r="S638" s="2"/>
      <c r="T638" s="3"/>
      <c r="U638" s="2"/>
      <c r="V638" s="3"/>
      <c r="W638" s="2"/>
      <c r="X638" s="3"/>
      <c r="Y638" s="2"/>
      <c r="Z638" s="3"/>
    </row>
    <row r="639">
      <c r="A639" s="1"/>
      <c r="B639" s="1"/>
      <c r="C639" s="2"/>
      <c r="D639" s="3"/>
      <c r="E639" s="2"/>
      <c r="F639" s="3"/>
      <c r="G639" s="2"/>
      <c r="H639" s="3"/>
      <c r="I639" s="2"/>
      <c r="J639" s="3"/>
      <c r="K639" s="2"/>
      <c r="L639" s="3"/>
      <c r="M639" s="2"/>
      <c r="N639" s="3"/>
      <c r="O639" s="2"/>
      <c r="P639" s="3"/>
      <c r="Q639" s="2"/>
      <c r="R639" s="3"/>
      <c r="S639" s="2"/>
      <c r="T639" s="3"/>
      <c r="U639" s="2"/>
      <c r="V639" s="3"/>
      <c r="W639" s="2"/>
      <c r="X639" s="3"/>
      <c r="Y639" s="2"/>
      <c r="Z639" s="3"/>
    </row>
    <row r="640">
      <c r="A640" s="1"/>
      <c r="B640" s="1"/>
      <c r="C640" s="2"/>
      <c r="D640" s="3"/>
      <c r="E640" s="2"/>
      <c r="F640" s="3"/>
      <c r="G640" s="2"/>
      <c r="H640" s="3"/>
      <c r="I640" s="2"/>
      <c r="J640" s="3"/>
      <c r="K640" s="2"/>
      <c r="L640" s="3"/>
      <c r="M640" s="2"/>
      <c r="N640" s="3"/>
      <c r="O640" s="2"/>
      <c r="P640" s="3"/>
      <c r="Q640" s="2"/>
      <c r="R640" s="3"/>
      <c r="S640" s="2"/>
      <c r="T640" s="3"/>
      <c r="U640" s="2"/>
      <c r="V640" s="3"/>
      <c r="W640" s="2"/>
      <c r="X640" s="3"/>
      <c r="Y640" s="2"/>
      <c r="Z640" s="3"/>
    </row>
    <row r="641">
      <c r="A641" s="1"/>
      <c r="B641" s="1"/>
      <c r="C641" s="2"/>
      <c r="D641" s="3"/>
      <c r="E641" s="2"/>
      <c r="F641" s="3"/>
      <c r="G641" s="2"/>
      <c r="H641" s="3"/>
      <c r="I641" s="2"/>
      <c r="J641" s="3"/>
      <c r="K641" s="2"/>
      <c r="L641" s="3"/>
      <c r="M641" s="2"/>
      <c r="N641" s="3"/>
      <c r="O641" s="2"/>
      <c r="P641" s="3"/>
      <c r="Q641" s="2"/>
      <c r="R641" s="3"/>
      <c r="S641" s="2"/>
      <c r="T641" s="3"/>
      <c r="U641" s="2"/>
      <c r="V641" s="3"/>
      <c r="W641" s="2"/>
      <c r="X641" s="3"/>
      <c r="Y641" s="2"/>
      <c r="Z641" s="3"/>
    </row>
    <row r="642">
      <c r="A642" s="1"/>
      <c r="B642" s="1"/>
      <c r="C642" s="2"/>
      <c r="D642" s="3"/>
      <c r="E642" s="2"/>
      <c r="F642" s="3"/>
      <c r="G642" s="2"/>
      <c r="H642" s="3"/>
      <c r="I642" s="2"/>
      <c r="J642" s="3"/>
      <c r="K642" s="2"/>
      <c r="L642" s="3"/>
      <c r="M642" s="2"/>
      <c r="N642" s="3"/>
      <c r="O642" s="2"/>
      <c r="P642" s="3"/>
      <c r="Q642" s="2"/>
      <c r="R642" s="3"/>
      <c r="S642" s="2"/>
      <c r="T642" s="3"/>
      <c r="U642" s="2"/>
      <c r="V642" s="3"/>
      <c r="W642" s="2"/>
      <c r="X642" s="3"/>
      <c r="Y642" s="2"/>
      <c r="Z642" s="3"/>
    </row>
    <row r="643">
      <c r="A643" s="1"/>
      <c r="B643" s="1"/>
      <c r="C643" s="2"/>
      <c r="D643" s="3"/>
      <c r="E643" s="2"/>
      <c r="F643" s="3"/>
      <c r="G643" s="2"/>
      <c r="H643" s="3"/>
      <c r="I643" s="2"/>
      <c r="J643" s="3"/>
      <c r="K643" s="2"/>
      <c r="L643" s="3"/>
      <c r="M643" s="2"/>
      <c r="N643" s="3"/>
      <c r="O643" s="2"/>
      <c r="P643" s="3"/>
      <c r="Q643" s="2"/>
      <c r="R643" s="3"/>
      <c r="S643" s="2"/>
      <c r="T643" s="3"/>
      <c r="U643" s="2"/>
      <c r="V643" s="3"/>
      <c r="W643" s="2"/>
      <c r="X643" s="3"/>
      <c r="Y643" s="2"/>
      <c r="Z643" s="3"/>
    </row>
    <row r="644">
      <c r="A644" s="1"/>
      <c r="B644" s="1"/>
      <c r="C644" s="2"/>
      <c r="D644" s="3"/>
      <c r="E644" s="2"/>
      <c r="F644" s="3"/>
      <c r="G644" s="2"/>
      <c r="H644" s="3"/>
      <c r="I644" s="2"/>
      <c r="J644" s="3"/>
      <c r="K644" s="2"/>
      <c r="L644" s="3"/>
      <c r="M644" s="2"/>
      <c r="N644" s="3"/>
      <c r="O644" s="2"/>
      <c r="P644" s="3"/>
      <c r="Q644" s="2"/>
      <c r="R644" s="3"/>
      <c r="S644" s="2"/>
      <c r="T644" s="3"/>
      <c r="U644" s="2"/>
      <c r="V644" s="3"/>
      <c r="W644" s="2"/>
      <c r="X644" s="3"/>
      <c r="Y644" s="2"/>
      <c r="Z644" s="3"/>
    </row>
    <row r="645">
      <c r="A645" s="1"/>
      <c r="B645" s="1"/>
      <c r="C645" s="2"/>
      <c r="D645" s="3"/>
      <c r="E645" s="2"/>
      <c r="F645" s="3"/>
      <c r="G645" s="2"/>
      <c r="H645" s="3"/>
      <c r="I645" s="2"/>
      <c r="J645" s="3"/>
      <c r="K645" s="2"/>
      <c r="L645" s="3"/>
      <c r="M645" s="2"/>
      <c r="N645" s="3"/>
      <c r="O645" s="2"/>
      <c r="P645" s="3"/>
      <c r="Q645" s="2"/>
      <c r="R645" s="3"/>
      <c r="S645" s="2"/>
      <c r="T645" s="3"/>
      <c r="U645" s="2"/>
      <c r="V645" s="3"/>
      <c r="W645" s="2"/>
      <c r="X645" s="3"/>
      <c r="Y645" s="2"/>
      <c r="Z645" s="3"/>
    </row>
    <row r="646">
      <c r="A646" s="1"/>
      <c r="B646" s="1"/>
      <c r="C646" s="2"/>
      <c r="D646" s="3"/>
      <c r="E646" s="2"/>
      <c r="F646" s="3"/>
      <c r="G646" s="2"/>
      <c r="H646" s="3"/>
      <c r="I646" s="2"/>
      <c r="J646" s="3"/>
      <c r="K646" s="2"/>
      <c r="L646" s="3"/>
      <c r="M646" s="2"/>
      <c r="N646" s="3"/>
      <c r="O646" s="2"/>
      <c r="P646" s="3"/>
      <c r="Q646" s="2"/>
      <c r="R646" s="3"/>
      <c r="S646" s="2"/>
      <c r="T646" s="3"/>
      <c r="U646" s="2"/>
      <c r="V646" s="3"/>
      <c r="W646" s="2"/>
      <c r="X646" s="3"/>
      <c r="Y646" s="2"/>
      <c r="Z646" s="3"/>
    </row>
    <row r="647">
      <c r="A647" s="1"/>
      <c r="B647" s="1"/>
      <c r="C647" s="2"/>
      <c r="D647" s="3"/>
      <c r="E647" s="2"/>
      <c r="F647" s="3"/>
      <c r="G647" s="2"/>
      <c r="H647" s="3"/>
      <c r="I647" s="2"/>
      <c r="J647" s="3"/>
      <c r="K647" s="2"/>
      <c r="L647" s="3"/>
      <c r="M647" s="2"/>
      <c r="N647" s="3"/>
      <c r="O647" s="2"/>
      <c r="P647" s="3"/>
      <c r="Q647" s="2"/>
      <c r="R647" s="3"/>
      <c r="S647" s="2"/>
      <c r="T647" s="3"/>
      <c r="U647" s="2"/>
      <c r="V647" s="3"/>
      <c r="W647" s="2"/>
      <c r="X647" s="3"/>
      <c r="Y647" s="2"/>
      <c r="Z647" s="3"/>
    </row>
    <row r="648">
      <c r="A648" s="1"/>
      <c r="B648" s="1"/>
      <c r="C648" s="2"/>
      <c r="D648" s="3"/>
      <c r="E648" s="2"/>
      <c r="F648" s="3"/>
      <c r="G648" s="2"/>
      <c r="H648" s="3"/>
      <c r="I648" s="2"/>
      <c r="J648" s="3"/>
      <c r="K648" s="2"/>
      <c r="L648" s="3"/>
      <c r="M648" s="2"/>
      <c r="N648" s="3"/>
      <c r="O648" s="2"/>
      <c r="P648" s="3"/>
      <c r="Q648" s="2"/>
      <c r="R648" s="3"/>
      <c r="S648" s="2"/>
      <c r="T648" s="3"/>
      <c r="U648" s="2"/>
      <c r="V648" s="3"/>
      <c r="W648" s="2"/>
      <c r="X648" s="3"/>
      <c r="Y648" s="2"/>
      <c r="Z648" s="3"/>
    </row>
    <row r="649">
      <c r="A649" s="1"/>
      <c r="B649" s="1"/>
      <c r="C649" s="2"/>
      <c r="D649" s="3"/>
      <c r="E649" s="2"/>
      <c r="F649" s="3"/>
      <c r="G649" s="2"/>
      <c r="H649" s="3"/>
      <c r="I649" s="2"/>
      <c r="J649" s="3"/>
      <c r="K649" s="2"/>
      <c r="L649" s="3"/>
      <c r="M649" s="2"/>
      <c r="N649" s="3"/>
      <c r="O649" s="2"/>
      <c r="P649" s="3"/>
      <c r="Q649" s="2"/>
      <c r="R649" s="3"/>
      <c r="S649" s="2"/>
      <c r="T649" s="3"/>
      <c r="U649" s="2"/>
      <c r="V649" s="3"/>
      <c r="W649" s="2"/>
      <c r="X649" s="3"/>
      <c r="Y649" s="2"/>
      <c r="Z649" s="3"/>
    </row>
    <row r="650">
      <c r="A650" s="1"/>
      <c r="B650" s="1"/>
      <c r="C650" s="2"/>
      <c r="D650" s="3"/>
      <c r="E650" s="2"/>
      <c r="F650" s="3"/>
      <c r="G650" s="2"/>
      <c r="H650" s="3"/>
      <c r="I650" s="2"/>
      <c r="J650" s="3"/>
      <c r="K650" s="2"/>
      <c r="L650" s="3"/>
      <c r="M650" s="2"/>
      <c r="N650" s="3"/>
      <c r="O650" s="2"/>
      <c r="P650" s="3"/>
      <c r="Q650" s="2"/>
      <c r="R650" s="3"/>
      <c r="S650" s="2"/>
      <c r="T650" s="3"/>
      <c r="U650" s="2"/>
      <c r="V650" s="3"/>
      <c r="W650" s="2"/>
      <c r="X650" s="3"/>
      <c r="Y650" s="2"/>
      <c r="Z650" s="3"/>
    </row>
    <row r="651">
      <c r="A651" s="1"/>
      <c r="B651" s="1"/>
      <c r="C651" s="2"/>
      <c r="D651" s="3"/>
      <c r="E651" s="2"/>
      <c r="F651" s="3"/>
      <c r="G651" s="2"/>
      <c r="H651" s="3"/>
      <c r="I651" s="2"/>
      <c r="J651" s="3"/>
      <c r="K651" s="2"/>
      <c r="L651" s="3"/>
      <c r="M651" s="2"/>
      <c r="N651" s="3"/>
      <c r="O651" s="2"/>
      <c r="P651" s="3"/>
      <c r="Q651" s="2"/>
      <c r="R651" s="3"/>
      <c r="S651" s="2"/>
      <c r="T651" s="3"/>
      <c r="U651" s="2"/>
      <c r="V651" s="3"/>
      <c r="W651" s="2"/>
      <c r="X651" s="3"/>
      <c r="Y651" s="2"/>
      <c r="Z651" s="3"/>
    </row>
    <row r="652">
      <c r="A652" s="1"/>
      <c r="B652" s="1"/>
      <c r="C652" s="2"/>
      <c r="D652" s="3"/>
      <c r="E652" s="2"/>
      <c r="F652" s="3"/>
      <c r="G652" s="2"/>
      <c r="H652" s="3"/>
      <c r="I652" s="2"/>
      <c r="J652" s="3"/>
      <c r="K652" s="2"/>
      <c r="L652" s="3"/>
      <c r="M652" s="2"/>
      <c r="N652" s="3"/>
      <c r="O652" s="2"/>
      <c r="P652" s="3"/>
      <c r="Q652" s="2"/>
      <c r="R652" s="3"/>
      <c r="S652" s="2"/>
      <c r="T652" s="3"/>
      <c r="U652" s="2"/>
      <c r="V652" s="3"/>
      <c r="W652" s="2"/>
      <c r="X652" s="3"/>
      <c r="Y652" s="2"/>
      <c r="Z652" s="3"/>
    </row>
    <row r="653">
      <c r="A653" s="1"/>
      <c r="B653" s="1"/>
      <c r="C653" s="2"/>
      <c r="D653" s="3"/>
      <c r="E653" s="2"/>
      <c r="F653" s="3"/>
      <c r="G653" s="2"/>
      <c r="H653" s="3"/>
      <c r="I653" s="2"/>
      <c r="J653" s="3"/>
      <c r="K653" s="2"/>
      <c r="L653" s="3"/>
      <c r="M653" s="2"/>
      <c r="N653" s="3"/>
      <c r="O653" s="2"/>
      <c r="P653" s="3"/>
      <c r="Q653" s="2"/>
      <c r="R653" s="3"/>
      <c r="S653" s="2"/>
      <c r="T653" s="3"/>
      <c r="U653" s="2"/>
      <c r="V653" s="3"/>
      <c r="W653" s="2"/>
      <c r="X653" s="3"/>
      <c r="Y653" s="2"/>
      <c r="Z653" s="3"/>
    </row>
    <row r="654">
      <c r="A654" s="1"/>
      <c r="B654" s="1"/>
      <c r="C654" s="2"/>
      <c r="D654" s="3"/>
      <c r="E654" s="2"/>
      <c r="F654" s="3"/>
      <c r="G654" s="2"/>
      <c r="H654" s="3"/>
      <c r="I654" s="2"/>
      <c r="J654" s="3"/>
      <c r="K654" s="2"/>
      <c r="L654" s="3"/>
      <c r="M654" s="2"/>
      <c r="N654" s="3"/>
      <c r="O654" s="2"/>
      <c r="P654" s="3"/>
      <c r="Q654" s="2"/>
      <c r="R654" s="3"/>
      <c r="S654" s="2"/>
      <c r="T654" s="3"/>
      <c r="U654" s="2"/>
      <c r="V654" s="3"/>
      <c r="W654" s="2"/>
      <c r="X654" s="3"/>
      <c r="Y654" s="2"/>
      <c r="Z654" s="3"/>
    </row>
    <row r="655">
      <c r="A655" s="1"/>
      <c r="B655" s="1"/>
      <c r="C655" s="2"/>
      <c r="D655" s="3"/>
      <c r="E655" s="2"/>
      <c r="F655" s="3"/>
      <c r="G655" s="2"/>
      <c r="H655" s="3"/>
      <c r="I655" s="2"/>
      <c r="J655" s="3"/>
      <c r="K655" s="2"/>
      <c r="L655" s="3"/>
      <c r="M655" s="2"/>
      <c r="N655" s="3"/>
      <c r="O655" s="2"/>
      <c r="P655" s="3"/>
      <c r="Q655" s="2"/>
      <c r="R655" s="3"/>
      <c r="S655" s="2"/>
      <c r="T655" s="3"/>
      <c r="U655" s="2"/>
      <c r="V655" s="3"/>
      <c r="W655" s="2"/>
      <c r="X655" s="3"/>
      <c r="Y655" s="2"/>
      <c r="Z655" s="3"/>
    </row>
    <row r="656">
      <c r="A656" s="1"/>
      <c r="B656" s="1"/>
      <c r="C656" s="2"/>
      <c r="D656" s="3"/>
      <c r="E656" s="2"/>
      <c r="F656" s="3"/>
      <c r="G656" s="2"/>
      <c r="H656" s="3"/>
      <c r="I656" s="2"/>
      <c r="J656" s="3"/>
      <c r="K656" s="2"/>
      <c r="L656" s="3"/>
      <c r="M656" s="2"/>
      <c r="N656" s="3"/>
      <c r="O656" s="2"/>
      <c r="P656" s="3"/>
      <c r="Q656" s="2"/>
      <c r="R656" s="3"/>
      <c r="S656" s="2"/>
      <c r="T656" s="3"/>
      <c r="U656" s="2"/>
      <c r="V656" s="3"/>
      <c r="W656" s="2"/>
      <c r="X656" s="3"/>
      <c r="Y656" s="2"/>
      <c r="Z656" s="3"/>
    </row>
    <row r="657">
      <c r="A657" s="1"/>
      <c r="B657" s="1"/>
      <c r="C657" s="2"/>
      <c r="D657" s="3"/>
      <c r="E657" s="2"/>
      <c r="F657" s="3"/>
      <c r="G657" s="2"/>
      <c r="H657" s="3"/>
      <c r="I657" s="2"/>
      <c r="J657" s="3"/>
      <c r="K657" s="2"/>
      <c r="L657" s="3"/>
      <c r="M657" s="2"/>
      <c r="N657" s="3"/>
      <c r="O657" s="2"/>
      <c r="P657" s="3"/>
      <c r="Q657" s="2"/>
      <c r="R657" s="3"/>
      <c r="S657" s="2"/>
      <c r="T657" s="3"/>
      <c r="U657" s="2"/>
      <c r="V657" s="3"/>
      <c r="W657" s="2"/>
      <c r="X657" s="3"/>
      <c r="Y657" s="2"/>
      <c r="Z657" s="3"/>
    </row>
    <row r="658">
      <c r="A658" s="1"/>
      <c r="B658" s="1"/>
      <c r="C658" s="2"/>
      <c r="D658" s="3"/>
      <c r="E658" s="2"/>
      <c r="F658" s="3"/>
      <c r="G658" s="2"/>
      <c r="H658" s="3"/>
      <c r="I658" s="2"/>
      <c r="J658" s="3"/>
      <c r="K658" s="2"/>
      <c r="L658" s="3"/>
      <c r="M658" s="2"/>
      <c r="N658" s="3"/>
      <c r="O658" s="2"/>
      <c r="P658" s="3"/>
      <c r="Q658" s="2"/>
      <c r="R658" s="3"/>
      <c r="S658" s="2"/>
      <c r="T658" s="3"/>
      <c r="U658" s="2"/>
      <c r="V658" s="3"/>
      <c r="W658" s="2"/>
      <c r="X658" s="3"/>
      <c r="Y658" s="2"/>
      <c r="Z658" s="3"/>
    </row>
    <row r="659">
      <c r="A659" s="1"/>
      <c r="B659" s="1"/>
      <c r="C659" s="2"/>
      <c r="D659" s="3"/>
      <c r="E659" s="2"/>
      <c r="F659" s="3"/>
      <c r="G659" s="2"/>
      <c r="H659" s="3"/>
      <c r="I659" s="2"/>
      <c r="J659" s="3"/>
      <c r="K659" s="2"/>
      <c r="L659" s="3"/>
      <c r="M659" s="2"/>
      <c r="N659" s="3"/>
      <c r="O659" s="2"/>
      <c r="P659" s="3"/>
      <c r="Q659" s="2"/>
      <c r="R659" s="3"/>
      <c r="S659" s="2"/>
      <c r="T659" s="3"/>
      <c r="U659" s="2"/>
      <c r="V659" s="3"/>
      <c r="W659" s="2"/>
      <c r="X659" s="3"/>
      <c r="Y659" s="2"/>
      <c r="Z659" s="3"/>
    </row>
    <row r="660">
      <c r="A660" s="1"/>
      <c r="B660" s="1"/>
      <c r="C660" s="2"/>
      <c r="D660" s="3"/>
      <c r="E660" s="2"/>
      <c r="F660" s="3"/>
      <c r="G660" s="2"/>
      <c r="H660" s="3"/>
      <c r="I660" s="2"/>
      <c r="J660" s="3"/>
      <c r="K660" s="2"/>
      <c r="L660" s="3"/>
      <c r="M660" s="2"/>
      <c r="N660" s="3"/>
      <c r="O660" s="2"/>
      <c r="P660" s="3"/>
      <c r="Q660" s="2"/>
      <c r="R660" s="3"/>
      <c r="S660" s="2"/>
      <c r="T660" s="3"/>
      <c r="U660" s="2"/>
      <c r="V660" s="3"/>
      <c r="W660" s="2"/>
      <c r="X660" s="3"/>
      <c r="Y660" s="2"/>
      <c r="Z660" s="3"/>
    </row>
    <row r="661">
      <c r="A661" s="1"/>
      <c r="B661" s="1"/>
      <c r="C661" s="2"/>
      <c r="D661" s="3"/>
      <c r="E661" s="2"/>
      <c r="F661" s="3"/>
      <c r="G661" s="2"/>
      <c r="H661" s="3"/>
      <c r="I661" s="2"/>
      <c r="J661" s="3"/>
      <c r="K661" s="2"/>
      <c r="L661" s="3"/>
      <c r="M661" s="2"/>
      <c r="N661" s="3"/>
      <c r="O661" s="2"/>
      <c r="P661" s="3"/>
      <c r="Q661" s="2"/>
      <c r="R661" s="3"/>
      <c r="S661" s="2"/>
      <c r="T661" s="3"/>
      <c r="U661" s="2"/>
      <c r="V661" s="3"/>
      <c r="W661" s="2"/>
      <c r="X661" s="3"/>
      <c r="Y661" s="2"/>
      <c r="Z661" s="3"/>
    </row>
    <row r="662">
      <c r="A662" s="1"/>
      <c r="B662" s="1"/>
      <c r="C662" s="2"/>
      <c r="D662" s="3"/>
      <c r="E662" s="2"/>
      <c r="F662" s="3"/>
      <c r="G662" s="2"/>
      <c r="H662" s="3"/>
      <c r="I662" s="2"/>
      <c r="J662" s="3"/>
      <c r="K662" s="2"/>
      <c r="L662" s="3"/>
      <c r="M662" s="2"/>
      <c r="N662" s="3"/>
      <c r="O662" s="2"/>
      <c r="P662" s="3"/>
      <c r="Q662" s="2"/>
      <c r="R662" s="3"/>
      <c r="S662" s="2"/>
      <c r="T662" s="3"/>
      <c r="U662" s="2"/>
      <c r="V662" s="3"/>
      <c r="W662" s="2"/>
      <c r="X662" s="3"/>
      <c r="Y662" s="2"/>
      <c r="Z662" s="3"/>
    </row>
    <row r="663">
      <c r="A663" s="1"/>
      <c r="B663" s="1"/>
      <c r="C663" s="2"/>
      <c r="D663" s="3"/>
      <c r="E663" s="2"/>
      <c r="F663" s="3"/>
      <c r="G663" s="2"/>
      <c r="H663" s="3"/>
      <c r="I663" s="2"/>
      <c r="J663" s="3"/>
      <c r="K663" s="2"/>
      <c r="L663" s="3"/>
      <c r="M663" s="2"/>
      <c r="N663" s="3"/>
      <c r="O663" s="2"/>
      <c r="P663" s="3"/>
      <c r="Q663" s="2"/>
      <c r="R663" s="3"/>
      <c r="S663" s="2"/>
      <c r="T663" s="3"/>
      <c r="U663" s="2"/>
      <c r="V663" s="3"/>
      <c r="W663" s="2"/>
      <c r="X663" s="3"/>
      <c r="Y663" s="2"/>
      <c r="Z663" s="3"/>
    </row>
    <row r="664">
      <c r="A664" s="1"/>
      <c r="B664" s="1"/>
      <c r="C664" s="2"/>
      <c r="D664" s="3"/>
      <c r="E664" s="2"/>
      <c r="F664" s="3"/>
      <c r="G664" s="2"/>
      <c r="H664" s="3"/>
      <c r="I664" s="2"/>
      <c r="J664" s="3"/>
      <c r="K664" s="2"/>
      <c r="L664" s="3"/>
      <c r="M664" s="2"/>
      <c r="N664" s="3"/>
      <c r="O664" s="2"/>
      <c r="P664" s="3"/>
      <c r="Q664" s="2"/>
      <c r="R664" s="3"/>
      <c r="S664" s="2"/>
      <c r="T664" s="3"/>
      <c r="U664" s="2"/>
      <c r="V664" s="3"/>
      <c r="W664" s="2"/>
      <c r="X664" s="3"/>
      <c r="Y664" s="2"/>
      <c r="Z664" s="3"/>
    </row>
    <row r="665">
      <c r="A665" s="1"/>
      <c r="B665" s="1"/>
      <c r="C665" s="2"/>
      <c r="D665" s="3"/>
      <c r="E665" s="2"/>
      <c r="F665" s="3"/>
      <c r="G665" s="2"/>
      <c r="H665" s="3"/>
      <c r="I665" s="2"/>
      <c r="J665" s="3"/>
      <c r="K665" s="2"/>
      <c r="L665" s="3"/>
      <c r="M665" s="2"/>
      <c r="N665" s="3"/>
      <c r="O665" s="2"/>
      <c r="P665" s="3"/>
      <c r="Q665" s="2"/>
      <c r="R665" s="3"/>
      <c r="S665" s="2"/>
      <c r="T665" s="3"/>
      <c r="U665" s="2"/>
      <c r="V665" s="3"/>
      <c r="W665" s="2"/>
      <c r="X665" s="3"/>
      <c r="Y665" s="2"/>
      <c r="Z665" s="3"/>
    </row>
    <row r="666">
      <c r="A666" s="1"/>
      <c r="B666" s="1"/>
      <c r="C666" s="2"/>
      <c r="D666" s="3"/>
      <c r="E666" s="2"/>
      <c r="F666" s="3"/>
      <c r="G666" s="2"/>
      <c r="H666" s="3"/>
      <c r="I666" s="2"/>
      <c r="J666" s="3"/>
      <c r="K666" s="2"/>
      <c r="L666" s="3"/>
      <c r="M666" s="2"/>
      <c r="N666" s="3"/>
      <c r="O666" s="2"/>
      <c r="P666" s="3"/>
      <c r="Q666" s="2"/>
      <c r="R666" s="3"/>
      <c r="S666" s="2"/>
      <c r="T666" s="3"/>
      <c r="U666" s="2"/>
      <c r="V666" s="3"/>
      <c r="W666" s="2"/>
      <c r="X666" s="3"/>
      <c r="Y666" s="2"/>
      <c r="Z666" s="3"/>
    </row>
    <row r="667">
      <c r="A667" s="1"/>
      <c r="B667" s="1"/>
      <c r="C667" s="2"/>
      <c r="D667" s="3"/>
      <c r="E667" s="2"/>
      <c r="F667" s="3"/>
      <c r="G667" s="2"/>
      <c r="H667" s="3"/>
      <c r="I667" s="2"/>
      <c r="J667" s="3"/>
      <c r="K667" s="2"/>
      <c r="L667" s="3"/>
      <c r="M667" s="2"/>
      <c r="N667" s="3"/>
      <c r="O667" s="2"/>
      <c r="P667" s="3"/>
      <c r="Q667" s="2"/>
      <c r="R667" s="3"/>
      <c r="S667" s="2"/>
      <c r="T667" s="3"/>
      <c r="U667" s="2"/>
      <c r="V667" s="3"/>
      <c r="W667" s="2"/>
      <c r="X667" s="3"/>
      <c r="Y667" s="2"/>
      <c r="Z667" s="3"/>
    </row>
    <row r="668">
      <c r="A668" s="1"/>
      <c r="B668" s="1"/>
      <c r="C668" s="2"/>
      <c r="D668" s="3"/>
      <c r="E668" s="2"/>
      <c r="F668" s="3"/>
      <c r="G668" s="2"/>
      <c r="H668" s="3"/>
      <c r="I668" s="2"/>
      <c r="J668" s="3"/>
      <c r="K668" s="2"/>
      <c r="L668" s="3"/>
      <c r="M668" s="2"/>
      <c r="N668" s="3"/>
      <c r="O668" s="2"/>
      <c r="P668" s="3"/>
      <c r="Q668" s="2"/>
      <c r="R668" s="3"/>
      <c r="S668" s="2"/>
      <c r="T668" s="3"/>
      <c r="U668" s="2"/>
      <c r="V668" s="3"/>
      <c r="W668" s="2"/>
      <c r="X668" s="3"/>
      <c r="Y668" s="2"/>
      <c r="Z668" s="3"/>
    </row>
    <row r="669">
      <c r="A669" s="1"/>
      <c r="B669" s="1"/>
      <c r="C669" s="2"/>
      <c r="D669" s="3"/>
      <c r="E669" s="2"/>
      <c r="F669" s="3"/>
      <c r="G669" s="2"/>
      <c r="H669" s="3"/>
      <c r="I669" s="2"/>
      <c r="J669" s="3"/>
      <c r="K669" s="2"/>
      <c r="L669" s="3"/>
      <c r="M669" s="2"/>
      <c r="N669" s="3"/>
      <c r="O669" s="2"/>
      <c r="P669" s="3"/>
      <c r="Q669" s="2"/>
      <c r="R669" s="3"/>
      <c r="S669" s="2"/>
      <c r="T669" s="3"/>
      <c r="U669" s="2"/>
      <c r="V669" s="3"/>
      <c r="W669" s="2"/>
      <c r="X669" s="3"/>
      <c r="Y669" s="2"/>
      <c r="Z669" s="3"/>
    </row>
    <row r="670">
      <c r="A670" s="1"/>
      <c r="B670" s="1"/>
      <c r="C670" s="2"/>
      <c r="D670" s="3"/>
      <c r="E670" s="2"/>
      <c r="F670" s="3"/>
      <c r="G670" s="2"/>
      <c r="H670" s="3"/>
      <c r="I670" s="2"/>
      <c r="J670" s="3"/>
      <c r="K670" s="2"/>
      <c r="L670" s="3"/>
      <c r="M670" s="2"/>
      <c r="N670" s="3"/>
      <c r="O670" s="2"/>
      <c r="P670" s="3"/>
      <c r="Q670" s="2"/>
      <c r="R670" s="3"/>
      <c r="S670" s="2"/>
      <c r="T670" s="3"/>
      <c r="U670" s="2"/>
      <c r="V670" s="3"/>
      <c r="W670" s="2"/>
      <c r="X670" s="3"/>
      <c r="Y670" s="2"/>
      <c r="Z670" s="3"/>
    </row>
    <row r="671">
      <c r="A671" s="1"/>
      <c r="B671" s="1"/>
      <c r="C671" s="2"/>
      <c r="D671" s="3"/>
      <c r="E671" s="2"/>
      <c r="F671" s="3"/>
      <c r="G671" s="2"/>
      <c r="H671" s="3"/>
      <c r="I671" s="2"/>
      <c r="J671" s="3"/>
      <c r="K671" s="2"/>
      <c r="L671" s="3"/>
      <c r="M671" s="2"/>
      <c r="N671" s="3"/>
      <c r="O671" s="2"/>
      <c r="P671" s="3"/>
      <c r="Q671" s="2"/>
      <c r="R671" s="3"/>
      <c r="S671" s="2"/>
      <c r="T671" s="3"/>
      <c r="U671" s="2"/>
      <c r="V671" s="3"/>
      <c r="W671" s="2"/>
      <c r="X671" s="3"/>
      <c r="Y671" s="2"/>
      <c r="Z671" s="3"/>
    </row>
    <row r="672">
      <c r="A672" s="1"/>
      <c r="B672" s="1"/>
      <c r="C672" s="2"/>
      <c r="D672" s="3"/>
      <c r="E672" s="2"/>
      <c r="F672" s="3"/>
      <c r="G672" s="2"/>
      <c r="H672" s="3"/>
      <c r="I672" s="2"/>
      <c r="J672" s="3"/>
      <c r="K672" s="2"/>
      <c r="L672" s="3"/>
      <c r="M672" s="2"/>
      <c r="N672" s="3"/>
      <c r="O672" s="2"/>
      <c r="P672" s="3"/>
      <c r="Q672" s="2"/>
      <c r="R672" s="3"/>
      <c r="S672" s="2"/>
      <c r="T672" s="3"/>
      <c r="U672" s="2"/>
      <c r="V672" s="3"/>
      <c r="W672" s="2"/>
      <c r="X672" s="3"/>
      <c r="Y672" s="2"/>
      <c r="Z672" s="3"/>
    </row>
    <row r="673">
      <c r="A673" s="1"/>
      <c r="B673" s="1"/>
      <c r="C673" s="2"/>
      <c r="D673" s="3"/>
      <c r="E673" s="2"/>
      <c r="F673" s="3"/>
      <c r="G673" s="2"/>
      <c r="H673" s="3"/>
      <c r="I673" s="2"/>
      <c r="J673" s="3"/>
      <c r="K673" s="2"/>
      <c r="L673" s="3"/>
      <c r="M673" s="2"/>
      <c r="N673" s="3"/>
      <c r="O673" s="2"/>
      <c r="P673" s="3"/>
      <c r="Q673" s="2"/>
      <c r="R673" s="3"/>
      <c r="S673" s="2"/>
      <c r="T673" s="3"/>
      <c r="U673" s="2"/>
      <c r="V673" s="3"/>
      <c r="W673" s="2"/>
      <c r="X673" s="3"/>
      <c r="Y673" s="2"/>
      <c r="Z673" s="3"/>
    </row>
    <row r="674">
      <c r="A674" s="1"/>
      <c r="B674" s="1"/>
      <c r="C674" s="2"/>
      <c r="D674" s="3"/>
      <c r="E674" s="2"/>
      <c r="F674" s="3"/>
      <c r="G674" s="2"/>
      <c r="H674" s="3"/>
      <c r="I674" s="2"/>
      <c r="J674" s="3"/>
      <c r="K674" s="2"/>
      <c r="L674" s="3"/>
      <c r="M674" s="2"/>
      <c r="N674" s="3"/>
      <c r="O674" s="2"/>
      <c r="P674" s="3"/>
      <c r="Q674" s="2"/>
      <c r="R674" s="3"/>
      <c r="S674" s="2"/>
      <c r="T674" s="3"/>
      <c r="U674" s="2"/>
      <c r="V674" s="3"/>
      <c r="W674" s="2"/>
      <c r="X674" s="3"/>
      <c r="Y674" s="2"/>
      <c r="Z674" s="3"/>
    </row>
    <row r="675">
      <c r="A675" s="1"/>
      <c r="B675" s="1"/>
      <c r="C675" s="2"/>
      <c r="D675" s="3"/>
      <c r="E675" s="2"/>
      <c r="F675" s="3"/>
      <c r="G675" s="2"/>
      <c r="H675" s="3"/>
      <c r="I675" s="2"/>
      <c r="J675" s="3"/>
      <c r="K675" s="2"/>
      <c r="L675" s="3"/>
      <c r="M675" s="2"/>
      <c r="N675" s="3"/>
      <c r="O675" s="2"/>
      <c r="P675" s="3"/>
      <c r="Q675" s="2"/>
      <c r="R675" s="3"/>
      <c r="S675" s="2"/>
      <c r="T675" s="3"/>
      <c r="U675" s="2"/>
      <c r="V675" s="3"/>
      <c r="W675" s="2"/>
      <c r="X675" s="3"/>
      <c r="Y675" s="2"/>
      <c r="Z675" s="3"/>
    </row>
    <row r="676">
      <c r="A676" s="1"/>
      <c r="B676" s="1"/>
      <c r="C676" s="2"/>
      <c r="D676" s="3"/>
      <c r="E676" s="2"/>
      <c r="F676" s="3"/>
      <c r="G676" s="2"/>
      <c r="H676" s="3"/>
      <c r="I676" s="2"/>
      <c r="J676" s="3"/>
      <c r="K676" s="2"/>
      <c r="L676" s="3"/>
      <c r="M676" s="2"/>
      <c r="N676" s="3"/>
      <c r="O676" s="2"/>
      <c r="P676" s="3"/>
      <c r="Q676" s="2"/>
      <c r="R676" s="3"/>
      <c r="S676" s="2"/>
      <c r="T676" s="3"/>
      <c r="U676" s="2"/>
      <c r="V676" s="3"/>
      <c r="W676" s="2"/>
      <c r="X676" s="3"/>
      <c r="Y676" s="2"/>
      <c r="Z676" s="3"/>
    </row>
    <row r="677">
      <c r="A677" s="1"/>
      <c r="B677" s="1"/>
      <c r="C677" s="2"/>
      <c r="D677" s="3"/>
      <c r="E677" s="2"/>
      <c r="F677" s="3"/>
      <c r="G677" s="2"/>
      <c r="H677" s="3"/>
      <c r="I677" s="2"/>
      <c r="J677" s="3"/>
      <c r="K677" s="2"/>
      <c r="L677" s="3"/>
      <c r="M677" s="2"/>
      <c r="N677" s="3"/>
      <c r="O677" s="2"/>
      <c r="P677" s="3"/>
      <c r="Q677" s="2"/>
      <c r="R677" s="3"/>
      <c r="S677" s="2"/>
      <c r="T677" s="3"/>
      <c r="U677" s="2"/>
      <c r="V677" s="3"/>
      <c r="W677" s="2"/>
      <c r="X677" s="3"/>
      <c r="Y677" s="2"/>
      <c r="Z677" s="3"/>
    </row>
    <row r="678">
      <c r="A678" s="1"/>
      <c r="B678" s="1"/>
      <c r="C678" s="2"/>
      <c r="D678" s="3"/>
      <c r="E678" s="2"/>
      <c r="F678" s="3"/>
      <c r="G678" s="2"/>
      <c r="H678" s="3"/>
      <c r="I678" s="2"/>
      <c r="J678" s="3"/>
      <c r="K678" s="2"/>
      <c r="L678" s="3"/>
      <c r="M678" s="2"/>
      <c r="N678" s="3"/>
      <c r="O678" s="2"/>
      <c r="P678" s="3"/>
      <c r="Q678" s="2"/>
      <c r="R678" s="3"/>
      <c r="S678" s="2"/>
      <c r="T678" s="3"/>
      <c r="U678" s="2"/>
      <c r="V678" s="3"/>
      <c r="W678" s="2"/>
      <c r="X678" s="3"/>
      <c r="Y678" s="2"/>
      <c r="Z678" s="3"/>
    </row>
    <row r="679">
      <c r="A679" s="1"/>
      <c r="B679" s="1"/>
      <c r="C679" s="2"/>
      <c r="D679" s="3"/>
      <c r="E679" s="2"/>
      <c r="F679" s="3"/>
      <c r="G679" s="2"/>
      <c r="H679" s="3"/>
      <c r="I679" s="2"/>
      <c r="J679" s="3"/>
      <c r="K679" s="2"/>
      <c r="L679" s="3"/>
      <c r="M679" s="2"/>
      <c r="N679" s="3"/>
      <c r="O679" s="2"/>
      <c r="P679" s="3"/>
      <c r="Q679" s="2"/>
      <c r="R679" s="3"/>
      <c r="S679" s="2"/>
      <c r="T679" s="3"/>
      <c r="U679" s="2"/>
      <c r="V679" s="3"/>
      <c r="W679" s="2"/>
      <c r="X679" s="3"/>
      <c r="Y679" s="2"/>
      <c r="Z679" s="3"/>
    </row>
    <row r="680">
      <c r="A680" s="1"/>
      <c r="B680" s="1"/>
      <c r="C680" s="2"/>
      <c r="D680" s="3"/>
      <c r="E680" s="2"/>
      <c r="F680" s="3"/>
      <c r="G680" s="2"/>
      <c r="H680" s="3"/>
      <c r="I680" s="2"/>
      <c r="J680" s="3"/>
      <c r="K680" s="2"/>
      <c r="L680" s="3"/>
      <c r="M680" s="2"/>
      <c r="N680" s="3"/>
      <c r="O680" s="2"/>
      <c r="P680" s="3"/>
      <c r="Q680" s="2"/>
      <c r="R680" s="3"/>
      <c r="S680" s="2"/>
      <c r="T680" s="3"/>
      <c r="U680" s="2"/>
      <c r="V680" s="3"/>
      <c r="W680" s="2"/>
      <c r="X680" s="3"/>
      <c r="Y680" s="2"/>
      <c r="Z680" s="3"/>
    </row>
    <row r="681">
      <c r="A681" s="1"/>
      <c r="B681" s="1"/>
      <c r="C681" s="2"/>
      <c r="D681" s="3"/>
      <c r="E681" s="2"/>
      <c r="F681" s="3"/>
      <c r="G681" s="2"/>
      <c r="H681" s="3"/>
      <c r="I681" s="2"/>
      <c r="J681" s="3"/>
      <c r="K681" s="2"/>
      <c r="L681" s="3"/>
      <c r="M681" s="2"/>
      <c r="N681" s="3"/>
      <c r="O681" s="2"/>
      <c r="P681" s="3"/>
      <c r="Q681" s="2"/>
      <c r="R681" s="3"/>
      <c r="S681" s="2"/>
      <c r="T681" s="3"/>
      <c r="U681" s="2"/>
      <c r="V681" s="3"/>
      <c r="W681" s="2"/>
      <c r="X681" s="3"/>
      <c r="Y681" s="2"/>
      <c r="Z681" s="3"/>
    </row>
    <row r="682">
      <c r="A682" s="1"/>
      <c r="B682" s="1"/>
      <c r="C682" s="2"/>
      <c r="D682" s="3"/>
      <c r="E682" s="2"/>
      <c r="F682" s="3"/>
      <c r="G682" s="2"/>
      <c r="H682" s="3"/>
      <c r="I682" s="2"/>
      <c r="J682" s="3"/>
      <c r="K682" s="2"/>
      <c r="L682" s="3"/>
      <c r="M682" s="2"/>
      <c r="N682" s="3"/>
      <c r="O682" s="2"/>
      <c r="P682" s="3"/>
      <c r="Q682" s="2"/>
      <c r="R682" s="3"/>
      <c r="S682" s="2"/>
      <c r="T682" s="3"/>
      <c r="U682" s="2"/>
      <c r="V682" s="3"/>
      <c r="W682" s="2"/>
      <c r="X682" s="3"/>
      <c r="Y682" s="2"/>
      <c r="Z682" s="3"/>
    </row>
    <row r="683">
      <c r="A683" s="1"/>
      <c r="B683" s="1"/>
      <c r="C683" s="2"/>
      <c r="D683" s="3"/>
      <c r="E683" s="2"/>
      <c r="F683" s="3"/>
      <c r="G683" s="2"/>
      <c r="H683" s="3"/>
      <c r="I683" s="2"/>
      <c r="J683" s="3"/>
      <c r="K683" s="2"/>
      <c r="L683" s="3"/>
      <c r="M683" s="2"/>
      <c r="N683" s="3"/>
      <c r="O683" s="2"/>
      <c r="P683" s="3"/>
      <c r="Q683" s="2"/>
      <c r="R683" s="3"/>
      <c r="S683" s="2"/>
      <c r="T683" s="3"/>
      <c r="U683" s="2"/>
      <c r="V683" s="3"/>
      <c r="W683" s="2"/>
      <c r="X683" s="3"/>
      <c r="Y683" s="2"/>
      <c r="Z683" s="3"/>
    </row>
    <row r="684">
      <c r="A684" s="1"/>
      <c r="B684" s="1"/>
      <c r="C684" s="2"/>
      <c r="D684" s="3"/>
      <c r="E684" s="2"/>
      <c r="F684" s="3"/>
      <c r="G684" s="2"/>
      <c r="H684" s="3"/>
      <c r="I684" s="2"/>
      <c r="J684" s="3"/>
      <c r="K684" s="2"/>
      <c r="L684" s="3"/>
      <c r="M684" s="2"/>
      <c r="N684" s="3"/>
      <c r="O684" s="2"/>
      <c r="P684" s="3"/>
      <c r="Q684" s="2"/>
      <c r="R684" s="3"/>
      <c r="S684" s="2"/>
      <c r="T684" s="3"/>
      <c r="U684" s="2"/>
      <c r="V684" s="3"/>
      <c r="W684" s="2"/>
      <c r="X684" s="3"/>
      <c r="Y684" s="2"/>
      <c r="Z684" s="3"/>
    </row>
    <row r="685">
      <c r="A685" s="1"/>
      <c r="B685" s="1"/>
      <c r="C685" s="2"/>
      <c r="D685" s="3"/>
      <c r="E685" s="2"/>
      <c r="F685" s="3"/>
      <c r="G685" s="2"/>
      <c r="H685" s="3"/>
      <c r="I685" s="2"/>
      <c r="J685" s="3"/>
      <c r="K685" s="2"/>
      <c r="L685" s="3"/>
      <c r="M685" s="2"/>
      <c r="N685" s="3"/>
      <c r="O685" s="2"/>
      <c r="P685" s="3"/>
      <c r="Q685" s="2"/>
      <c r="R685" s="3"/>
      <c r="S685" s="2"/>
      <c r="T685" s="3"/>
      <c r="U685" s="2"/>
      <c r="V685" s="3"/>
      <c r="W685" s="2"/>
      <c r="X685" s="3"/>
      <c r="Y685" s="2"/>
      <c r="Z685" s="3"/>
    </row>
    <row r="686">
      <c r="A686" s="1"/>
      <c r="B686" s="1"/>
      <c r="C686" s="2"/>
      <c r="D686" s="3"/>
      <c r="E686" s="2"/>
      <c r="F686" s="3"/>
      <c r="G686" s="2"/>
      <c r="H686" s="3"/>
      <c r="I686" s="2"/>
      <c r="J686" s="3"/>
      <c r="K686" s="2"/>
      <c r="L686" s="3"/>
      <c r="M686" s="2"/>
      <c r="N686" s="3"/>
      <c r="O686" s="2"/>
      <c r="P686" s="3"/>
      <c r="Q686" s="2"/>
      <c r="R686" s="3"/>
      <c r="S686" s="2"/>
      <c r="T686" s="3"/>
      <c r="U686" s="2"/>
      <c r="V686" s="3"/>
      <c r="W686" s="2"/>
      <c r="X686" s="3"/>
      <c r="Y686" s="2"/>
      <c r="Z686" s="3"/>
    </row>
    <row r="687">
      <c r="A687" s="1"/>
      <c r="B687" s="1"/>
      <c r="C687" s="2"/>
      <c r="D687" s="3"/>
      <c r="E687" s="2"/>
      <c r="F687" s="3"/>
      <c r="G687" s="2"/>
      <c r="H687" s="3"/>
      <c r="I687" s="2"/>
      <c r="J687" s="3"/>
      <c r="K687" s="2"/>
      <c r="L687" s="3"/>
      <c r="M687" s="2"/>
      <c r="N687" s="3"/>
      <c r="O687" s="2"/>
      <c r="P687" s="3"/>
      <c r="Q687" s="2"/>
      <c r="R687" s="3"/>
      <c r="S687" s="2"/>
      <c r="T687" s="3"/>
      <c r="U687" s="2"/>
      <c r="V687" s="3"/>
      <c r="W687" s="2"/>
      <c r="X687" s="3"/>
      <c r="Y687" s="2"/>
      <c r="Z687" s="3"/>
    </row>
    <row r="688">
      <c r="A688" s="1"/>
      <c r="B688" s="1"/>
      <c r="C688" s="2"/>
      <c r="D688" s="3"/>
      <c r="E688" s="2"/>
      <c r="F688" s="3"/>
      <c r="G688" s="2"/>
      <c r="H688" s="3"/>
      <c r="I688" s="2"/>
      <c r="J688" s="3"/>
      <c r="K688" s="2"/>
      <c r="L688" s="3"/>
      <c r="M688" s="2"/>
      <c r="N688" s="3"/>
      <c r="O688" s="2"/>
      <c r="P688" s="3"/>
      <c r="Q688" s="2"/>
      <c r="R688" s="3"/>
      <c r="S688" s="2"/>
      <c r="T688" s="3"/>
      <c r="U688" s="2"/>
      <c r="V688" s="3"/>
      <c r="W688" s="2"/>
      <c r="X688" s="3"/>
      <c r="Y688" s="2"/>
      <c r="Z688" s="3"/>
    </row>
    <row r="689">
      <c r="A689" s="1"/>
      <c r="B689" s="1"/>
      <c r="C689" s="2"/>
      <c r="D689" s="3"/>
      <c r="E689" s="2"/>
      <c r="F689" s="3"/>
      <c r="G689" s="2"/>
      <c r="H689" s="3"/>
      <c r="I689" s="2"/>
      <c r="J689" s="3"/>
      <c r="K689" s="2"/>
      <c r="L689" s="3"/>
      <c r="M689" s="2"/>
      <c r="N689" s="3"/>
      <c r="O689" s="2"/>
      <c r="P689" s="3"/>
      <c r="Q689" s="2"/>
      <c r="R689" s="3"/>
      <c r="S689" s="2"/>
      <c r="T689" s="3"/>
      <c r="U689" s="2"/>
      <c r="V689" s="3"/>
      <c r="W689" s="2"/>
      <c r="X689" s="3"/>
      <c r="Y689" s="2"/>
      <c r="Z689" s="3"/>
    </row>
    <row r="690">
      <c r="A690" s="1"/>
      <c r="B690" s="1"/>
      <c r="C690" s="2"/>
      <c r="D690" s="3"/>
      <c r="E690" s="2"/>
      <c r="F690" s="3"/>
      <c r="G690" s="2"/>
      <c r="H690" s="3"/>
      <c r="I690" s="2"/>
      <c r="J690" s="3"/>
      <c r="K690" s="2"/>
      <c r="L690" s="3"/>
      <c r="M690" s="2"/>
      <c r="N690" s="3"/>
      <c r="O690" s="2"/>
      <c r="P690" s="3"/>
      <c r="Q690" s="2"/>
      <c r="R690" s="3"/>
      <c r="S690" s="2"/>
      <c r="T690" s="3"/>
      <c r="U690" s="2"/>
      <c r="V690" s="3"/>
      <c r="W690" s="2"/>
      <c r="X690" s="3"/>
      <c r="Y690" s="2"/>
      <c r="Z690" s="3"/>
    </row>
    <row r="691">
      <c r="A691" s="1"/>
      <c r="B691" s="1"/>
      <c r="C691" s="2"/>
      <c r="D691" s="3"/>
      <c r="E691" s="2"/>
      <c r="F691" s="3"/>
      <c r="G691" s="2"/>
      <c r="H691" s="3"/>
      <c r="I691" s="2"/>
      <c r="J691" s="3"/>
      <c r="K691" s="2"/>
      <c r="L691" s="3"/>
      <c r="M691" s="2"/>
      <c r="N691" s="3"/>
      <c r="O691" s="2"/>
      <c r="P691" s="3"/>
      <c r="Q691" s="2"/>
      <c r="R691" s="3"/>
      <c r="S691" s="2"/>
      <c r="T691" s="3"/>
      <c r="U691" s="2"/>
      <c r="V691" s="3"/>
      <c r="W691" s="2"/>
      <c r="X691" s="3"/>
      <c r="Y691" s="2"/>
      <c r="Z691" s="3"/>
    </row>
    <row r="692">
      <c r="A692" s="1"/>
      <c r="B692" s="1"/>
      <c r="C692" s="2"/>
      <c r="D692" s="3"/>
      <c r="E692" s="2"/>
      <c r="F692" s="3"/>
      <c r="G692" s="2"/>
      <c r="H692" s="3"/>
      <c r="I692" s="2"/>
      <c r="J692" s="3"/>
      <c r="K692" s="2"/>
      <c r="L692" s="3"/>
      <c r="M692" s="2"/>
      <c r="N692" s="3"/>
      <c r="O692" s="2"/>
      <c r="P692" s="3"/>
      <c r="Q692" s="2"/>
      <c r="R692" s="3"/>
      <c r="S692" s="2"/>
      <c r="T692" s="3"/>
      <c r="U692" s="2"/>
      <c r="V692" s="3"/>
      <c r="W692" s="2"/>
      <c r="X692" s="3"/>
      <c r="Y692" s="2"/>
      <c r="Z692" s="3"/>
    </row>
    <row r="693">
      <c r="A693" s="1"/>
      <c r="B693" s="1"/>
      <c r="C693" s="2"/>
      <c r="D693" s="3"/>
      <c r="E693" s="2"/>
      <c r="F693" s="3"/>
      <c r="G693" s="2"/>
      <c r="H693" s="3"/>
      <c r="I693" s="2"/>
      <c r="J693" s="3"/>
      <c r="K693" s="2"/>
      <c r="L693" s="3"/>
      <c r="M693" s="2"/>
      <c r="N693" s="3"/>
      <c r="O693" s="2"/>
      <c r="P693" s="3"/>
      <c r="Q693" s="2"/>
      <c r="R693" s="3"/>
      <c r="S693" s="2"/>
      <c r="T693" s="3"/>
      <c r="U693" s="2"/>
      <c r="V693" s="3"/>
      <c r="W693" s="2"/>
      <c r="X693" s="3"/>
      <c r="Y693" s="2"/>
      <c r="Z693" s="3"/>
    </row>
    <row r="694">
      <c r="A694" s="1"/>
      <c r="B694" s="1"/>
      <c r="C694" s="2"/>
      <c r="D694" s="3"/>
      <c r="E694" s="2"/>
      <c r="F694" s="3"/>
      <c r="G694" s="2"/>
      <c r="H694" s="3"/>
      <c r="I694" s="2"/>
      <c r="J694" s="3"/>
      <c r="K694" s="2"/>
      <c r="L694" s="3"/>
      <c r="M694" s="2"/>
      <c r="N694" s="3"/>
      <c r="O694" s="2"/>
      <c r="P694" s="3"/>
      <c r="Q694" s="2"/>
      <c r="R694" s="3"/>
      <c r="S694" s="2"/>
      <c r="T694" s="3"/>
      <c r="U694" s="2"/>
      <c r="V694" s="3"/>
      <c r="W694" s="2"/>
      <c r="X694" s="3"/>
      <c r="Y694" s="2"/>
      <c r="Z694" s="3"/>
    </row>
    <row r="695">
      <c r="A695" s="1"/>
      <c r="B695" s="1"/>
      <c r="C695" s="2"/>
      <c r="D695" s="3"/>
      <c r="E695" s="2"/>
      <c r="F695" s="3"/>
      <c r="G695" s="2"/>
      <c r="H695" s="3"/>
      <c r="I695" s="2"/>
      <c r="J695" s="3"/>
      <c r="K695" s="2"/>
      <c r="L695" s="3"/>
      <c r="M695" s="2"/>
      <c r="N695" s="3"/>
      <c r="O695" s="2"/>
      <c r="P695" s="3"/>
      <c r="Q695" s="2"/>
      <c r="R695" s="3"/>
      <c r="S695" s="2"/>
      <c r="T695" s="3"/>
      <c r="U695" s="2"/>
      <c r="V695" s="3"/>
      <c r="W695" s="2"/>
      <c r="X695" s="3"/>
      <c r="Y695" s="2"/>
      <c r="Z695" s="3"/>
    </row>
    <row r="696">
      <c r="A696" s="1"/>
      <c r="B696" s="1"/>
      <c r="C696" s="2"/>
      <c r="D696" s="3"/>
      <c r="E696" s="2"/>
      <c r="F696" s="3"/>
      <c r="G696" s="2"/>
      <c r="H696" s="3"/>
      <c r="I696" s="2"/>
      <c r="J696" s="3"/>
      <c r="K696" s="2"/>
      <c r="L696" s="3"/>
      <c r="M696" s="2"/>
      <c r="N696" s="3"/>
      <c r="O696" s="2"/>
      <c r="P696" s="3"/>
      <c r="Q696" s="2"/>
      <c r="R696" s="3"/>
      <c r="S696" s="2"/>
      <c r="T696" s="3"/>
      <c r="U696" s="2"/>
      <c r="V696" s="3"/>
      <c r="W696" s="2"/>
      <c r="X696" s="3"/>
      <c r="Y696" s="2"/>
      <c r="Z696" s="3"/>
    </row>
    <row r="697">
      <c r="A697" s="1"/>
      <c r="B697" s="1"/>
      <c r="C697" s="2"/>
      <c r="D697" s="3"/>
      <c r="E697" s="2"/>
      <c r="F697" s="3"/>
      <c r="G697" s="2"/>
      <c r="H697" s="3"/>
      <c r="I697" s="2"/>
      <c r="J697" s="3"/>
      <c r="K697" s="2"/>
      <c r="L697" s="3"/>
      <c r="M697" s="2"/>
      <c r="N697" s="3"/>
      <c r="O697" s="2"/>
      <c r="P697" s="3"/>
      <c r="Q697" s="2"/>
      <c r="R697" s="3"/>
      <c r="S697" s="2"/>
      <c r="T697" s="3"/>
      <c r="U697" s="2"/>
      <c r="V697" s="3"/>
      <c r="W697" s="2"/>
      <c r="X697" s="3"/>
      <c r="Y697" s="2"/>
      <c r="Z697" s="3"/>
    </row>
    <row r="698">
      <c r="A698" s="1"/>
      <c r="B698" s="1"/>
      <c r="C698" s="2"/>
      <c r="D698" s="3"/>
      <c r="E698" s="2"/>
      <c r="F698" s="3"/>
      <c r="G698" s="2"/>
      <c r="H698" s="3"/>
      <c r="I698" s="2"/>
      <c r="J698" s="3"/>
      <c r="K698" s="2"/>
      <c r="L698" s="3"/>
      <c r="M698" s="2"/>
      <c r="N698" s="3"/>
      <c r="O698" s="2"/>
      <c r="P698" s="3"/>
      <c r="Q698" s="2"/>
      <c r="R698" s="3"/>
      <c r="S698" s="2"/>
      <c r="T698" s="3"/>
      <c r="U698" s="2"/>
      <c r="V698" s="3"/>
      <c r="W698" s="2"/>
      <c r="X698" s="3"/>
      <c r="Y698" s="2"/>
      <c r="Z698" s="3"/>
    </row>
    <row r="699">
      <c r="A699" s="1"/>
      <c r="B699" s="1"/>
      <c r="C699" s="2"/>
      <c r="D699" s="3"/>
      <c r="E699" s="2"/>
      <c r="F699" s="3"/>
      <c r="G699" s="2"/>
      <c r="H699" s="3"/>
      <c r="I699" s="2"/>
      <c r="J699" s="3"/>
      <c r="K699" s="2"/>
      <c r="L699" s="3"/>
      <c r="M699" s="2"/>
      <c r="N699" s="3"/>
      <c r="O699" s="2"/>
      <c r="P699" s="3"/>
      <c r="Q699" s="2"/>
      <c r="R699" s="3"/>
      <c r="S699" s="2"/>
      <c r="T699" s="3"/>
      <c r="U699" s="2"/>
      <c r="V699" s="3"/>
      <c r="W699" s="2"/>
      <c r="X699" s="3"/>
      <c r="Y699" s="2"/>
      <c r="Z699" s="3"/>
    </row>
    <row r="700">
      <c r="A700" s="1"/>
      <c r="B700" s="1"/>
      <c r="C700" s="2"/>
      <c r="D700" s="3"/>
      <c r="E700" s="2"/>
      <c r="F700" s="3"/>
      <c r="G700" s="2"/>
      <c r="H700" s="3"/>
      <c r="I700" s="2"/>
      <c r="J700" s="3"/>
      <c r="K700" s="2"/>
      <c r="L700" s="3"/>
      <c r="M700" s="2"/>
      <c r="N700" s="3"/>
      <c r="O700" s="2"/>
      <c r="P700" s="3"/>
      <c r="Q700" s="2"/>
      <c r="R700" s="3"/>
      <c r="S700" s="2"/>
      <c r="T700" s="3"/>
      <c r="U700" s="2"/>
      <c r="V700" s="3"/>
      <c r="W700" s="2"/>
      <c r="X700" s="3"/>
      <c r="Y700" s="2"/>
      <c r="Z700" s="3"/>
    </row>
    <row r="701">
      <c r="A701" s="1"/>
      <c r="B701" s="1"/>
      <c r="C701" s="2"/>
      <c r="D701" s="3"/>
      <c r="E701" s="2"/>
      <c r="F701" s="3"/>
      <c r="G701" s="2"/>
      <c r="H701" s="3"/>
      <c r="I701" s="2"/>
      <c r="J701" s="3"/>
      <c r="K701" s="2"/>
      <c r="L701" s="3"/>
      <c r="M701" s="2"/>
      <c r="N701" s="3"/>
      <c r="O701" s="2"/>
      <c r="P701" s="3"/>
      <c r="Q701" s="2"/>
      <c r="R701" s="3"/>
      <c r="S701" s="2"/>
      <c r="T701" s="3"/>
      <c r="U701" s="2"/>
      <c r="V701" s="3"/>
      <c r="W701" s="2"/>
      <c r="X701" s="3"/>
      <c r="Y701" s="2"/>
      <c r="Z701" s="3"/>
    </row>
    <row r="702">
      <c r="A702" s="1"/>
      <c r="B702" s="1"/>
      <c r="C702" s="2"/>
      <c r="D702" s="3"/>
      <c r="E702" s="2"/>
      <c r="F702" s="3"/>
      <c r="G702" s="2"/>
      <c r="H702" s="3"/>
      <c r="I702" s="2"/>
      <c r="J702" s="3"/>
      <c r="K702" s="2"/>
      <c r="L702" s="3"/>
      <c r="M702" s="2"/>
      <c r="N702" s="3"/>
      <c r="O702" s="2"/>
      <c r="P702" s="3"/>
      <c r="Q702" s="2"/>
      <c r="R702" s="3"/>
      <c r="S702" s="2"/>
      <c r="T702" s="3"/>
      <c r="U702" s="2"/>
      <c r="V702" s="3"/>
      <c r="W702" s="2"/>
      <c r="X702" s="3"/>
      <c r="Y702" s="2"/>
      <c r="Z702" s="3"/>
    </row>
    <row r="703">
      <c r="A703" s="1"/>
      <c r="B703" s="1"/>
      <c r="C703" s="2"/>
      <c r="D703" s="3"/>
      <c r="E703" s="2"/>
      <c r="F703" s="3"/>
      <c r="G703" s="2"/>
      <c r="H703" s="3"/>
      <c r="I703" s="2"/>
      <c r="J703" s="3"/>
      <c r="K703" s="2"/>
      <c r="L703" s="3"/>
      <c r="M703" s="2"/>
      <c r="N703" s="3"/>
      <c r="O703" s="2"/>
      <c r="P703" s="3"/>
      <c r="Q703" s="2"/>
      <c r="R703" s="3"/>
      <c r="S703" s="2"/>
      <c r="T703" s="3"/>
      <c r="U703" s="2"/>
      <c r="V703" s="3"/>
      <c r="W703" s="2"/>
      <c r="X703" s="3"/>
      <c r="Y703" s="2"/>
      <c r="Z703" s="3"/>
    </row>
    <row r="704">
      <c r="A704" s="1"/>
      <c r="B704" s="1"/>
      <c r="C704" s="2"/>
      <c r="D704" s="3"/>
      <c r="E704" s="2"/>
      <c r="F704" s="3"/>
      <c r="G704" s="2"/>
      <c r="H704" s="3"/>
      <c r="I704" s="2"/>
      <c r="J704" s="3"/>
      <c r="K704" s="2"/>
      <c r="L704" s="3"/>
      <c r="M704" s="2"/>
      <c r="N704" s="3"/>
      <c r="O704" s="2"/>
      <c r="P704" s="3"/>
      <c r="Q704" s="2"/>
      <c r="R704" s="3"/>
      <c r="S704" s="2"/>
      <c r="T704" s="3"/>
      <c r="U704" s="2"/>
      <c r="V704" s="3"/>
      <c r="W704" s="2"/>
      <c r="X704" s="3"/>
      <c r="Y704" s="2"/>
      <c r="Z704" s="3"/>
    </row>
    <row r="705">
      <c r="A705" s="1"/>
      <c r="B705" s="1"/>
      <c r="C705" s="2"/>
      <c r="D705" s="3"/>
      <c r="E705" s="2"/>
      <c r="F705" s="3"/>
      <c r="G705" s="2"/>
      <c r="H705" s="3"/>
      <c r="I705" s="2"/>
      <c r="J705" s="3"/>
      <c r="K705" s="2"/>
      <c r="L705" s="3"/>
      <c r="M705" s="2"/>
      <c r="N705" s="3"/>
      <c r="O705" s="2"/>
      <c r="P705" s="3"/>
      <c r="Q705" s="2"/>
      <c r="R705" s="3"/>
      <c r="S705" s="2"/>
      <c r="T705" s="3"/>
      <c r="U705" s="2"/>
      <c r="V705" s="3"/>
      <c r="W705" s="2"/>
      <c r="X705" s="3"/>
      <c r="Y705" s="2"/>
      <c r="Z705" s="3"/>
    </row>
    <row r="706">
      <c r="A706" s="1"/>
      <c r="B706" s="1"/>
      <c r="C706" s="2"/>
      <c r="D706" s="3"/>
      <c r="E706" s="2"/>
      <c r="F706" s="3"/>
      <c r="G706" s="2"/>
      <c r="H706" s="3"/>
      <c r="I706" s="2"/>
      <c r="J706" s="3"/>
      <c r="K706" s="2"/>
      <c r="L706" s="3"/>
      <c r="M706" s="2"/>
      <c r="N706" s="3"/>
      <c r="O706" s="2"/>
      <c r="P706" s="3"/>
      <c r="Q706" s="2"/>
      <c r="R706" s="3"/>
      <c r="S706" s="2"/>
      <c r="T706" s="3"/>
      <c r="U706" s="2"/>
      <c r="V706" s="3"/>
      <c r="W706" s="2"/>
      <c r="X706" s="3"/>
      <c r="Y706" s="2"/>
      <c r="Z706" s="3"/>
    </row>
    <row r="707">
      <c r="A707" s="1"/>
      <c r="B707" s="1"/>
      <c r="C707" s="2"/>
      <c r="D707" s="3"/>
      <c r="E707" s="2"/>
      <c r="F707" s="3"/>
      <c r="G707" s="2"/>
      <c r="H707" s="3"/>
      <c r="I707" s="2"/>
      <c r="J707" s="3"/>
      <c r="K707" s="2"/>
      <c r="L707" s="3"/>
      <c r="M707" s="2"/>
      <c r="N707" s="3"/>
      <c r="O707" s="2"/>
      <c r="P707" s="3"/>
      <c r="Q707" s="2"/>
      <c r="R707" s="3"/>
      <c r="S707" s="2"/>
      <c r="T707" s="3"/>
      <c r="U707" s="2"/>
      <c r="V707" s="3"/>
      <c r="W707" s="2"/>
      <c r="X707" s="3"/>
      <c r="Y707" s="2"/>
      <c r="Z707" s="3"/>
    </row>
    <row r="708">
      <c r="A708" s="1"/>
      <c r="B708" s="1"/>
      <c r="C708" s="2"/>
      <c r="D708" s="3"/>
      <c r="E708" s="2"/>
      <c r="F708" s="3"/>
      <c r="G708" s="2"/>
      <c r="H708" s="3"/>
      <c r="I708" s="2"/>
      <c r="J708" s="3"/>
      <c r="K708" s="2"/>
      <c r="L708" s="3"/>
      <c r="M708" s="2"/>
      <c r="N708" s="3"/>
      <c r="O708" s="2"/>
      <c r="P708" s="3"/>
      <c r="Q708" s="2"/>
      <c r="R708" s="3"/>
      <c r="S708" s="2"/>
      <c r="T708" s="3"/>
      <c r="U708" s="2"/>
      <c r="V708" s="3"/>
      <c r="W708" s="2"/>
      <c r="X708" s="3"/>
      <c r="Y708" s="2"/>
      <c r="Z708" s="3"/>
    </row>
    <row r="709">
      <c r="A709" s="1"/>
      <c r="B709" s="1"/>
      <c r="C709" s="2"/>
      <c r="D709" s="3"/>
      <c r="E709" s="2"/>
      <c r="F709" s="3"/>
      <c r="G709" s="2"/>
      <c r="H709" s="3"/>
      <c r="I709" s="2"/>
      <c r="J709" s="3"/>
      <c r="K709" s="2"/>
      <c r="L709" s="3"/>
      <c r="M709" s="2"/>
      <c r="N709" s="3"/>
      <c r="O709" s="2"/>
      <c r="P709" s="3"/>
      <c r="Q709" s="2"/>
      <c r="R709" s="3"/>
      <c r="S709" s="2"/>
      <c r="T709" s="3"/>
      <c r="U709" s="2"/>
      <c r="V709" s="3"/>
      <c r="W709" s="2"/>
      <c r="X709" s="3"/>
      <c r="Y709" s="2"/>
      <c r="Z709" s="3"/>
    </row>
    <row r="710">
      <c r="A710" s="1"/>
      <c r="B710" s="1"/>
      <c r="C710" s="2"/>
      <c r="D710" s="3"/>
      <c r="E710" s="2"/>
      <c r="F710" s="3"/>
      <c r="G710" s="2"/>
      <c r="H710" s="3"/>
      <c r="I710" s="2"/>
      <c r="J710" s="3"/>
      <c r="K710" s="2"/>
      <c r="L710" s="3"/>
      <c r="M710" s="2"/>
      <c r="N710" s="3"/>
      <c r="O710" s="2"/>
      <c r="P710" s="3"/>
      <c r="Q710" s="2"/>
      <c r="R710" s="3"/>
      <c r="S710" s="2"/>
      <c r="T710" s="3"/>
      <c r="U710" s="2"/>
      <c r="V710" s="3"/>
      <c r="W710" s="2"/>
      <c r="X710" s="3"/>
      <c r="Y710" s="2"/>
      <c r="Z710" s="3"/>
    </row>
    <row r="711">
      <c r="A711" s="1"/>
      <c r="B711" s="1"/>
      <c r="C711" s="2"/>
      <c r="D711" s="3"/>
      <c r="E711" s="2"/>
      <c r="F711" s="3"/>
      <c r="G711" s="2"/>
      <c r="H711" s="3"/>
      <c r="I711" s="2"/>
      <c r="J711" s="3"/>
      <c r="K711" s="2"/>
      <c r="L711" s="3"/>
      <c r="M711" s="2"/>
      <c r="N711" s="3"/>
      <c r="O711" s="2"/>
      <c r="P711" s="3"/>
      <c r="Q711" s="2"/>
      <c r="R711" s="3"/>
      <c r="S711" s="2"/>
      <c r="T711" s="3"/>
      <c r="U711" s="2"/>
      <c r="V711" s="3"/>
      <c r="W711" s="2"/>
      <c r="X711" s="3"/>
      <c r="Y711" s="2"/>
      <c r="Z711" s="3"/>
    </row>
    <row r="712">
      <c r="A712" s="1"/>
      <c r="B712" s="1"/>
      <c r="C712" s="2"/>
      <c r="D712" s="3"/>
      <c r="E712" s="2"/>
      <c r="F712" s="3"/>
      <c r="G712" s="2"/>
      <c r="H712" s="3"/>
      <c r="I712" s="2"/>
      <c r="J712" s="3"/>
      <c r="K712" s="2"/>
      <c r="L712" s="3"/>
      <c r="M712" s="2"/>
      <c r="N712" s="3"/>
      <c r="O712" s="2"/>
      <c r="P712" s="3"/>
      <c r="Q712" s="2"/>
      <c r="R712" s="3"/>
      <c r="S712" s="2"/>
      <c r="T712" s="3"/>
      <c r="U712" s="2"/>
      <c r="V712" s="3"/>
      <c r="W712" s="2"/>
      <c r="X712" s="3"/>
      <c r="Y712" s="2"/>
      <c r="Z712" s="3"/>
    </row>
    <row r="713">
      <c r="A713" s="1"/>
      <c r="B713" s="1"/>
      <c r="C713" s="2"/>
      <c r="D713" s="3"/>
      <c r="E713" s="2"/>
      <c r="F713" s="3"/>
      <c r="G713" s="2"/>
      <c r="H713" s="3"/>
      <c r="I713" s="2"/>
      <c r="J713" s="3"/>
      <c r="K713" s="2"/>
      <c r="L713" s="3"/>
      <c r="M713" s="2"/>
      <c r="N713" s="3"/>
      <c r="O713" s="2"/>
      <c r="P713" s="3"/>
      <c r="Q713" s="2"/>
      <c r="R713" s="3"/>
      <c r="S713" s="2"/>
      <c r="T713" s="3"/>
      <c r="U713" s="2"/>
      <c r="V713" s="3"/>
      <c r="W713" s="2"/>
      <c r="X713" s="3"/>
      <c r="Y713" s="2"/>
      <c r="Z713" s="3"/>
    </row>
    <row r="714">
      <c r="A714" s="1"/>
      <c r="B714" s="1"/>
      <c r="C714" s="2"/>
      <c r="D714" s="3"/>
      <c r="E714" s="2"/>
      <c r="F714" s="3"/>
      <c r="G714" s="2"/>
      <c r="H714" s="3"/>
      <c r="I714" s="2"/>
      <c r="J714" s="3"/>
      <c r="K714" s="2"/>
      <c r="L714" s="3"/>
      <c r="M714" s="2"/>
      <c r="N714" s="3"/>
      <c r="O714" s="2"/>
      <c r="P714" s="3"/>
      <c r="Q714" s="2"/>
      <c r="R714" s="3"/>
      <c r="S714" s="2"/>
      <c r="T714" s="3"/>
      <c r="U714" s="2"/>
      <c r="V714" s="3"/>
      <c r="W714" s="2"/>
      <c r="X714" s="3"/>
      <c r="Y714" s="2"/>
      <c r="Z714" s="3"/>
    </row>
    <row r="715">
      <c r="A715" s="1"/>
      <c r="B715" s="1"/>
      <c r="C715" s="2"/>
      <c r="D715" s="3"/>
      <c r="E715" s="2"/>
      <c r="F715" s="3"/>
      <c r="G715" s="2"/>
      <c r="H715" s="3"/>
      <c r="I715" s="2"/>
      <c r="J715" s="3"/>
      <c r="K715" s="2"/>
      <c r="L715" s="3"/>
      <c r="M715" s="2"/>
      <c r="N715" s="3"/>
      <c r="O715" s="2"/>
      <c r="P715" s="3"/>
      <c r="Q715" s="2"/>
      <c r="R715" s="3"/>
      <c r="S715" s="2"/>
      <c r="T715" s="3"/>
      <c r="U715" s="2"/>
      <c r="V715" s="3"/>
      <c r="W715" s="2"/>
      <c r="X715" s="3"/>
      <c r="Y715" s="2"/>
      <c r="Z715" s="3"/>
    </row>
    <row r="716">
      <c r="A716" s="1"/>
      <c r="B716" s="1"/>
      <c r="C716" s="2"/>
      <c r="D716" s="3"/>
      <c r="E716" s="2"/>
      <c r="F716" s="3"/>
      <c r="G716" s="2"/>
      <c r="H716" s="3"/>
      <c r="I716" s="2"/>
      <c r="J716" s="3"/>
      <c r="K716" s="2"/>
      <c r="L716" s="3"/>
      <c r="M716" s="2"/>
      <c r="N716" s="3"/>
      <c r="O716" s="2"/>
      <c r="P716" s="3"/>
      <c r="Q716" s="2"/>
      <c r="R716" s="3"/>
      <c r="S716" s="2"/>
      <c r="T716" s="3"/>
      <c r="U716" s="2"/>
      <c r="V716" s="3"/>
      <c r="W716" s="2"/>
      <c r="X716" s="3"/>
      <c r="Y716" s="2"/>
      <c r="Z716" s="3"/>
    </row>
    <row r="717">
      <c r="A717" s="1"/>
      <c r="B717" s="1"/>
      <c r="C717" s="2"/>
      <c r="D717" s="3"/>
      <c r="E717" s="2"/>
      <c r="F717" s="3"/>
      <c r="G717" s="2"/>
      <c r="H717" s="3"/>
      <c r="I717" s="2"/>
      <c r="J717" s="3"/>
      <c r="K717" s="2"/>
      <c r="L717" s="3"/>
      <c r="M717" s="2"/>
      <c r="N717" s="3"/>
      <c r="O717" s="2"/>
      <c r="P717" s="3"/>
      <c r="Q717" s="2"/>
      <c r="R717" s="3"/>
      <c r="S717" s="2"/>
      <c r="T717" s="3"/>
      <c r="U717" s="2"/>
      <c r="V717" s="3"/>
      <c r="W717" s="2"/>
      <c r="X717" s="3"/>
      <c r="Y717" s="2"/>
      <c r="Z717" s="3"/>
    </row>
    <row r="718">
      <c r="A718" s="1"/>
      <c r="B718" s="1"/>
      <c r="C718" s="2"/>
      <c r="D718" s="3"/>
      <c r="E718" s="2"/>
      <c r="F718" s="3"/>
      <c r="G718" s="2"/>
      <c r="H718" s="3"/>
      <c r="I718" s="2"/>
      <c r="J718" s="3"/>
      <c r="K718" s="2"/>
      <c r="L718" s="3"/>
      <c r="M718" s="2"/>
      <c r="N718" s="3"/>
      <c r="O718" s="2"/>
      <c r="P718" s="3"/>
      <c r="Q718" s="2"/>
      <c r="R718" s="3"/>
      <c r="S718" s="2"/>
      <c r="T718" s="3"/>
      <c r="U718" s="2"/>
      <c r="V718" s="3"/>
      <c r="W718" s="2"/>
      <c r="X718" s="3"/>
      <c r="Y718" s="2"/>
      <c r="Z718" s="3"/>
    </row>
    <row r="719">
      <c r="A719" s="1"/>
      <c r="B719" s="1"/>
      <c r="C719" s="2"/>
      <c r="D719" s="3"/>
      <c r="E719" s="2"/>
      <c r="F719" s="3"/>
      <c r="G719" s="2"/>
      <c r="H719" s="3"/>
      <c r="I719" s="2"/>
      <c r="J719" s="3"/>
      <c r="K719" s="2"/>
      <c r="L719" s="3"/>
      <c r="M719" s="2"/>
      <c r="N719" s="3"/>
      <c r="O719" s="2"/>
      <c r="P719" s="3"/>
      <c r="Q719" s="2"/>
      <c r="R719" s="3"/>
      <c r="S719" s="2"/>
      <c r="T719" s="3"/>
      <c r="U719" s="2"/>
      <c r="V719" s="3"/>
      <c r="W719" s="2"/>
      <c r="X719" s="3"/>
      <c r="Y719" s="2"/>
      <c r="Z719" s="3"/>
    </row>
    <row r="720">
      <c r="A720" s="1"/>
      <c r="B720" s="1"/>
      <c r="C720" s="2"/>
      <c r="D720" s="3"/>
      <c r="E720" s="2"/>
      <c r="F720" s="3"/>
      <c r="G720" s="2"/>
      <c r="H720" s="3"/>
      <c r="I720" s="2"/>
      <c r="J720" s="3"/>
      <c r="K720" s="2"/>
      <c r="L720" s="3"/>
      <c r="M720" s="2"/>
      <c r="N720" s="3"/>
      <c r="O720" s="2"/>
      <c r="P720" s="3"/>
      <c r="Q720" s="2"/>
      <c r="R720" s="3"/>
      <c r="S720" s="2"/>
      <c r="T720" s="3"/>
      <c r="U720" s="2"/>
      <c r="V720" s="3"/>
      <c r="W720" s="2"/>
      <c r="X720" s="3"/>
      <c r="Y720" s="2"/>
      <c r="Z720" s="3"/>
    </row>
    <row r="721">
      <c r="A721" s="1"/>
      <c r="B721" s="1"/>
      <c r="C721" s="2"/>
      <c r="D721" s="3"/>
      <c r="E721" s="2"/>
      <c r="F721" s="3"/>
      <c r="G721" s="2"/>
      <c r="H721" s="3"/>
      <c r="I721" s="2"/>
      <c r="J721" s="3"/>
      <c r="K721" s="2"/>
      <c r="L721" s="3"/>
      <c r="M721" s="2"/>
      <c r="N721" s="3"/>
      <c r="O721" s="2"/>
      <c r="P721" s="3"/>
      <c r="Q721" s="2"/>
      <c r="R721" s="3"/>
      <c r="S721" s="2"/>
      <c r="T721" s="3"/>
      <c r="U721" s="2"/>
      <c r="V721" s="3"/>
      <c r="W721" s="2"/>
      <c r="X721" s="3"/>
      <c r="Y721" s="2"/>
      <c r="Z721" s="3"/>
    </row>
    <row r="722">
      <c r="A722" s="1"/>
      <c r="B722" s="1"/>
      <c r="C722" s="2"/>
      <c r="D722" s="3"/>
      <c r="E722" s="2"/>
      <c r="F722" s="3"/>
      <c r="G722" s="2"/>
      <c r="H722" s="3"/>
      <c r="I722" s="2"/>
      <c r="J722" s="3"/>
      <c r="K722" s="2"/>
      <c r="L722" s="3"/>
      <c r="M722" s="2"/>
      <c r="N722" s="3"/>
      <c r="O722" s="2"/>
      <c r="P722" s="3"/>
      <c r="Q722" s="2"/>
      <c r="R722" s="3"/>
      <c r="S722" s="2"/>
      <c r="T722" s="3"/>
      <c r="U722" s="2"/>
      <c r="V722" s="3"/>
      <c r="W722" s="2"/>
      <c r="X722" s="3"/>
      <c r="Y722" s="2"/>
      <c r="Z722" s="3"/>
    </row>
    <row r="723">
      <c r="A723" s="1"/>
      <c r="B723" s="1"/>
      <c r="C723" s="2"/>
      <c r="D723" s="3"/>
      <c r="E723" s="2"/>
      <c r="F723" s="3"/>
      <c r="G723" s="2"/>
      <c r="H723" s="3"/>
      <c r="I723" s="2"/>
      <c r="J723" s="3"/>
      <c r="K723" s="2"/>
      <c r="L723" s="3"/>
      <c r="M723" s="2"/>
      <c r="N723" s="3"/>
      <c r="O723" s="2"/>
      <c r="P723" s="3"/>
      <c r="Q723" s="2"/>
      <c r="R723" s="3"/>
      <c r="S723" s="2"/>
      <c r="T723" s="3"/>
      <c r="U723" s="2"/>
      <c r="V723" s="3"/>
      <c r="W723" s="2"/>
      <c r="X723" s="3"/>
      <c r="Y723" s="2"/>
      <c r="Z723" s="3"/>
    </row>
    <row r="724">
      <c r="A724" s="1"/>
      <c r="B724" s="1"/>
      <c r="C724" s="2"/>
      <c r="D724" s="3"/>
      <c r="E724" s="2"/>
      <c r="F724" s="3"/>
      <c r="G724" s="2"/>
      <c r="H724" s="3"/>
      <c r="I724" s="2"/>
      <c r="J724" s="3"/>
      <c r="K724" s="2"/>
      <c r="L724" s="3"/>
      <c r="M724" s="2"/>
      <c r="N724" s="3"/>
      <c r="O724" s="2"/>
      <c r="P724" s="3"/>
      <c r="Q724" s="2"/>
      <c r="R724" s="3"/>
      <c r="S724" s="2"/>
      <c r="T724" s="3"/>
      <c r="U724" s="2"/>
      <c r="V724" s="3"/>
      <c r="W724" s="2"/>
      <c r="X724" s="3"/>
      <c r="Y724" s="2"/>
      <c r="Z724" s="3"/>
    </row>
    <row r="725">
      <c r="A725" s="1"/>
      <c r="B725" s="1"/>
      <c r="C725" s="2"/>
      <c r="D725" s="3"/>
      <c r="E725" s="2"/>
      <c r="F725" s="3"/>
      <c r="G725" s="2"/>
      <c r="H725" s="3"/>
      <c r="I725" s="2"/>
      <c r="J725" s="3"/>
      <c r="K725" s="2"/>
      <c r="L725" s="3"/>
      <c r="M725" s="2"/>
      <c r="N725" s="3"/>
      <c r="O725" s="2"/>
      <c r="P725" s="3"/>
      <c r="Q725" s="2"/>
      <c r="R725" s="3"/>
      <c r="S725" s="2"/>
      <c r="T725" s="3"/>
      <c r="U725" s="2"/>
      <c r="V725" s="3"/>
      <c r="W725" s="2"/>
      <c r="X725" s="3"/>
      <c r="Y725" s="2"/>
      <c r="Z725" s="3"/>
    </row>
    <row r="726">
      <c r="A726" s="1"/>
      <c r="B726" s="1"/>
      <c r="C726" s="2"/>
      <c r="D726" s="3"/>
      <c r="E726" s="2"/>
      <c r="F726" s="3"/>
      <c r="G726" s="2"/>
      <c r="H726" s="3"/>
      <c r="I726" s="2"/>
      <c r="J726" s="3"/>
      <c r="K726" s="2"/>
      <c r="L726" s="3"/>
      <c r="M726" s="2"/>
      <c r="N726" s="3"/>
      <c r="O726" s="2"/>
      <c r="P726" s="3"/>
      <c r="Q726" s="2"/>
      <c r="R726" s="3"/>
      <c r="S726" s="2"/>
      <c r="T726" s="3"/>
      <c r="U726" s="2"/>
      <c r="V726" s="3"/>
      <c r="W726" s="2"/>
      <c r="X726" s="3"/>
      <c r="Y726" s="2"/>
      <c r="Z726" s="3"/>
    </row>
    <row r="727">
      <c r="A727" s="1"/>
      <c r="B727" s="1"/>
      <c r="C727" s="2"/>
      <c r="D727" s="3"/>
      <c r="E727" s="2"/>
      <c r="F727" s="3"/>
      <c r="G727" s="2"/>
      <c r="H727" s="3"/>
      <c r="I727" s="2"/>
      <c r="J727" s="3"/>
      <c r="K727" s="2"/>
      <c r="L727" s="3"/>
      <c r="M727" s="2"/>
      <c r="N727" s="3"/>
      <c r="O727" s="2"/>
      <c r="P727" s="3"/>
      <c r="Q727" s="2"/>
      <c r="R727" s="3"/>
      <c r="S727" s="2"/>
      <c r="T727" s="3"/>
      <c r="U727" s="2"/>
      <c r="V727" s="3"/>
      <c r="W727" s="2"/>
      <c r="X727" s="3"/>
      <c r="Y727" s="2"/>
      <c r="Z727" s="3"/>
    </row>
    <row r="728">
      <c r="A728" s="1"/>
      <c r="B728" s="1"/>
      <c r="C728" s="2"/>
      <c r="D728" s="3"/>
      <c r="E728" s="2"/>
      <c r="F728" s="3"/>
      <c r="G728" s="2"/>
      <c r="H728" s="3"/>
      <c r="I728" s="2"/>
      <c r="J728" s="3"/>
      <c r="K728" s="2"/>
      <c r="L728" s="3"/>
      <c r="M728" s="2"/>
      <c r="N728" s="3"/>
      <c r="O728" s="2"/>
      <c r="P728" s="3"/>
      <c r="Q728" s="2"/>
      <c r="R728" s="3"/>
      <c r="S728" s="2"/>
      <c r="T728" s="3"/>
      <c r="U728" s="2"/>
      <c r="V728" s="3"/>
      <c r="W728" s="2"/>
      <c r="X728" s="3"/>
      <c r="Y728" s="2"/>
      <c r="Z728" s="3"/>
    </row>
    <row r="729">
      <c r="A729" s="1"/>
      <c r="B729" s="1"/>
      <c r="C729" s="2"/>
      <c r="D729" s="3"/>
      <c r="E729" s="2"/>
      <c r="F729" s="3"/>
      <c r="G729" s="2"/>
      <c r="H729" s="3"/>
      <c r="I729" s="2"/>
      <c r="J729" s="3"/>
      <c r="K729" s="2"/>
      <c r="L729" s="3"/>
      <c r="M729" s="2"/>
      <c r="N729" s="3"/>
      <c r="O729" s="2"/>
      <c r="P729" s="3"/>
      <c r="Q729" s="2"/>
      <c r="R729" s="3"/>
      <c r="S729" s="2"/>
      <c r="T729" s="3"/>
      <c r="U729" s="2"/>
      <c r="V729" s="3"/>
      <c r="W729" s="2"/>
      <c r="X729" s="3"/>
      <c r="Y729" s="2"/>
      <c r="Z729" s="3"/>
    </row>
    <row r="730">
      <c r="A730" s="1"/>
      <c r="B730" s="1"/>
      <c r="C730" s="2"/>
      <c r="D730" s="3"/>
      <c r="E730" s="2"/>
      <c r="F730" s="3"/>
      <c r="G730" s="2"/>
      <c r="H730" s="3"/>
      <c r="I730" s="2"/>
      <c r="J730" s="3"/>
      <c r="K730" s="2"/>
      <c r="L730" s="3"/>
      <c r="M730" s="2"/>
      <c r="N730" s="3"/>
      <c r="O730" s="2"/>
      <c r="P730" s="3"/>
      <c r="Q730" s="2"/>
      <c r="R730" s="3"/>
      <c r="S730" s="2"/>
      <c r="T730" s="3"/>
      <c r="U730" s="2"/>
      <c r="V730" s="3"/>
      <c r="W730" s="2"/>
      <c r="X730" s="3"/>
      <c r="Y730" s="2"/>
      <c r="Z730" s="3"/>
    </row>
    <row r="731">
      <c r="A731" s="1"/>
      <c r="B731" s="1"/>
      <c r="C731" s="2"/>
      <c r="D731" s="3"/>
      <c r="E731" s="2"/>
      <c r="F731" s="3"/>
      <c r="G731" s="2"/>
      <c r="H731" s="3"/>
      <c r="I731" s="2"/>
      <c r="J731" s="3"/>
      <c r="K731" s="2"/>
      <c r="L731" s="3"/>
      <c r="M731" s="2"/>
      <c r="N731" s="3"/>
      <c r="O731" s="2"/>
      <c r="P731" s="3"/>
      <c r="Q731" s="2"/>
      <c r="R731" s="3"/>
      <c r="S731" s="2"/>
      <c r="T731" s="3"/>
      <c r="U731" s="2"/>
      <c r="V731" s="3"/>
      <c r="W731" s="2"/>
      <c r="X731" s="3"/>
      <c r="Y731" s="2"/>
      <c r="Z731" s="3"/>
    </row>
    <row r="732">
      <c r="A732" s="1"/>
      <c r="B732" s="1"/>
      <c r="C732" s="2"/>
      <c r="D732" s="3"/>
      <c r="E732" s="2"/>
      <c r="F732" s="3"/>
      <c r="G732" s="2"/>
      <c r="H732" s="3"/>
      <c r="I732" s="2"/>
      <c r="J732" s="3"/>
      <c r="K732" s="2"/>
      <c r="L732" s="3"/>
      <c r="M732" s="2"/>
      <c r="N732" s="3"/>
      <c r="O732" s="2"/>
      <c r="P732" s="3"/>
      <c r="Q732" s="2"/>
      <c r="R732" s="3"/>
      <c r="S732" s="2"/>
      <c r="T732" s="3"/>
      <c r="U732" s="2"/>
      <c r="V732" s="3"/>
      <c r="W732" s="2"/>
      <c r="X732" s="3"/>
      <c r="Y732" s="2"/>
      <c r="Z732" s="3"/>
    </row>
    <row r="733">
      <c r="A733" s="1"/>
      <c r="B733" s="1"/>
      <c r="C733" s="2"/>
      <c r="D733" s="3"/>
      <c r="E733" s="2"/>
      <c r="F733" s="3"/>
      <c r="G733" s="2"/>
      <c r="H733" s="3"/>
      <c r="I733" s="2"/>
      <c r="J733" s="3"/>
      <c r="K733" s="2"/>
      <c r="L733" s="3"/>
      <c r="M733" s="2"/>
      <c r="N733" s="3"/>
      <c r="O733" s="2"/>
      <c r="P733" s="3"/>
      <c r="Q733" s="2"/>
      <c r="R733" s="3"/>
      <c r="S733" s="2"/>
      <c r="T733" s="3"/>
      <c r="U733" s="2"/>
      <c r="V733" s="3"/>
      <c r="W733" s="2"/>
      <c r="X733" s="3"/>
      <c r="Y733" s="2"/>
      <c r="Z733" s="3"/>
    </row>
    <row r="734">
      <c r="A734" s="1"/>
      <c r="B734" s="1"/>
      <c r="C734" s="2"/>
      <c r="D734" s="3"/>
      <c r="E734" s="2"/>
      <c r="F734" s="3"/>
      <c r="G734" s="2"/>
      <c r="H734" s="3"/>
      <c r="I734" s="2"/>
      <c r="J734" s="3"/>
      <c r="K734" s="2"/>
      <c r="L734" s="3"/>
      <c r="M734" s="2"/>
      <c r="N734" s="3"/>
      <c r="O734" s="2"/>
      <c r="P734" s="3"/>
      <c r="Q734" s="2"/>
      <c r="R734" s="3"/>
      <c r="S734" s="2"/>
      <c r="T734" s="3"/>
      <c r="U734" s="2"/>
      <c r="V734" s="3"/>
      <c r="W734" s="2"/>
      <c r="X734" s="3"/>
      <c r="Y734" s="2"/>
      <c r="Z734" s="3"/>
    </row>
    <row r="735">
      <c r="A735" s="1"/>
      <c r="B735" s="1"/>
      <c r="C735" s="2"/>
      <c r="D735" s="3"/>
      <c r="E735" s="2"/>
      <c r="F735" s="3"/>
      <c r="G735" s="2"/>
      <c r="H735" s="3"/>
      <c r="I735" s="2"/>
      <c r="J735" s="3"/>
      <c r="K735" s="2"/>
      <c r="L735" s="3"/>
      <c r="M735" s="2"/>
      <c r="N735" s="3"/>
      <c r="O735" s="2"/>
      <c r="P735" s="3"/>
      <c r="Q735" s="2"/>
      <c r="R735" s="3"/>
      <c r="S735" s="2"/>
      <c r="T735" s="3"/>
      <c r="U735" s="2"/>
      <c r="V735" s="3"/>
      <c r="W735" s="2"/>
      <c r="X735" s="3"/>
      <c r="Y735" s="2"/>
      <c r="Z735" s="3"/>
    </row>
    <row r="736">
      <c r="A736" s="1"/>
      <c r="B736" s="1"/>
      <c r="C736" s="2"/>
      <c r="D736" s="3"/>
      <c r="E736" s="2"/>
      <c r="F736" s="3"/>
      <c r="G736" s="2"/>
      <c r="H736" s="3"/>
      <c r="I736" s="2"/>
      <c r="J736" s="3"/>
      <c r="K736" s="2"/>
      <c r="L736" s="3"/>
      <c r="M736" s="2"/>
      <c r="N736" s="3"/>
      <c r="O736" s="2"/>
      <c r="P736" s="3"/>
      <c r="Q736" s="2"/>
      <c r="R736" s="3"/>
      <c r="S736" s="2"/>
      <c r="T736" s="3"/>
      <c r="U736" s="2"/>
      <c r="V736" s="3"/>
      <c r="W736" s="2"/>
      <c r="X736" s="3"/>
      <c r="Y736" s="2"/>
      <c r="Z736" s="3"/>
    </row>
    <row r="737">
      <c r="A737" s="1"/>
      <c r="B737" s="1"/>
      <c r="C737" s="2"/>
      <c r="D737" s="3"/>
      <c r="E737" s="2"/>
      <c r="F737" s="3"/>
      <c r="G737" s="2"/>
      <c r="H737" s="3"/>
      <c r="I737" s="2"/>
      <c r="J737" s="3"/>
      <c r="K737" s="2"/>
      <c r="L737" s="3"/>
      <c r="M737" s="2"/>
      <c r="N737" s="3"/>
      <c r="O737" s="2"/>
      <c r="P737" s="3"/>
      <c r="Q737" s="2"/>
      <c r="R737" s="3"/>
      <c r="S737" s="2"/>
      <c r="T737" s="3"/>
      <c r="U737" s="2"/>
      <c r="V737" s="3"/>
      <c r="W737" s="2"/>
      <c r="X737" s="3"/>
      <c r="Y737" s="2"/>
      <c r="Z737" s="3"/>
    </row>
    <row r="738">
      <c r="A738" s="1"/>
      <c r="B738" s="1"/>
      <c r="C738" s="2"/>
      <c r="D738" s="3"/>
      <c r="E738" s="2"/>
      <c r="F738" s="3"/>
      <c r="G738" s="2"/>
      <c r="H738" s="3"/>
      <c r="I738" s="2"/>
      <c r="J738" s="3"/>
      <c r="K738" s="2"/>
      <c r="L738" s="3"/>
      <c r="M738" s="2"/>
      <c r="N738" s="3"/>
      <c r="O738" s="2"/>
      <c r="P738" s="3"/>
      <c r="Q738" s="2"/>
      <c r="R738" s="3"/>
      <c r="S738" s="2"/>
      <c r="T738" s="3"/>
      <c r="U738" s="2"/>
      <c r="V738" s="3"/>
      <c r="W738" s="2"/>
      <c r="X738" s="3"/>
      <c r="Y738" s="2"/>
      <c r="Z738" s="3"/>
    </row>
    <row r="739">
      <c r="A739" s="1"/>
      <c r="B739" s="1"/>
      <c r="C739" s="2"/>
      <c r="D739" s="3"/>
      <c r="E739" s="2"/>
      <c r="F739" s="3"/>
      <c r="G739" s="2"/>
      <c r="H739" s="3"/>
      <c r="I739" s="2"/>
      <c r="J739" s="3"/>
      <c r="K739" s="2"/>
      <c r="L739" s="3"/>
      <c r="M739" s="2"/>
      <c r="N739" s="3"/>
      <c r="O739" s="2"/>
      <c r="P739" s="3"/>
      <c r="Q739" s="2"/>
      <c r="R739" s="3"/>
      <c r="S739" s="2"/>
      <c r="T739" s="3"/>
      <c r="U739" s="2"/>
      <c r="V739" s="3"/>
      <c r="W739" s="2"/>
      <c r="X739" s="3"/>
      <c r="Y739" s="2"/>
      <c r="Z739" s="3"/>
    </row>
    <row r="740">
      <c r="A740" s="1"/>
      <c r="B740" s="1"/>
      <c r="C740" s="2"/>
      <c r="D740" s="3"/>
      <c r="E740" s="2"/>
      <c r="F740" s="3"/>
      <c r="G740" s="2"/>
      <c r="H740" s="3"/>
      <c r="I740" s="2"/>
      <c r="J740" s="3"/>
      <c r="K740" s="2"/>
      <c r="L740" s="3"/>
      <c r="M740" s="2"/>
      <c r="N740" s="3"/>
      <c r="O740" s="2"/>
      <c r="P740" s="3"/>
      <c r="Q740" s="2"/>
      <c r="R740" s="3"/>
      <c r="S740" s="2"/>
      <c r="T740" s="3"/>
      <c r="U740" s="2"/>
      <c r="V740" s="3"/>
      <c r="W740" s="2"/>
      <c r="X740" s="3"/>
      <c r="Y740" s="2"/>
      <c r="Z740" s="3"/>
    </row>
    <row r="741">
      <c r="A741" s="1"/>
      <c r="B741" s="1"/>
      <c r="C741" s="2"/>
      <c r="D741" s="3"/>
      <c r="E741" s="2"/>
      <c r="F741" s="3"/>
      <c r="G741" s="2"/>
      <c r="H741" s="3"/>
      <c r="I741" s="2"/>
      <c r="J741" s="3"/>
      <c r="K741" s="2"/>
      <c r="L741" s="3"/>
      <c r="M741" s="2"/>
      <c r="N741" s="3"/>
      <c r="O741" s="2"/>
      <c r="P741" s="3"/>
      <c r="Q741" s="2"/>
      <c r="R741" s="3"/>
      <c r="S741" s="2"/>
      <c r="T741" s="3"/>
      <c r="U741" s="2"/>
      <c r="V741" s="3"/>
      <c r="W741" s="2"/>
      <c r="X741" s="3"/>
      <c r="Y741" s="2"/>
      <c r="Z741" s="3"/>
    </row>
    <row r="742">
      <c r="A742" s="1"/>
      <c r="B742" s="1"/>
      <c r="C742" s="2"/>
      <c r="D742" s="3"/>
      <c r="E742" s="2"/>
      <c r="F742" s="3"/>
      <c r="G742" s="2"/>
      <c r="H742" s="3"/>
      <c r="I742" s="2"/>
      <c r="J742" s="3"/>
      <c r="K742" s="2"/>
      <c r="L742" s="3"/>
      <c r="M742" s="2"/>
      <c r="N742" s="3"/>
      <c r="O742" s="2"/>
      <c r="P742" s="3"/>
      <c r="Q742" s="2"/>
      <c r="R742" s="3"/>
      <c r="S742" s="2"/>
      <c r="T742" s="3"/>
      <c r="U742" s="2"/>
      <c r="V742" s="3"/>
      <c r="W742" s="2"/>
      <c r="X742" s="3"/>
      <c r="Y742" s="2"/>
      <c r="Z742" s="3"/>
    </row>
    <row r="743">
      <c r="A743" s="1"/>
      <c r="B743" s="1"/>
      <c r="C743" s="2"/>
      <c r="D743" s="3"/>
      <c r="E743" s="2"/>
      <c r="F743" s="3"/>
      <c r="G743" s="2"/>
      <c r="H743" s="3"/>
      <c r="I743" s="2"/>
      <c r="J743" s="3"/>
      <c r="K743" s="2"/>
      <c r="L743" s="3"/>
      <c r="M743" s="2"/>
      <c r="N743" s="3"/>
      <c r="O743" s="2"/>
      <c r="P743" s="3"/>
      <c r="Q743" s="2"/>
      <c r="R743" s="3"/>
      <c r="S743" s="2"/>
      <c r="T743" s="3"/>
      <c r="U743" s="2"/>
      <c r="V743" s="3"/>
      <c r="W743" s="2"/>
      <c r="X743" s="3"/>
      <c r="Y743" s="2"/>
      <c r="Z743" s="3"/>
    </row>
    <row r="744">
      <c r="A744" s="1"/>
      <c r="B744" s="1"/>
      <c r="C744" s="2"/>
      <c r="D744" s="3"/>
      <c r="E744" s="2"/>
      <c r="F744" s="3"/>
      <c r="G744" s="2"/>
      <c r="H744" s="3"/>
      <c r="I744" s="2"/>
      <c r="J744" s="3"/>
      <c r="K744" s="2"/>
      <c r="L744" s="3"/>
      <c r="M744" s="2"/>
      <c r="N744" s="3"/>
      <c r="O744" s="2"/>
      <c r="P744" s="3"/>
      <c r="Q744" s="2"/>
      <c r="R744" s="3"/>
      <c r="S744" s="2"/>
      <c r="T744" s="3"/>
      <c r="U744" s="2"/>
      <c r="V744" s="3"/>
      <c r="W744" s="2"/>
      <c r="X744" s="3"/>
      <c r="Y744" s="2"/>
      <c r="Z744" s="3"/>
    </row>
    <row r="745">
      <c r="A745" s="1"/>
      <c r="B745" s="1"/>
      <c r="C745" s="2"/>
      <c r="D745" s="3"/>
      <c r="E745" s="2"/>
      <c r="F745" s="3"/>
      <c r="G745" s="2"/>
      <c r="H745" s="3"/>
      <c r="I745" s="2"/>
      <c r="J745" s="3"/>
      <c r="K745" s="2"/>
      <c r="L745" s="3"/>
      <c r="M745" s="2"/>
      <c r="N745" s="3"/>
      <c r="O745" s="2"/>
      <c r="P745" s="3"/>
      <c r="Q745" s="2"/>
      <c r="R745" s="3"/>
      <c r="S745" s="2"/>
      <c r="T745" s="3"/>
      <c r="U745" s="2"/>
      <c r="V745" s="3"/>
      <c r="W745" s="2"/>
      <c r="X745" s="3"/>
      <c r="Y745" s="2"/>
      <c r="Z745" s="3"/>
    </row>
    <row r="746">
      <c r="A746" s="1"/>
      <c r="B746" s="1"/>
      <c r="C746" s="2"/>
      <c r="D746" s="3"/>
      <c r="E746" s="2"/>
      <c r="F746" s="3"/>
      <c r="G746" s="2"/>
      <c r="H746" s="3"/>
      <c r="I746" s="2"/>
      <c r="J746" s="3"/>
      <c r="K746" s="2"/>
      <c r="L746" s="3"/>
      <c r="M746" s="2"/>
      <c r="N746" s="3"/>
      <c r="O746" s="2"/>
      <c r="P746" s="3"/>
      <c r="Q746" s="2"/>
      <c r="R746" s="3"/>
      <c r="S746" s="2"/>
      <c r="T746" s="3"/>
      <c r="U746" s="2"/>
      <c r="V746" s="3"/>
      <c r="W746" s="2"/>
      <c r="X746" s="3"/>
      <c r="Y746" s="2"/>
      <c r="Z746" s="3"/>
    </row>
    <row r="747">
      <c r="A747" s="1"/>
      <c r="B747" s="1"/>
      <c r="C747" s="2"/>
      <c r="D747" s="3"/>
      <c r="E747" s="2"/>
      <c r="F747" s="3"/>
      <c r="G747" s="2"/>
      <c r="H747" s="3"/>
      <c r="I747" s="2"/>
      <c r="J747" s="3"/>
      <c r="K747" s="2"/>
      <c r="L747" s="3"/>
      <c r="M747" s="2"/>
      <c r="N747" s="3"/>
      <c r="O747" s="2"/>
      <c r="P747" s="3"/>
      <c r="Q747" s="2"/>
      <c r="R747" s="3"/>
      <c r="S747" s="2"/>
      <c r="T747" s="3"/>
      <c r="U747" s="2"/>
      <c r="V747" s="3"/>
      <c r="W747" s="2"/>
      <c r="X747" s="3"/>
      <c r="Y747" s="2"/>
      <c r="Z747" s="3"/>
    </row>
    <row r="748">
      <c r="A748" s="1"/>
      <c r="B748" s="1"/>
      <c r="C748" s="2"/>
      <c r="D748" s="3"/>
      <c r="E748" s="2"/>
      <c r="F748" s="3"/>
      <c r="G748" s="2"/>
      <c r="H748" s="3"/>
      <c r="I748" s="2"/>
      <c r="J748" s="3"/>
      <c r="K748" s="2"/>
      <c r="L748" s="3"/>
      <c r="M748" s="2"/>
      <c r="N748" s="3"/>
      <c r="O748" s="2"/>
      <c r="P748" s="3"/>
      <c r="Q748" s="2"/>
      <c r="R748" s="3"/>
      <c r="S748" s="2"/>
      <c r="T748" s="3"/>
      <c r="U748" s="2"/>
      <c r="V748" s="3"/>
      <c r="W748" s="2"/>
      <c r="X748" s="3"/>
      <c r="Y748" s="2"/>
      <c r="Z748" s="3"/>
    </row>
    <row r="749">
      <c r="A749" s="1"/>
      <c r="B749" s="1"/>
      <c r="C749" s="2"/>
      <c r="D749" s="3"/>
      <c r="E749" s="2"/>
      <c r="F749" s="3"/>
      <c r="G749" s="2"/>
      <c r="H749" s="3"/>
      <c r="I749" s="2"/>
      <c r="J749" s="3"/>
      <c r="K749" s="2"/>
      <c r="L749" s="3"/>
      <c r="M749" s="2"/>
      <c r="N749" s="3"/>
      <c r="O749" s="2"/>
      <c r="P749" s="3"/>
      <c r="Q749" s="2"/>
      <c r="R749" s="3"/>
      <c r="S749" s="2"/>
      <c r="T749" s="3"/>
      <c r="U749" s="2"/>
      <c r="V749" s="3"/>
      <c r="W749" s="2"/>
      <c r="X749" s="3"/>
      <c r="Y749" s="2"/>
      <c r="Z749" s="3"/>
    </row>
    <row r="750">
      <c r="A750" s="1"/>
      <c r="B750" s="1"/>
      <c r="C750" s="2"/>
      <c r="D750" s="3"/>
      <c r="E750" s="2"/>
      <c r="F750" s="3"/>
      <c r="G750" s="2"/>
      <c r="H750" s="3"/>
      <c r="I750" s="2"/>
      <c r="J750" s="3"/>
      <c r="K750" s="2"/>
      <c r="L750" s="3"/>
      <c r="M750" s="2"/>
      <c r="N750" s="3"/>
      <c r="O750" s="2"/>
      <c r="P750" s="3"/>
      <c r="Q750" s="2"/>
      <c r="R750" s="3"/>
      <c r="S750" s="2"/>
      <c r="T750" s="3"/>
      <c r="U750" s="2"/>
      <c r="V750" s="3"/>
      <c r="W750" s="2"/>
      <c r="X750" s="3"/>
      <c r="Y750" s="2"/>
      <c r="Z750" s="3"/>
    </row>
    <row r="751">
      <c r="A751" s="1"/>
      <c r="B751" s="1"/>
      <c r="C751" s="2"/>
      <c r="D751" s="3"/>
      <c r="E751" s="2"/>
      <c r="F751" s="3"/>
      <c r="G751" s="2"/>
      <c r="H751" s="3"/>
      <c r="I751" s="2"/>
      <c r="J751" s="3"/>
      <c r="K751" s="2"/>
      <c r="L751" s="3"/>
      <c r="M751" s="2"/>
      <c r="N751" s="3"/>
      <c r="O751" s="2"/>
      <c r="P751" s="3"/>
      <c r="Q751" s="2"/>
      <c r="R751" s="3"/>
      <c r="S751" s="2"/>
      <c r="T751" s="3"/>
      <c r="U751" s="2"/>
      <c r="V751" s="3"/>
      <c r="W751" s="2"/>
      <c r="X751" s="3"/>
      <c r="Y751" s="2"/>
      <c r="Z751" s="3"/>
    </row>
    <row r="752">
      <c r="A752" s="1"/>
      <c r="B752" s="1"/>
      <c r="C752" s="2"/>
      <c r="D752" s="3"/>
      <c r="E752" s="2"/>
      <c r="F752" s="3"/>
      <c r="G752" s="2"/>
      <c r="H752" s="3"/>
      <c r="I752" s="2"/>
      <c r="J752" s="3"/>
      <c r="K752" s="2"/>
      <c r="L752" s="3"/>
      <c r="M752" s="2"/>
      <c r="N752" s="3"/>
      <c r="O752" s="2"/>
      <c r="P752" s="3"/>
      <c r="Q752" s="2"/>
      <c r="R752" s="3"/>
      <c r="S752" s="2"/>
      <c r="T752" s="3"/>
      <c r="U752" s="2"/>
      <c r="V752" s="3"/>
      <c r="W752" s="2"/>
      <c r="X752" s="3"/>
      <c r="Y752" s="2"/>
      <c r="Z752" s="3"/>
    </row>
    <row r="753">
      <c r="A753" s="1"/>
      <c r="B753" s="1"/>
      <c r="C753" s="2"/>
      <c r="D753" s="3"/>
      <c r="E753" s="2"/>
      <c r="F753" s="3"/>
      <c r="G753" s="2"/>
      <c r="H753" s="3"/>
      <c r="I753" s="2"/>
      <c r="J753" s="3"/>
      <c r="K753" s="2"/>
      <c r="L753" s="3"/>
      <c r="M753" s="2"/>
      <c r="N753" s="3"/>
      <c r="O753" s="2"/>
      <c r="P753" s="3"/>
      <c r="Q753" s="2"/>
      <c r="R753" s="3"/>
      <c r="S753" s="2"/>
      <c r="T753" s="3"/>
      <c r="U753" s="2"/>
      <c r="V753" s="3"/>
      <c r="W753" s="2"/>
      <c r="X753" s="3"/>
      <c r="Y753" s="2"/>
      <c r="Z753" s="3"/>
    </row>
    <row r="754">
      <c r="A754" s="1"/>
      <c r="B754" s="1"/>
      <c r="C754" s="2"/>
      <c r="D754" s="3"/>
      <c r="E754" s="2"/>
      <c r="F754" s="3"/>
      <c r="G754" s="2"/>
      <c r="H754" s="3"/>
      <c r="I754" s="2"/>
      <c r="J754" s="3"/>
      <c r="K754" s="2"/>
      <c r="L754" s="3"/>
      <c r="M754" s="2"/>
      <c r="N754" s="3"/>
      <c r="O754" s="2"/>
      <c r="P754" s="3"/>
      <c r="Q754" s="2"/>
      <c r="R754" s="3"/>
      <c r="S754" s="2"/>
      <c r="T754" s="3"/>
      <c r="U754" s="2"/>
      <c r="V754" s="3"/>
      <c r="W754" s="2"/>
      <c r="X754" s="3"/>
      <c r="Y754" s="2"/>
      <c r="Z754" s="3"/>
    </row>
    <row r="755">
      <c r="A755" s="1"/>
      <c r="B755" s="1"/>
      <c r="C755" s="2"/>
      <c r="D755" s="3"/>
      <c r="E755" s="2"/>
      <c r="F755" s="3"/>
      <c r="G755" s="2"/>
      <c r="H755" s="3"/>
      <c r="I755" s="2"/>
      <c r="J755" s="3"/>
      <c r="K755" s="2"/>
      <c r="L755" s="3"/>
      <c r="M755" s="2"/>
      <c r="N755" s="3"/>
      <c r="O755" s="2"/>
      <c r="P755" s="3"/>
      <c r="Q755" s="2"/>
      <c r="R755" s="3"/>
      <c r="S755" s="2"/>
      <c r="T755" s="3"/>
      <c r="U755" s="2"/>
      <c r="V755" s="3"/>
      <c r="W755" s="2"/>
      <c r="X755" s="3"/>
      <c r="Y755" s="2"/>
      <c r="Z755" s="3"/>
    </row>
    <row r="756">
      <c r="A756" s="1"/>
      <c r="B756" s="1"/>
      <c r="C756" s="2"/>
      <c r="D756" s="3"/>
      <c r="E756" s="2"/>
      <c r="F756" s="3"/>
      <c r="G756" s="2"/>
      <c r="H756" s="3"/>
      <c r="I756" s="2"/>
      <c r="J756" s="3"/>
      <c r="K756" s="2"/>
      <c r="L756" s="3"/>
      <c r="M756" s="2"/>
      <c r="N756" s="3"/>
      <c r="O756" s="2"/>
      <c r="P756" s="3"/>
      <c r="Q756" s="2"/>
      <c r="R756" s="3"/>
      <c r="S756" s="2"/>
      <c r="T756" s="3"/>
      <c r="U756" s="2"/>
      <c r="V756" s="3"/>
      <c r="W756" s="2"/>
      <c r="X756" s="3"/>
      <c r="Y756" s="2"/>
      <c r="Z756" s="3"/>
    </row>
    <row r="757">
      <c r="A757" s="1"/>
      <c r="B757" s="1"/>
      <c r="C757" s="2"/>
      <c r="D757" s="3"/>
      <c r="E757" s="2"/>
      <c r="F757" s="3"/>
      <c r="G757" s="2"/>
      <c r="H757" s="3"/>
      <c r="I757" s="2"/>
      <c r="J757" s="3"/>
      <c r="K757" s="2"/>
      <c r="L757" s="3"/>
      <c r="M757" s="2"/>
      <c r="N757" s="3"/>
      <c r="O757" s="2"/>
      <c r="P757" s="3"/>
      <c r="Q757" s="2"/>
      <c r="R757" s="3"/>
      <c r="S757" s="2"/>
      <c r="T757" s="3"/>
      <c r="U757" s="2"/>
      <c r="V757" s="3"/>
      <c r="W757" s="2"/>
      <c r="X757" s="3"/>
      <c r="Y757" s="2"/>
      <c r="Z757" s="3"/>
    </row>
    <row r="758">
      <c r="A758" s="1"/>
      <c r="B758" s="1"/>
      <c r="C758" s="2"/>
      <c r="D758" s="3"/>
      <c r="E758" s="2"/>
      <c r="F758" s="3"/>
      <c r="G758" s="2"/>
      <c r="H758" s="3"/>
      <c r="I758" s="2"/>
      <c r="J758" s="3"/>
      <c r="K758" s="2"/>
      <c r="L758" s="3"/>
      <c r="M758" s="2"/>
      <c r="N758" s="3"/>
      <c r="O758" s="2"/>
      <c r="P758" s="3"/>
      <c r="Q758" s="2"/>
      <c r="R758" s="3"/>
      <c r="S758" s="2"/>
      <c r="T758" s="3"/>
      <c r="U758" s="2"/>
      <c r="V758" s="3"/>
      <c r="W758" s="2"/>
      <c r="X758" s="3"/>
      <c r="Y758" s="2"/>
      <c r="Z758" s="3"/>
    </row>
    <row r="759">
      <c r="A759" s="1"/>
      <c r="B759" s="1"/>
      <c r="C759" s="2"/>
      <c r="D759" s="3"/>
      <c r="E759" s="2"/>
      <c r="F759" s="3"/>
      <c r="G759" s="2"/>
      <c r="H759" s="3"/>
      <c r="I759" s="2"/>
      <c r="J759" s="3"/>
      <c r="K759" s="2"/>
      <c r="L759" s="3"/>
      <c r="M759" s="2"/>
      <c r="N759" s="3"/>
      <c r="O759" s="2"/>
      <c r="P759" s="3"/>
      <c r="Q759" s="2"/>
      <c r="R759" s="3"/>
      <c r="S759" s="2"/>
      <c r="T759" s="3"/>
      <c r="U759" s="2"/>
      <c r="V759" s="3"/>
      <c r="W759" s="2"/>
      <c r="X759" s="3"/>
      <c r="Y759" s="2"/>
      <c r="Z759" s="3"/>
    </row>
    <row r="760">
      <c r="A760" s="1"/>
      <c r="B760" s="1"/>
      <c r="C760" s="2"/>
      <c r="D760" s="3"/>
      <c r="E760" s="2"/>
      <c r="F760" s="3"/>
      <c r="G760" s="2"/>
      <c r="H760" s="3"/>
      <c r="I760" s="2"/>
      <c r="J760" s="3"/>
      <c r="K760" s="2"/>
      <c r="L760" s="3"/>
      <c r="M760" s="2"/>
      <c r="N760" s="3"/>
      <c r="O760" s="2"/>
      <c r="P760" s="3"/>
      <c r="Q760" s="2"/>
      <c r="R760" s="3"/>
      <c r="S760" s="2"/>
      <c r="T760" s="3"/>
      <c r="U760" s="2"/>
      <c r="V760" s="3"/>
      <c r="W760" s="2"/>
      <c r="X760" s="3"/>
      <c r="Y760" s="2"/>
      <c r="Z760" s="3"/>
    </row>
    <row r="761">
      <c r="A761" s="1"/>
      <c r="B761" s="1"/>
      <c r="C761" s="2"/>
      <c r="D761" s="3"/>
      <c r="E761" s="2"/>
      <c r="F761" s="3"/>
      <c r="G761" s="2"/>
      <c r="H761" s="3"/>
      <c r="I761" s="2"/>
      <c r="J761" s="3"/>
      <c r="K761" s="2"/>
      <c r="L761" s="3"/>
      <c r="M761" s="2"/>
      <c r="N761" s="3"/>
      <c r="O761" s="2"/>
      <c r="P761" s="3"/>
      <c r="Q761" s="2"/>
      <c r="R761" s="3"/>
      <c r="S761" s="2"/>
      <c r="T761" s="3"/>
      <c r="U761" s="2"/>
      <c r="V761" s="3"/>
      <c r="W761" s="2"/>
      <c r="X761" s="3"/>
      <c r="Y761" s="2"/>
      <c r="Z761" s="3"/>
    </row>
    <row r="762">
      <c r="A762" s="1"/>
      <c r="B762" s="1"/>
      <c r="C762" s="2"/>
      <c r="D762" s="3"/>
      <c r="E762" s="2"/>
      <c r="F762" s="3"/>
      <c r="G762" s="2"/>
      <c r="H762" s="3"/>
      <c r="I762" s="2"/>
      <c r="J762" s="3"/>
      <c r="K762" s="2"/>
      <c r="L762" s="3"/>
      <c r="M762" s="2"/>
      <c r="N762" s="3"/>
      <c r="O762" s="2"/>
      <c r="P762" s="3"/>
      <c r="Q762" s="2"/>
      <c r="R762" s="3"/>
      <c r="S762" s="2"/>
      <c r="T762" s="3"/>
      <c r="U762" s="2"/>
      <c r="V762" s="3"/>
      <c r="W762" s="2"/>
      <c r="X762" s="3"/>
      <c r="Y762" s="2"/>
      <c r="Z762" s="3"/>
    </row>
    <row r="763">
      <c r="A763" s="1"/>
      <c r="B763" s="1"/>
      <c r="C763" s="2"/>
      <c r="D763" s="3"/>
      <c r="E763" s="2"/>
      <c r="F763" s="3"/>
      <c r="G763" s="2"/>
      <c r="H763" s="3"/>
      <c r="I763" s="2"/>
      <c r="J763" s="3"/>
      <c r="K763" s="2"/>
      <c r="L763" s="3"/>
      <c r="M763" s="2"/>
      <c r="N763" s="3"/>
      <c r="O763" s="2"/>
      <c r="P763" s="3"/>
      <c r="Q763" s="2"/>
      <c r="R763" s="3"/>
      <c r="S763" s="2"/>
      <c r="T763" s="3"/>
      <c r="U763" s="2"/>
      <c r="V763" s="3"/>
      <c r="W763" s="2"/>
      <c r="X763" s="3"/>
      <c r="Y763" s="2"/>
      <c r="Z763" s="3"/>
    </row>
    <row r="764">
      <c r="A764" s="1"/>
      <c r="B764" s="1"/>
      <c r="C764" s="2"/>
      <c r="D764" s="3"/>
      <c r="E764" s="2"/>
      <c r="F764" s="3"/>
      <c r="G764" s="2"/>
      <c r="H764" s="3"/>
      <c r="I764" s="2"/>
      <c r="J764" s="3"/>
      <c r="K764" s="2"/>
      <c r="L764" s="3"/>
      <c r="M764" s="2"/>
      <c r="N764" s="3"/>
      <c r="O764" s="2"/>
      <c r="P764" s="3"/>
      <c r="Q764" s="2"/>
      <c r="R764" s="3"/>
      <c r="S764" s="2"/>
      <c r="T764" s="3"/>
      <c r="U764" s="2"/>
      <c r="V764" s="3"/>
      <c r="W764" s="2"/>
      <c r="X764" s="3"/>
      <c r="Y764" s="2"/>
      <c r="Z764" s="3"/>
    </row>
    <row r="765">
      <c r="A765" s="1"/>
      <c r="B765" s="1"/>
      <c r="C765" s="2"/>
      <c r="D765" s="3"/>
      <c r="E765" s="2"/>
      <c r="F765" s="3"/>
      <c r="G765" s="2"/>
      <c r="H765" s="3"/>
      <c r="I765" s="2"/>
      <c r="J765" s="3"/>
      <c r="K765" s="2"/>
      <c r="L765" s="3"/>
      <c r="M765" s="2"/>
      <c r="N765" s="3"/>
      <c r="O765" s="2"/>
      <c r="P765" s="3"/>
      <c r="Q765" s="2"/>
      <c r="R765" s="3"/>
      <c r="S765" s="2"/>
      <c r="T765" s="3"/>
      <c r="U765" s="2"/>
      <c r="V765" s="3"/>
      <c r="W765" s="2"/>
      <c r="X765" s="3"/>
      <c r="Y765" s="2"/>
      <c r="Z765" s="3"/>
    </row>
    <row r="766">
      <c r="A766" s="1"/>
      <c r="B766" s="1"/>
      <c r="C766" s="2"/>
      <c r="D766" s="3"/>
      <c r="E766" s="2"/>
      <c r="F766" s="3"/>
      <c r="G766" s="2"/>
      <c r="H766" s="3"/>
      <c r="I766" s="2"/>
      <c r="J766" s="3"/>
      <c r="K766" s="2"/>
      <c r="L766" s="3"/>
      <c r="M766" s="2"/>
      <c r="N766" s="3"/>
      <c r="O766" s="2"/>
      <c r="P766" s="3"/>
      <c r="Q766" s="2"/>
      <c r="R766" s="3"/>
      <c r="S766" s="2"/>
      <c r="T766" s="3"/>
      <c r="U766" s="2"/>
      <c r="V766" s="3"/>
      <c r="W766" s="2"/>
      <c r="X766" s="3"/>
      <c r="Y766" s="2"/>
      <c r="Z766" s="3"/>
    </row>
    <row r="767">
      <c r="A767" s="1"/>
      <c r="B767" s="1"/>
      <c r="C767" s="2"/>
      <c r="D767" s="3"/>
      <c r="E767" s="2"/>
      <c r="F767" s="3"/>
      <c r="G767" s="2"/>
      <c r="H767" s="3"/>
      <c r="I767" s="2"/>
      <c r="J767" s="3"/>
      <c r="K767" s="2"/>
      <c r="L767" s="3"/>
      <c r="M767" s="2"/>
      <c r="N767" s="3"/>
      <c r="O767" s="2"/>
      <c r="P767" s="3"/>
      <c r="Q767" s="2"/>
      <c r="R767" s="3"/>
      <c r="S767" s="2"/>
      <c r="T767" s="3"/>
      <c r="U767" s="2"/>
      <c r="V767" s="3"/>
      <c r="W767" s="2"/>
      <c r="X767" s="3"/>
      <c r="Y767" s="2"/>
      <c r="Z767" s="3"/>
    </row>
    <row r="768">
      <c r="A768" s="1"/>
      <c r="B768" s="1"/>
      <c r="C768" s="2"/>
      <c r="D768" s="3"/>
      <c r="E768" s="2"/>
      <c r="F768" s="3"/>
      <c r="G768" s="2"/>
      <c r="H768" s="3"/>
      <c r="I768" s="2"/>
      <c r="J768" s="3"/>
      <c r="K768" s="2"/>
      <c r="L768" s="3"/>
      <c r="M768" s="2"/>
      <c r="N768" s="3"/>
      <c r="O768" s="2"/>
      <c r="P768" s="3"/>
      <c r="Q768" s="2"/>
      <c r="R768" s="3"/>
      <c r="S768" s="2"/>
      <c r="T768" s="3"/>
      <c r="U768" s="2"/>
      <c r="V768" s="3"/>
      <c r="W768" s="2"/>
      <c r="X768" s="3"/>
      <c r="Y768" s="2"/>
      <c r="Z768" s="3"/>
    </row>
    <row r="769">
      <c r="A769" s="1"/>
      <c r="B769" s="1"/>
      <c r="C769" s="2"/>
      <c r="D769" s="3"/>
      <c r="E769" s="2"/>
      <c r="F769" s="3"/>
      <c r="G769" s="2"/>
      <c r="H769" s="3"/>
      <c r="I769" s="2"/>
      <c r="J769" s="3"/>
      <c r="K769" s="2"/>
      <c r="L769" s="3"/>
      <c r="M769" s="2"/>
      <c r="N769" s="3"/>
      <c r="O769" s="2"/>
      <c r="P769" s="3"/>
      <c r="Q769" s="2"/>
      <c r="R769" s="3"/>
      <c r="S769" s="2"/>
      <c r="T769" s="3"/>
      <c r="U769" s="2"/>
      <c r="V769" s="3"/>
      <c r="W769" s="2"/>
      <c r="X769" s="3"/>
      <c r="Y769" s="2"/>
      <c r="Z769" s="3"/>
    </row>
    <row r="770">
      <c r="A770" s="1"/>
      <c r="B770" s="1"/>
      <c r="C770" s="2"/>
      <c r="D770" s="3"/>
      <c r="E770" s="2"/>
      <c r="F770" s="3"/>
      <c r="G770" s="2"/>
      <c r="H770" s="3"/>
      <c r="I770" s="2"/>
      <c r="J770" s="3"/>
      <c r="K770" s="2"/>
      <c r="L770" s="3"/>
      <c r="M770" s="2"/>
      <c r="N770" s="3"/>
      <c r="O770" s="2"/>
      <c r="P770" s="3"/>
      <c r="Q770" s="2"/>
      <c r="R770" s="3"/>
      <c r="S770" s="2"/>
      <c r="T770" s="3"/>
      <c r="U770" s="2"/>
      <c r="V770" s="3"/>
      <c r="W770" s="2"/>
      <c r="X770" s="3"/>
      <c r="Y770" s="2"/>
      <c r="Z770" s="3"/>
    </row>
    <row r="771">
      <c r="A771" s="1"/>
      <c r="B771" s="1"/>
      <c r="C771" s="2"/>
      <c r="D771" s="3"/>
      <c r="E771" s="2"/>
      <c r="F771" s="3"/>
      <c r="G771" s="2"/>
      <c r="H771" s="3"/>
      <c r="I771" s="2"/>
      <c r="J771" s="3"/>
      <c r="K771" s="2"/>
      <c r="L771" s="3"/>
      <c r="M771" s="2"/>
      <c r="N771" s="3"/>
      <c r="O771" s="2"/>
      <c r="P771" s="3"/>
      <c r="Q771" s="2"/>
      <c r="R771" s="3"/>
      <c r="S771" s="2"/>
      <c r="T771" s="3"/>
      <c r="U771" s="2"/>
      <c r="V771" s="3"/>
      <c r="W771" s="2"/>
      <c r="X771" s="3"/>
      <c r="Y771" s="2"/>
      <c r="Z771" s="3"/>
    </row>
    <row r="772">
      <c r="A772" s="1"/>
      <c r="B772" s="1"/>
      <c r="C772" s="2"/>
      <c r="D772" s="3"/>
      <c r="E772" s="2"/>
      <c r="F772" s="3"/>
      <c r="G772" s="2"/>
      <c r="H772" s="3"/>
      <c r="I772" s="2"/>
      <c r="J772" s="3"/>
      <c r="K772" s="2"/>
      <c r="L772" s="3"/>
      <c r="M772" s="2"/>
      <c r="N772" s="3"/>
      <c r="O772" s="2"/>
      <c r="P772" s="3"/>
      <c r="Q772" s="2"/>
      <c r="R772" s="3"/>
      <c r="S772" s="2"/>
      <c r="T772" s="3"/>
      <c r="U772" s="2"/>
      <c r="V772" s="3"/>
      <c r="W772" s="2"/>
      <c r="X772" s="3"/>
      <c r="Y772" s="2"/>
      <c r="Z772" s="3"/>
    </row>
    <row r="773">
      <c r="A773" s="1"/>
      <c r="B773" s="1"/>
      <c r="C773" s="2"/>
      <c r="D773" s="3"/>
      <c r="E773" s="2"/>
      <c r="F773" s="3"/>
      <c r="G773" s="2"/>
      <c r="H773" s="3"/>
      <c r="I773" s="2"/>
      <c r="J773" s="3"/>
      <c r="K773" s="2"/>
      <c r="L773" s="3"/>
      <c r="M773" s="2"/>
      <c r="N773" s="3"/>
      <c r="O773" s="2"/>
      <c r="P773" s="3"/>
      <c r="Q773" s="2"/>
      <c r="R773" s="3"/>
      <c r="S773" s="2"/>
      <c r="T773" s="3"/>
      <c r="U773" s="2"/>
      <c r="V773" s="3"/>
      <c r="W773" s="2"/>
      <c r="X773" s="3"/>
      <c r="Y773" s="2"/>
      <c r="Z773" s="3"/>
    </row>
    <row r="774">
      <c r="A774" s="1"/>
      <c r="B774" s="1"/>
      <c r="C774" s="2"/>
      <c r="D774" s="3"/>
      <c r="E774" s="2"/>
      <c r="F774" s="3"/>
      <c r="G774" s="2"/>
      <c r="H774" s="3"/>
      <c r="I774" s="2"/>
      <c r="J774" s="3"/>
      <c r="K774" s="2"/>
      <c r="L774" s="3"/>
      <c r="M774" s="2"/>
      <c r="N774" s="3"/>
      <c r="O774" s="2"/>
      <c r="P774" s="3"/>
      <c r="Q774" s="2"/>
      <c r="R774" s="3"/>
      <c r="S774" s="2"/>
      <c r="T774" s="3"/>
      <c r="U774" s="2"/>
      <c r="V774" s="3"/>
      <c r="W774" s="2"/>
      <c r="X774" s="3"/>
      <c r="Y774" s="2"/>
      <c r="Z774" s="3"/>
    </row>
    <row r="775">
      <c r="A775" s="1"/>
      <c r="B775" s="1"/>
      <c r="C775" s="2"/>
      <c r="D775" s="3"/>
      <c r="E775" s="2"/>
      <c r="F775" s="3"/>
      <c r="G775" s="2"/>
      <c r="H775" s="3"/>
      <c r="I775" s="2"/>
      <c r="J775" s="3"/>
      <c r="K775" s="2"/>
      <c r="L775" s="3"/>
      <c r="M775" s="2"/>
      <c r="N775" s="3"/>
      <c r="O775" s="2"/>
      <c r="P775" s="3"/>
      <c r="Q775" s="2"/>
      <c r="R775" s="3"/>
      <c r="S775" s="2"/>
      <c r="T775" s="3"/>
      <c r="U775" s="2"/>
      <c r="V775" s="3"/>
      <c r="W775" s="2"/>
      <c r="X775" s="3"/>
      <c r="Y775" s="2"/>
      <c r="Z775" s="3"/>
    </row>
    <row r="776">
      <c r="A776" s="1"/>
      <c r="B776" s="1"/>
      <c r="C776" s="2"/>
      <c r="D776" s="3"/>
      <c r="E776" s="2"/>
      <c r="F776" s="3"/>
      <c r="G776" s="2"/>
      <c r="H776" s="3"/>
      <c r="I776" s="2"/>
      <c r="J776" s="3"/>
      <c r="K776" s="2"/>
      <c r="L776" s="3"/>
      <c r="M776" s="2"/>
      <c r="N776" s="3"/>
      <c r="O776" s="2"/>
      <c r="P776" s="3"/>
      <c r="Q776" s="2"/>
      <c r="R776" s="3"/>
      <c r="S776" s="2"/>
      <c r="T776" s="3"/>
      <c r="U776" s="2"/>
      <c r="V776" s="3"/>
      <c r="W776" s="2"/>
      <c r="X776" s="3"/>
      <c r="Y776" s="2"/>
      <c r="Z776" s="3"/>
    </row>
    <row r="777">
      <c r="A777" s="1"/>
      <c r="B777" s="1"/>
      <c r="C777" s="2"/>
      <c r="D777" s="3"/>
      <c r="E777" s="2"/>
      <c r="F777" s="3"/>
      <c r="G777" s="2"/>
      <c r="H777" s="3"/>
      <c r="I777" s="2"/>
      <c r="J777" s="3"/>
      <c r="K777" s="2"/>
      <c r="L777" s="3"/>
      <c r="M777" s="2"/>
      <c r="N777" s="3"/>
      <c r="O777" s="2"/>
      <c r="P777" s="3"/>
      <c r="Q777" s="2"/>
      <c r="R777" s="3"/>
      <c r="S777" s="2"/>
      <c r="T777" s="3"/>
      <c r="U777" s="2"/>
      <c r="V777" s="3"/>
      <c r="W777" s="2"/>
      <c r="X777" s="3"/>
      <c r="Y777" s="2"/>
      <c r="Z777" s="3"/>
    </row>
    <row r="778">
      <c r="A778" s="1"/>
      <c r="B778" s="1"/>
      <c r="C778" s="2"/>
      <c r="D778" s="3"/>
      <c r="E778" s="2"/>
      <c r="F778" s="3"/>
      <c r="G778" s="2"/>
      <c r="H778" s="3"/>
      <c r="I778" s="2"/>
      <c r="J778" s="3"/>
      <c r="K778" s="2"/>
      <c r="L778" s="3"/>
      <c r="M778" s="2"/>
      <c r="N778" s="3"/>
      <c r="O778" s="2"/>
      <c r="P778" s="3"/>
      <c r="Q778" s="2"/>
      <c r="R778" s="3"/>
      <c r="S778" s="2"/>
      <c r="T778" s="3"/>
      <c r="U778" s="2"/>
      <c r="V778" s="3"/>
      <c r="W778" s="2"/>
      <c r="X778" s="3"/>
      <c r="Y778" s="2"/>
      <c r="Z778" s="3"/>
    </row>
    <row r="779">
      <c r="A779" s="1"/>
      <c r="B779" s="1"/>
      <c r="C779" s="2"/>
      <c r="D779" s="3"/>
      <c r="E779" s="2"/>
      <c r="F779" s="3"/>
      <c r="G779" s="2"/>
      <c r="H779" s="3"/>
      <c r="I779" s="2"/>
      <c r="J779" s="3"/>
      <c r="K779" s="2"/>
      <c r="L779" s="3"/>
      <c r="M779" s="2"/>
      <c r="N779" s="3"/>
      <c r="O779" s="2"/>
      <c r="P779" s="3"/>
      <c r="Q779" s="2"/>
      <c r="R779" s="3"/>
      <c r="S779" s="2"/>
      <c r="T779" s="3"/>
      <c r="U779" s="2"/>
      <c r="V779" s="3"/>
      <c r="W779" s="2"/>
      <c r="X779" s="3"/>
      <c r="Y779" s="2"/>
      <c r="Z779" s="3"/>
    </row>
    <row r="780">
      <c r="A780" s="1"/>
      <c r="B780" s="1"/>
      <c r="C780" s="2"/>
      <c r="D780" s="3"/>
      <c r="E780" s="2"/>
      <c r="F780" s="3"/>
      <c r="G780" s="2"/>
      <c r="H780" s="3"/>
      <c r="I780" s="2"/>
      <c r="J780" s="3"/>
      <c r="K780" s="2"/>
      <c r="L780" s="3"/>
      <c r="M780" s="2"/>
      <c r="N780" s="3"/>
      <c r="O780" s="2"/>
      <c r="P780" s="3"/>
      <c r="Q780" s="2"/>
      <c r="R780" s="3"/>
      <c r="S780" s="2"/>
      <c r="T780" s="3"/>
      <c r="U780" s="2"/>
      <c r="V780" s="3"/>
      <c r="W780" s="2"/>
      <c r="X780" s="3"/>
      <c r="Y780" s="2"/>
      <c r="Z780" s="3"/>
    </row>
    <row r="781">
      <c r="A781" s="1"/>
      <c r="B781" s="1"/>
      <c r="C781" s="2"/>
      <c r="D781" s="3"/>
      <c r="E781" s="2"/>
      <c r="F781" s="3"/>
      <c r="G781" s="2"/>
      <c r="H781" s="3"/>
      <c r="I781" s="2"/>
      <c r="J781" s="3"/>
      <c r="K781" s="2"/>
      <c r="L781" s="3"/>
      <c r="M781" s="2"/>
      <c r="N781" s="3"/>
      <c r="O781" s="2"/>
      <c r="P781" s="3"/>
      <c r="Q781" s="2"/>
      <c r="R781" s="3"/>
      <c r="S781" s="2"/>
      <c r="T781" s="3"/>
      <c r="U781" s="2"/>
      <c r="V781" s="3"/>
      <c r="W781" s="2"/>
      <c r="X781" s="3"/>
      <c r="Y781" s="2"/>
      <c r="Z781" s="3"/>
    </row>
    <row r="782">
      <c r="A782" s="1"/>
      <c r="B782" s="1"/>
      <c r="C782" s="2"/>
      <c r="D782" s="3"/>
      <c r="E782" s="2"/>
      <c r="F782" s="3"/>
      <c r="G782" s="2"/>
      <c r="H782" s="3"/>
      <c r="I782" s="2"/>
      <c r="J782" s="3"/>
      <c r="K782" s="2"/>
      <c r="L782" s="3"/>
      <c r="M782" s="2"/>
      <c r="N782" s="3"/>
      <c r="O782" s="2"/>
      <c r="P782" s="3"/>
      <c r="Q782" s="2"/>
      <c r="R782" s="3"/>
      <c r="S782" s="2"/>
      <c r="T782" s="3"/>
      <c r="U782" s="2"/>
      <c r="V782" s="3"/>
      <c r="W782" s="2"/>
      <c r="X782" s="3"/>
      <c r="Y782" s="2"/>
      <c r="Z782" s="3"/>
    </row>
    <row r="783">
      <c r="A783" s="1"/>
      <c r="B783" s="1"/>
      <c r="C783" s="2"/>
      <c r="D783" s="3"/>
      <c r="E783" s="2"/>
      <c r="F783" s="3"/>
      <c r="G783" s="2"/>
      <c r="H783" s="3"/>
      <c r="I783" s="2"/>
      <c r="J783" s="3"/>
      <c r="K783" s="2"/>
      <c r="L783" s="3"/>
      <c r="M783" s="2"/>
      <c r="N783" s="3"/>
      <c r="O783" s="2"/>
      <c r="P783" s="3"/>
      <c r="Q783" s="2"/>
      <c r="R783" s="3"/>
      <c r="S783" s="2"/>
      <c r="T783" s="3"/>
      <c r="U783" s="2"/>
      <c r="V783" s="3"/>
      <c r="W783" s="2"/>
      <c r="X783" s="3"/>
      <c r="Y783" s="2"/>
      <c r="Z783" s="3"/>
    </row>
    <row r="784">
      <c r="A784" s="1"/>
      <c r="B784" s="1"/>
      <c r="C784" s="2"/>
      <c r="D784" s="3"/>
      <c r="E784" s="2"/>
      <c r="F784" s="3"/>
      <c r="G784" s="2"/>
      <c r="H784" s="3"/>
      <c r="I784" s="2"/>
      <c r="J784" s="3"/>
      <c r="K784" s="2"/>
      <c r="L784" s="3"/>
      <c r="M784" s="2"/>
      <c r="N784" s="3"/>
      <c r="O784" s="2"/>
      <c r="P784" s="3"/>
      <c r="Q784" s="2"/>
      <c r="R784" s="3"/>
      <c r="S784" s="2"/>
      <c r="T784" s="3"/>
      <c r="U784" s="2"/>
      <c r="V784" s="3"/>
      <c r="W784" s="2"/>
      <c r="X784" s="3"/>
      <c r="Y784" s="2"/>
      <c r="Z784" s="3"/>
    </row>
    <row r="785">
      <c r="A785" s="1"/>
      <c r="B785" s="1"/>
      <c r="C785" s="2"/>
      <c r="D785" s="3"/>
      <c r="E785" s="2"/>
      <c r="F785" s="3"/>
      <c r="G785" s="2"/>
      <c r="H785" s="3"/>
      <c r="I785" s="2"/>
      <c r="J785" s="3"/>
      <c r="K785" s="2"/>
      <c r="L785" s="3"/>
      <c r="M785" s="2"/>
      <c r="N785" s="3"/>
      <c r="O785" s="2"/>
      <c r="P785" s="3"/>
      <c r="Q785" s="2"/>
      <c r="R785" s="3"/>
      <c r="S785" s="2"/>
      <c r="T785" s="3"/>
      <c r="U785" s="2"/>
      <c r="V785" s="3"/>
      <c r="W785" s="2"/>
      <c r="X785" s="3"/>
      <c r="Y785" s="2"/>
      <c r="Z785" s="3"/>
    </row>
    <row r="786">
      <c r="A786" s="1"/>
      <c r="B786" s="1"/>
      <c r="C786" s="2"/>
      <c r="D786" s="3"/>
      <c r="E786" s="2"/>
      <c r="F786" s="3"/>
      <c r="G786" s="2"/>
      <c r="H786" s="3"/>
      <c r="I786" s="2"/>
      <c r="J786" s="3"/>
      <c r="K786" s="2"/>
      <c r="L786" s="3"/>
      <c r="M786" s="2"/>
      <c r="N786" s="3"/>
      <c r="O786" s="2"/>
      <c r="P786" s="3"/>
      <c r="Q786" s="2"/>
      <c r="R786" s="3"/>
      <c r="S786" s="2"/>
      <c r="T786" s="3"/>
      <c r="U786" s="2"/>
      <c r="V786" s="3"/>
      <c r="W786" s="2"/>
      <c r="X786" s="3"/>
      <c r="Y786" s="2"/>
      <c r="Z786" s="3"/>
    </row>
    <row r="787">
      <c r="A787" s="1"/>
      <c r="B787" s="1"/>
      <c r="C787" s="2"/>
      <c r="D787" s="3"/>
      <c r="E787" s="2"/>
      <c r="F787" s="3"/>
      <c r="G787" s="2"/>
      <c r="H787" s="3"/>
      <c r="I787" s="2"/>
      <c r="J787" s="3"/>
      <c r="K787" s="2"/>
      <c r="L787" s="3"/>
      <c r="M787" s="2"/>
      <c r="N787" s="3"/>
      <c r="O787" s="2"/>
      <c r="P787" s="3"/>
      <c r="Q787" s="2"/>
      <c r="R787" s="3"/>
      <c r="S787" s="2"/>
      <c r="T787" s="3"/>
      <c r="U787" s="2"/>
      <c r="V787" s="3"/>
      <c r="W787" s="2"/>
      <c r="X787" s="3"/>
      <c r="Y787" s="2"/>
      <c r="Z787" s="3"/>
    </row>
    <row r="788">
      <c r="A788" s="1"/>
      <c r="B788" s="1"/>
      <c r="C788" s="2"/>
      <c r="D788" s="3"/>
      <c r="E788" s="2"/>
      <c r="F788" s="3"/>
      <c r="G788" s="2"/>
      <c r="H788" s="3"/>
      <c r="I788" s="2"/>
      <c r="J788" s="3"/>
      <c r="K788" s="2"/>
      <c r="L788" s="3"/>
      <c r="M788" s="2"/>
      <c r="N788" s="3"/>
      <c r="O788" s="2"/>
      <c r="P788" s="3"/>
      <c r="Q788" s="2"/>
      <c r="R788" s="3"/>
      <c r="S788" s="2"/>
      <c r="T788" s="3"/>
      <c r="U788" s="2"/>
      <c r="V788" s="3"/>
      <c r="W788" s="2"/>
      <c r="X788" s="3"/>
      <c r="Y788" s="2"/>
      <c r="Z788" s="3"/>
    </row>
    <row r="789">
      <c r="A789" s="1"/>
      <c r="B789" s="1"/>
      <c r="C789" s="2"/>
      <c r="D789" s="3"/>
      <c r="E789" s="2"/>
      <c r="F789" s="3"/>
      <c r="G789" s="2"/>
      <c r="H789" s="3"/>
      <c r="I789" s="2"/>
      <c r="J789" s="3"/>
      <c r="K789" s="2"/>
      <c r="L789" s="3"/>
      <c r="M789" s="2"/>
      <c r="N789" s="3"/>
      <c r="O789" s="2"/>
      <c r="P789" s="3"/>
      <c r="Q789" s="2"/>
      <c r="R789" s="3"/>
      <c r="S789" s="2"/>
      <c r="T789" s="3"/>
      <c r="U789" s="2"/>
      <c r="V789" s="3"/>
      <c r="W789" s="2"/>
      <c r="X789" s="3"/>
      <c r="Y789" s="2"/>
      <c r="Z789" s="3"/>
    </row>
    <row r="790">
      <c r="A790" s="1"/>
      <c r="B790" s="1"/>
      <c r="C790" s="2"/>
      <c r="D790" s="3"/>
      <c r="E790" s="2"/>
      <c r="F790" s="3"/>
      <c r="G790" s="2"/>
      <c r="H790" s="3"/>
      <c r="I790" s="2"/>
      <c r="J790" s="3"/>
      <c r="K790" s="2"/>
      <c r="L790" s="3"/>
      <c r="M790" s="2"/>
      <c r="N790" s="3"/>
      <c r="O790" s="2"/>
      <c r="P790" s="3"/>
      <c r="Q790" s="2"/>
      <c r="R790" s="3"/>
      <c r="S790" s="2"/>
      <c r="T790" s="3"/>
      <c r="U790" s="2"/>
      <c r="V790" s="3"/>
      <c r="W790" s="2"/>
      <c r="X790" s="3"/>
      <c r="Y790" s="2"/>
      <c r="Z790" s="3"/>
    </row>
    <row r="791">
      <c r="A791" s="1"/>
      <c r="B791" s="1"/>
      <c r="C791" s="2"/>
      <c r="D791" s="3"/>
      <c r="E791" s="2"/>
      <c r="F791" s="3"/>
      <c r="G791" s="2"/>
      <c r="H791" s="3"/>
      <c r="I791" s="2"/>
      <c r="J791" s="3"/>
      <c r="K791" s="2"/>
      <c r="L791" s="3"/>
      <c r="M791" s="2"/>
      <c r="N791" s="3"/>
      <c r="O791" s="2"/>
      <c r="P791" s="3"/>
      <c r="Q791" s="2"/>
      <c r="R791" s="3"/>
      <c r="S791" s="2"/>
      <c r="T791" s="3"/>
      <c r="U791" s="2"/>
      <c r="V791" s="3"/>
      <c r="W791" s="2"/>
      <c r="X791" s="3"/>
      <c r="Y791" s="2"/>
      <c r="Z791" s="3"/>
    </row>
    <row r="792">
      <c r="A792" s="1"/>
      <c r="B792" s="1"/>
      <c r="C792" s="2"/>
      <c r="D792" s="3"/>
      <c r="E792" s="2"/>
      <c r="F792" s="3"/>
      <c r="G792" s="2"/>
      <c r="H792" s="3"/>
      <c r="I792" s="2"/>
      <c r="J792" s="3"/>
      <c r="K792" s="2"/>
      <c r="L792" s="3"/>
      <c r="M792" s="2"/>
      <c r="N792" s="3"/>
      <c r="O792" s="2"/>
      <c r="P792" s="3"/>
      <c r="Q792" s="2"/>
      <c r="R792" s="3"/>
      <c r="S792" s="2"/>
      <c r="T792" s="3"/>
      <c r="U792" s="2"/>
      <c r="V792" s="3"/>
      <c r="W792" s="2"/>
      <c r="X792" s="3"/>
      <c r="Y792" s="2"/>
      <c r="Z792" s="3"/>
    </row>
    <row r="793">
      <c r="A793" s="1"/>
      <c r="B793" s="1"/>
      <c r="C793" s="2"/>
      <c r="D793" s="3"/>
      <c r="E793" s="2"/>
      <c r="F793" s="3"/>
      <c r="G793" s="2"/>
      <c r="H793" s="3"/>
      <c r="I793" s="2"/>
      <c r="J793" s="3"/>
      <c r="K793" s="2"/>
      <c r="L793" s="3"/>
      <c r="M793" s="2"/>
      <c r="N793" s="3"/>
      <c r="O793" s="2"/>
      <c r="P793" s="3"/>
      <c r="Q793" s="2"/>
      <c r="R793" s="3"/>
      <c r="S793" s="2"/>
      <c r="T793" s="3"/>
      <c r="U793" s="2"/>
      <c r="V793" s="3"/>
      <c r="W793" s="2"/>
      <c r="X793" s="3"/>
      <c r="Y793" s="2"/>
      <c r="Z793" s="3"/>
    </row>
    <row r="794">
      <c r="A794" s="1"/>
      <c r="B794" s="1"/>
      <c r="C794" s="2"/>
      <c r="D794" s="3"/>
      <c r="E794" s="2"/>
      <c r="F794" s="3"/>
      <c r="G794" s="2"/>
      <c r="H794" s="3"/>
      <c r="I794" s="2"/>
      <c r="J794" s="3"/>
      <c r="K794" s="2"/>
      <c r="L794" s="3"/>
      <c r="M794" s="2"/>
      <c r="N794" s="3"/>
      <c r="O794" s="2"/>
      <c r="P794" s="3"/>
      <c r="Q794" s="2"/>
      <c r="R794" s="3"/>
      <c r="S794" s="2"/>
      <c r="T794" s="3"/>
      <c r="U794" s="2"/>
      <c r="V794" s="3"/>
      <c r="W794" s="2"/>
      <c r="X794" s="3"/>
      <c r="Y794" s="2"/>
      <c r="Z794" s="3"/>
    </row>
    <row r="795">
      <c r="A795" s="1"/>
      <c r="B795" s="1"/>
      <c r="C795" s="2"/>
      <c r="D795" s="3"/>
      <c r="E795" s="2"/>
      <c r="F795" s="3"/>
      <c r="G795" s="2"/>
      <c r="H795" s="3"/>
      <c r="I795" s="2"/>
      <c r="J795" s="3"/>
      <c r="K795" s="2"/>
      <c r="L795" s="3"/>
      <c r="M795" s="2"/>
      <c r="N795" s="3"/>
      <c r="O795" s="2"/>
      <c r="P795" s="3"/>
      <c r="Q795" s="2"/>
      <c r="R795" s="3"/>
      <c r="S795" s="2"/>
      <c r="T795" s="3"/>
      <c r="U795" s="2"/>
      <c r="V795" s="3"/>
      <c r="W795" s="2"/>
      <c r="X795" s="3"/>
      <c r="Y795" s="2"/>
      <c r="Z795" s="3"/>
    </row>
    <row r="796">
      <c r="A796" s="1"/>
      <c r="B796" s="1"/>
      <c r="C796" s="2"/>
      <c r="D796" s="3"/>
      <c r="E796" s="2"/>
      <c r="F796" s="3"/>
      <c r="G796" s="2"/>
      <c r="H796" s="3"/>
      <c r="I796" s="2"/>
      <c r="J796" s="3"/>
      <c r="K796" s="2"/>
      <c r="L796" s="3"/>
      <c r="M796" s="2"/>
      <c r="N796" s="3"/>
      <c r="O796" s="2"/>
      <c r="P796" s="3"/>
      <c r="Q796" s="2"/>
      <c r="R796" s="3"/>
      <c r="S796" s="2"/>
      <c r="T796" s="3"/>
      <c r="U796" s="2"/>
      <c r="V796" s="3"/>
      <c r="W796" s="2"/>
      <c r="X796" s="3"/>
      <c r="Y796" s="2"/>
      <c r="Z796" s="3"/>
    </row>
    <row r="797">
      <c r="A797" s="1"/>
      <c r="B797" s="1"/>
      <c r="C797" s="2"/>
      <c r="D797" s="3"/>
      <c r="E797" s="2"/>
      <c r="F797" s="3"/>
      <c r="G797" s="2"/>
      <c r="H797" s="3"/>
      <c r="I797" s="2"/>
      <c r="J797" s="3"/>
      <c r="K797" s="2"/>
      <c r="L797" s="3"/>
      <c r="M797" s="2"/>
      <c r="N797" s="3"/>
      <c r="O797" s="2"/>
      <c r="P797" s="3"/>
      <c r="Q797" s="2"/>
      <c r="R797" s="3"/>
      <c r="S797" s="2"/>
      <c r="T797" s="3"/>
      <c r="U797" s="2"/>
      <c r="V797" s="3"/>
      <c r="W797" s="2"/>
      <c r="X797" s="3"/>
      <c r="Y797" s="2"/>
      <c r="Z797" s="3"/>
    </row>
    <row r="798">
      <c r="A798" s="1"/>
      <c r="B798" s="1"/>
      <c r="C798" s="2"/>
      <c r="D798" s="3"/>
      <c r="E798" s="2"/>
      <c r="F798" s="3"/>
      <c r="G798" s="2"/>
      <c r="H798" s="3"/>
      <c r="I798" s="2"/>
      <c r="J798" s="3"/>
      <c r="K798" s="2"/>
      <c r="L798" s="3"/>
      <c r="M798" s="2"/>
      <c r="N798" s="3"/>
      <c r="O798" s="2"/>
      <c r="P798" s="3"/>
      <c r="Q798" s="2"/>
      <c r="R798" s="3"/>
      <c r="S798" s="2"/>
      <c r="T798" s="3"/>
      <c r="U798" s="2"/>
      <c r="V798" s="3"/>
      <c r="W798" s="2"/>
      <c r="X798" s="3"/>
      <c r="Y798" s="2"/>
      <c r="Z798" s="3"/>
    </row>
    <row r="799">
      <c r="A799" s="1"/>
      <c r="B799" s="1"/>
      <c r="C799" s="2"/>
      <c r="D799" s="3"/>
      <c r="E799" s="2"/>
      <c r="F799" s="3"/>
      <c r="G799" s="2"/>
      <c r="H799" s="3"/>
      <c r="I799" s="2"/>
      <c r="J799" s="3"/>
      <c r="K799" s="2"/>
      <c r="L799" s="3"/>
      <c r="M799" s="2"/>
      <c r="N799" s="3"/>
      <c r="O799" s="2"/>
      <c r="P799" s="3"/>
      <c r="Q799" s="2"/>
      <c r="R799" s="3"/>
      <c r="S799" s="2"/>
      <c r="T799" s="3"/>
      <c r="U799" s="2"/>
      <c r="V799" s="3"/>
      <c r="W799" s="2"/>
      <c r="X799" s="3"/>
      <c r="Y799" s="2"/>
      <c r="Z799" s="3"/>
    </row>
    <row r="800">
      <c r="A800" s="1"/>
      <c r="B800" s="1"/>
      <c r="C800" s="2"/>
      <c r="D800" s="3"/>
      <c r="E800" s="2"/>
      <c r="F800" s="3"/>
      <c r="G800" s="2"/>
      <c r="H800" s="3"/>
      <c r="I800" s="2"/>
      <c r="J800" s="3"/>
      <c r="K800" s="2"/>
      <c r="L800" s="3"/>
      <c r="M800" s="2"/>
      <c r="N800" s="3"/>
      <c r="O800" s="2"/>
      <c r="P800" s="3"/>
      <c r="Q800" s="2"/>
      <c r="R800" s="3"/>
      <c r="S800" s="2"/>
      <c r="T800" s="3"/>
      <c r="U800" s="2"/>
      <c r="V800" s="3"/>
      <c r="W800" s="2"/>
      <c r="X800" s="3"/>
      <c r="Y800" s="2"/>
      <c r="Z800" s="3"/>
    </row>
    <row r="801">
      <c r="A801" s="1"/>
      <c r="B801" s="1"/>
      <c r="C801" s="2"/>
      <c r="D801" s="3"/>
      <c r="E801" s="2"/>
      <c r="F801" s="3"/>
      <c r="G801" s="2"/>
      <c r="H801" s="3"/>
      <c r="I801" s="2"/>
      <c r="J801" s="3"/>
      <c r="K801" s="2"/>
      <c r="L801" s="3"/>
      <c r="M801" s="2"/>
      <c r="N801" s="3"/>
      <c r="O801" s="2"/>
      <c r="P801" s="3"/>
      <c r="Q801" s="2"/>
      <c r="R801" s="3"/>
      <c r="S801" s="2"/>
      <c r="T801" s="3"/>
      <c r="U801" s="2"/>
      <c r="V801" s="3"/>
      <c r="W801" s="2"/>
      <c r="X801" s="3"/>
      <c r="Y801" s="2"/>
      <c r="Z801" s="3"/>
    </row>
    <row r="802">
      <c r="A802" s="1"/>
      <c r="B802" s="1"/>
      <c r="C802" s="2"/>
      <c r="D802" s="3"/>
      <c r="E802" s="2"/>
      <c r="F802" s="3"/>
      <c r="G802" s="2"/>
      <c r="H802" s="3"/>
      <c r="I802" s="2"/>
      <c r="J802" s="3"/>
      <c r="K802" s="2"/>
      <c r="L802" s="3"/>
      <c r="M802" s="2"/>
      <c r="N802" s="3"/>
      <c r="O802" s="2"/>
      <c r="P802" s="3"/>
      <c r="Q802" s="2"/>
      <c r="R802" s="3"/>
      <c r="S802" s="2"/>
      <c r="T802" s="3"/>
      <c r="U802" s="2"/>
      <c r="V802" s="3"/>
      <c r="W802" s="2"/>
      <c r="X802" s="3"/>
      <c r="Y802" s="2"/>
      <c r="Z802" s="3"/>
    </row>
    <row r="803">
      <c r="A803" s="1"/>
      <c r="B803" s="1"/>
      <c r="C803" s="2"/>
      <c r="D803" s="3"/>
      <c r="E803" s="2"/>
      <c r="F803" s="3"/>
      <c r="G803" s="2"/>
      <c r="H803" s="3"/>
      <c r="I803" s="2"/>
      <c r="J803" s="3"/>
      <c r="K803" s="2"/>
      <c r="L803" s="3"/>
      <c r="M803" s="2"/>
      <c r="N803" s="3"/>
      <c r="O803" s="2"/>
      <c r="P803" s="3"/>
      <c r="Q803" s="2"/>
      <c r="R803" s="3"/>
      <c r="S803" s="2"/>
      <c r="T803" s="3"/>
      <c r="U803" s="2"/>
      <c r="V803" s="3"/>
      <c r="W803" s="2"/>
      <c r="X803" s="3"/>
      <c r="Y803" s="2"/>
      <c r="Z803" s="3"/>
    </row>
    <row r="804">
      <c r="A804" s="1"/>
      <c r="B804" s="1"/>
      <c r="C804" s="2"/>
      <c r="D804" s="3"/>
      <c r="E804" s="2"/>
      <c r="F804" s="3"/>
      <c r="G804" s="2"/>
      <c r="H804" s="3"/>
      <c r="I804" s="2"/>
      <c r="J804" s="3"/>
      <c r="K804" s="2"/>
      <c r="L804" s="3"/>
      <c r="M804" s="2"/>
      <c r="N804" s="3"/>
      <c r="O804" s="2"/>
      <c r="P804" s="3"/>
      <c r="Q804" s="2"/>
      <c r="R804" s="3"/>
      <c r="S804" s="2"/>
      <c r="T804" s="3"/>
      <c r="U804" s="2"/>
      <c r="V804" s="3"/>
      <c r="W804" s="2"/>
      <c r="X804" s="3"/>
      <c r="Y804" s="2"/>
      <c r="Z804" s="3"/>
    </row>
    <row r="805">
      <c r="A805" s="1"/>
      <c r="B805" s="1"/>
      <c r="C805" s="2"/>
      <c r="D805" s="3"/>
      <c r="E805" s="2"/>
      <c r="F805" s="3"/>
      <c r="G805" s="2"/>
      <c r="H805" s="3"/>
      <c r="I805" s="2"/>
      <c r="J805" s="3"/>
      <c r="K805" s="2"/>
      <c r="L805" s="3"/>
      <c r="M805" s="2"/>
      <c r="N805" s="3"/>
      <c r="O805" s="2"/>
      <c r="P805" s="3"/>
      <c r="Q805" s="2"/>
      <c r="R805" s="3"/>
      <c r="S805" s="2"/>
      <c r="T805" s="3"/>
      <c r="U805" s="2"/>
      <c r="V805" s="3"/>
      <c r="W805" s="2"/>
      <c r="X805" s="3"/>
      <c r="Y805" s="2"/>
      <c r="Z805" s="3"/>
    </row>
    <row r="806">
      <c r="A806" s="1"/>
      <c r="B806" s="1"/>
      <c r="C806" s="2"/>
      <c r="D806" s="3"/>
      <c r="E806" s="2"/>
      <c r="F806" s="3"/>
      <c r="G806" s="2"/>
      <c r="H806" s="3"/>
      <c r="I806" s="2"/>
      <c r="J806" s="3"/>
      <c r="K806" s="2"/>
      <c r="L806" s="3"/>
      <c r="M806" s="2"/>
      <c r="N806" s="3"/>
      <c r="O806" s="2"/>
      <c r="P806" s="3"/>
      <c r="Q806" s="2"/>
      <c r="R806" s="3"/>
      <c r="S806" s="2"/>
      <c r="T806" s="3"/>
      <c r="U806" s="2"/>
      <c r="V806" s="3"/>
      <c r="W806" s="2"/>
      <c r="X806" s="3"/>
      <c r="Y806" s="2"/>
      <c r="Z806" s="3"/>
    </row>
    <row r="807">
      <c r="A807" s="1"/>
      <c r="B807" s="1"/>
      <c r="C807" s="2"/>
      <c r="D807" s="3"/>
      <c r="E807" s="2"/>
      <c r="F807" s="3"/>
      <c r="G807" s="2"/>
      <c r="H807" s="3"/>
      <c r="I807" s="2"/>
      <c r="J807" s="3"/>
      <c r="K807" s="2"/>
      <c r="L807" s="3"/>
      <c r="M807" s="2"/>
      <c r="N807" s="3"/>
      <c r="O807" s="2"/>
      <c r="P807" s="3"/>
      <c r="Q807" s="2"/>
      <c r="R807" s="3"/>
      <c r="S807" s="2"/>
      <c r="T807" s="3"/>
      <c r="U807" s="2"/>
      <c r="V807" s="3"/>
      <c r="W807" s="2"/>
      <c r="X807" s="3"/>
      <c r="Y807" s="2"/>
      <c r="Z807" s="3"/>
    </row>
    <row r="808">
      <c r="A808" s="1"/>
      <c r="B808" s="1"/>
      <c r="C808" s="2"/>
      <c r="D808" s="3"/>
      <c r="E808" s="2"/>
      <c r="F808" s="3"/>
      <c r="G808" s="2"/>
      <c r="H808" s="3"/>
      <c r="I808" s="2"/>
      <c r="J808" s="3"/>
      <c r="K808" s="2"/>
      <c r="L808" s="3"/>
      <c r="M808" s="2"/>
      <c r="N808" s="3"/>
      <c r="O808" s="2"/>
      <c r="P808" s="3"/>
      <c r="Q808" s="2"/>
      <c r="R808" s="3"/>
      <c r="S808" s="2"/>
      <c r="T808" s="3"/>
      <c r="U808" s="2"/>
      <c r="V808" s="3"/>
      <c r="W808" s="2"/>
      <c r="X808" s="3"/>
      <c r="Y808" s="2"/>
      <c r="Z808" s="3"/>
    </row>
    <row r="809">
      <c r="A809" s="1"/>
      <c r="B809" s="1"/>
      <c r="C809" s="2"/>
      <c r="D809" s="3"/>
      <c r="E809" s="2"/>
      <c r="F809" s="3"/>
      <c r="G809" s="2"/>
      <c r="H809" s="3"/>
      <c r="I809" s="2"/>
      <c r="J809" s="3"/>
      <c r="K809" s="2"/>
      <c r="L809" s="3"/>
      <c r="M809" s="2"/>
      <c r="N809" s="3"/>
      <c r="O809" s="2"/>
      <c r="P809" s="3"/>
      <c r="Q809" s="2"/>
      <c r="R809" s="3"/>
      <c r="S809" s="2"/>
      <c r="T809" s="3"/>
      <c r="U809" s="2"/>
      <c r="V809" s="3"/>
      <c r="W809" s="2"/>
      <c r="X809" s="3"/>
      <c r="Y809" s="2"/>
      <c r="Z809" s="3"/>
    </row>
    <row r="810">
      <c r="A810" s="1"/>
      <c r="B810" s="1"/>
      <c r="C810" s="2"/>
      <c r="D810" s="3"/>
      <c r="E810" s="2"/>
      <c r="F810" s="3"/>
      <c r="G810" s="2"/>
      <c r="H810" s="3"/>
      <c r="I810" s="2"/>
      <c r="J810" s="3"/>
      <c r="K810" s="2"/>
      <c r="L810" s="3"/>
      <c r="M810" s="2"/>
      <c r="N810" s="3"/>
      <c r="O810" s="2"/>
      <c r="P810" s="3"/>
      <c r="Q810" s="2"/>
      <c r="R810" s="3"/>
      <c r="S810" s="2"/>
      <c r="T810" s="3"/>
      <c r="U810" s="2"/>
      <c r="V810" s="3"/>
      <c r="W810" s="2"/>
      <c r="X810" s="3"/>
      <c r="Y810" s="2"/>
      <c r="Z810" s="3"/>
    </row>
    <row r="811">
      <c r="A811" s="1"/>
      <c r="B811" s="1"/>
      <c r="C811" s="2"/>
      <c r="D811" s="3"/>
      <c r="E811" s="2"/>
      <c r="F811" s="3"/>
      <c r="G811" s="2"/>
      <c r="H811" s="3"/>
      <c r="I811" s="2"/>
      <c r="J811" s="3"/>
      <c r="K811" s="2"/>
      <c r="L811" s="3"/>
      <c r="M811" s="2"/>
      <c r="N811" s="3"/>
      <c r="O811" s="2"/>
      <c r="P811" s="3"/>
      <c r="Q811" s="2"/>
      <c r="R811" s="3"/>
      <c r="S811" s="2"/>
      <c r="T811" s="3"/>
      <c r="U811" s="2"/>
      <c r="V811" s="3"/>
      <c r="W811" s="2"/>
      <c r="X811" s="3"/>
      <c r="Y811" s="2"/>
      <c r="Z811" s="3"/>
    </row>
    <row r="812">
      <c r="A812" s="1"/>
      <c r="B812" s="1"/>
      <c r="C812" s="2"/>
      <c r="D812" s="3"/>
      <c r="E812" s="2"/>
      <c r="F812" s="3"/>
      <c r="G812" s="2"/>
      <c r="H812" s="3"/>
      <c r="I812" s="2"/>
      <c r="J812" s="3"/>
      <c r="K812" s="2"/>
      <c r="L812" s="3"/>
      <c r="M812" s="2"/>
      <c r="N812" s="3"/>
      <c r="O812" s="2"/>
      <c r="P812" s="3"/>
      <c r="Q812" s="2"/>
      <c r="R812" s="3"/>
      <c r="S812" s="2"/>
      <c r="T812" s="3"/>
      <c r="U812" s="2"/>
      <c r="V812" s="3"/>
      <c r="W812" s="2"/>
      <c r="X812" s="3"/>
      <c r="Y812" s="2"/>
      <c r="Z812" s="3"/>
    </row>
    <row r="813">
      <c r="A813" s="1"/>
      <c r="B813" s="1"/>
      <c r="C813" s="2"/>
      <c r="D813" s="3"/>
      <c r="E813" s="2"/>
      <c r="F813" s="3"/>
      <c r="G813" s="2"/>
      <c r="H813" s="3"/>
      <c r="I813" s="2"/>
      <c r="J813" s="3"/>
      <c r="K813" s="2"/>
      <c r="L813" s="3"/>
      <c r="M813" s="2"/>
      <c r="N813" s="3"/>
      <c r="O813" s="2"/>
      <c r="P813" s="3"/>
      <c r="Q813" s="2"/>
      <c r="R813" s="3"/>
      <c r="S813" s="2"/>
      <c r="T813" s="3"/>
      <c r="U813" s="2"/>
      <c r="V813" s="3"/>
      <c r="W813" s="2"/>
      <c r="X813" s="3"/>
      <c r="Y813" s="2"/>
      <c r="Z813" s="3"/>
    </row>
    <row r="814">
      <c r="A814" s="1"/>
      <c r="B814" s="1"/>
      <c r="C814" s="2"/>
      <c r="D814" s="3"/>
      <c r="E814" s="2"/>
      <c r="F814" s="3"/>
      <c r="G814" s="2"/>
      <c r="H814" s="3"/>
      <c r="I814" s="2"/>
      <c r="J814" s="3"/>
      <c r="K814" s="2"/>
      <c r="L814" s="3"/>
      <c r="M814" s="2"/>
      <c r="N814" s="3"/>
      <c r="O814" s="2"/>
      <c r="P814" s="3"/>
      <c r="Q814" s="2"/>
      <c r="R814" s="3"/>
      <c r="S814" s="2"/>
      <c r="T814" s="3"/>
      <c r="U814" s="2"/>
      <c r="V814" s="3"/>
      <c r="W814" s="2"/>
      <c r="X814" s="3"/>
      <c r="Y814" s="2"/>
      <c r="Z814" s="3"/>
    </row>
    <row r="815">
      <c r="A815" s="1"/>
      <c r="B815" s="1"/>
      <c r="C815" s="2"/>
      <c r="D815" s="3"/>
      <c r="E815" s="2"/>
      <c r="F815" s="3"/>
      <c r="G815" s="2"/>
      <c r="H815" s="3"/>
      <c r="I815" s="2"/>
      <c r="J815" s="3"/>
      <c r="K815" s="2"/>
      <c r="L815" s="3"/>
      <c r="M815" s="2"/>
      <c r="N815" s="3"/>
      <c r="O815" s="2"/>
      <c r="P815" s="3"/>
      <c r="Q815" s="2"/>
      <c r="R815" s="3"/>
      <c r="S815" s="2"/>
      <c r="T815" s="3"/>
      <c r="U815" s="2"/>
      <c r="V815" s="3"/>
      <c r="W815" s="2"/>
      <c r="X815" s="3"/>
      <c r="Y815" s="2"/>
      <c r="Z815" s="3"/>
    </row>
    <row r="816">
      <c r="A816" s="1"/>
      <c r="B816" s="1"/>
      <c r="C816" s="2"/>
      <c r="D816" s="3"/>
      <c r="E816" s="2"/>
      <c r="F816" s="3"/>
      <c r="G816" s="2"/>
      <c r="H816" s="3"/>
      <c r="I816" s="2"/>
      <c r="J816" s="3"/>
      <c r="K816" s="2"/>
      <c r="L816" s="3"/>
      <c r="M816" s="2"/>
      <c r="N816" s="3"/>
      <c r="O816" s="2"/>
      <c r="P816" s="3"/>
      <c r="Q816" s="2"/>
      <c r="R816" s="3"/>
      <c r="S816" s="2"/>
      <c r="T816" s="3"/>
      <c r="U816" s="2"/>
      <c r="V816" s="3"/>
      <c r="W816" s="2"/>
      <c r="X816" s="3"/>
      <c r="Y816" s="2"/>
      <c r="Z816" s="3"/>
    </row>
    <row r="817">
      <c r="A817" s="1"/>
      <c r="B817" s="1"/>
      <c r="C817" s="2"/>
      <c r="D817" s="3"/>
      <c r="E817" s="2"/>
      <c r="F817" s="3"/>
      <c r="G817" s="2"/>
      <c r="H817" s="3"/>
      <c r="I817" s="2"/>
      <c r="J817" s="3"/>
      <c r="K817" s="2"/>
      <c r="L817" s="3"/>
      <c r="M817" s="2"/>
      <c r="N817" s="3"/>
      <c r="O817" s="2"/>
      <c r="P817" s="3"/>
      <c r="Q817" s="2"/>
      <c r="R817" s="3"/>
      <c r="S817" s="2"/>
      <c r="T817" s="3"/>
      <c r="U817" s="2"/>
      <c r="V817" s="3"/>
      <c r="W817" s="2"/>
      <c r="X817" s="3"/>
      <c r="Y817" s="2"/>
      <c r="Z817" s="3"/>
    </row>
    <row r="818">
      <c r="A818" s="1"/>
      <c r="B818" s="1"/>
      <c r="C818" s="2"/>
      <c r="D818" s="3"/>
      <c r="E818" s="2"/>
      <c r="F818" s="3"/>
      <c r="G818" s="2"/>
      <c r="H818" s="3"/>
      <c r="I818" s="2"/>
      <c r="J818" s="3"/>
      <c r="K818" s="2"/>
      <c r="L818" s="3"/>
      <c r="M818" s="2"/>
      <c r="N818" s="3"/>
      <c r="O818" s="2"/>
      <c r="P818" s="3"/>
      <c r="Q818" s="2"/>
      <c r="R818" s="3"/>
      <c r="S818" s="2"/>
      <c r="T818" s="3"/>
      <c r="U818" s="2"/>
      <c r="V818" s="3"/>
      <c r="W818" s="2"/>
      <c r="X818" s="3"/>
      <c r="Y818" s="2"/>
      <c r="Z818" s="3"/>
    </row>
    <row r="819">
      <c r="A819" s="1"/>
      <c r="B819" s="1"/>
      <c r="C819" s="2"/>
      <c r="D819" s="3"/>
      <c r="E819" s="2"/>
      <c r="F819" s="3"/>
      <c r="G819" s="2"/>
      <c r="H819" s="3"/>
      <c r="I819" s="2"/>
      <c r="J819" s="3"/>
      <c r="K819" s="2"/>
      <c r="L819" s="3"/>
      <c r="M819" s="2"/>
      <c r="N819" s="3"/>
      <c r="O819" s="2"/>
      <c r="P819" s="3"/>
      <c r="Q819" s="2"/>
      <c r="R819" s="3"/>
      <c r="S819" s="2"/>
      <c r="T819" s="3"/>
      <c r="U819" s="2"/>
      <c r="V819" s="3"/>
      <c r="W819" s="2"/>
      <c r="X819" s="3"/>
      <c r="Y819" s="2"/>
      <c r="Z819" s="3"/>
    </row>
    <row r="820">
      <c r="A820" s="1"/>
      <c r="B820" s="1"/>
      <c r="C820" s="2"/>
      <c r="D820" s="3"/>
      <c r="E820" s="2"/>
      <c r="F820" s="3"/>
      <c r="G820" s="2"/>
      <c r="H820" s="3"/>
      <c r="I820" s="2"/>
      <c r="J820" s="3"/>
      <c r="K820" s="2"/>
      <c r="L820" s="3"/>
      <c r="M820" s="2"/>
      <c r="N820" s="3"/>
      <c r="O820" s="2"/>
      <c r="P820" s="3"/>
      <c r="Q820" s="2"/>
      <c r="R820" s="3"/>
      <c r="S820" s="2"/>
      <c r="T820" s="3"/>
      <c r="U820" s="2"/>
      <c r="V820" s="3"/>
      <c r="W820" s="2"/>
      <c r="X820" s="3"/>
      <c r="Y820" s="2"/>
      <c r="Z820" s="3"/>
    </row>
    <row r="821">
      <c r="A821" s="1"/>
      <c r="B821" s="1"/>
      <c r="C821" s="2"/>
      <c r="D821" s="3"/>
      <c r="E821" s="2"/>
      <c r="F821" s="3"/>
      <c r="G821" s="2"/>
      <c r="H821" s="3"/>
      <c r="I821" s="2"/>
      <c r="J821" s="3"/>
      <c r="K821" s="2"/>
      <c r="L821" s="3"/>
      <c r="M821" s="2"/>
      <c r="N821" s="3"/>
      <c r="O821" s="2"/>
      <c r="P821" s="3"/>
      <c r="Q821" s="2"/>
      <c r="R821" s="3"/>
      <c r="S821" s="2"/>
      <c r="T821" s="3"/>
      <c r="U821" s="2"/>
      <c r="V821" s="3"/>
      <c r="W821" s="2"/>
      <c r="X821" s="3"/>
      <c r="Y821" s="2"/>
      <c r="Z821" s="3"/>
    </row>
    <row r="822">
      <c r="A822" s="1"/>
      <c r="B822" s="1"/>
      <c r="C822" s="2"/>
      <c r="D822" s="3"/>
      <c r="E822" s="2"/>
      <c r="F822" s="3"/>
      <c r="G822" s="2"/>
      <c r="H822" s="3"/>
      <c r="I822" s="2"/>
      <c r="J822" s="3"/>
      <c r="K822" s="2"/>
      <c r="L822" s="3"/>
      <c r="M822" s="2"/>
      <c r="N822" s="3"/>
      <c r="O822" s="2"/>
      <c r="P822" s="3"/>
      <c r="Q822" s="2"/>
      <c r="R822" s="3"/>
      <c r="S822" s="2"/>
      <c r="T822" s="3"/>
      <c r="U822" s="2"/>
      <c r="V822" s="3"/>
      <c r="W822" s="2"/>
      <c r="X822" s="3"/>
      <c r="Y822" s="2"/>
      <c r="Z822" s="3"/>
    </row>
    <row r="823">
      <c r="A823" s="1"/>
      <c r="B823" s="1"/>
      <c r="C823" s="2"/>
      <c r="D823" s="3"/>
      <c r="E823" s="2"/>
      <c r="F823" s="3"/>
      <c r="G823" s="2"/>
      <c r="H823" s="3"/>
      <c r="I823" s="2"/>
      <c r="J823" s="3"/>
      <c r="K823" s="2"/>
      <c r="L823" s="3"/>
      <c r="M823" s="2"/>
      <c r="N823" s="3"/>
      <c r="O823" s="2"/>
      <c r="P823" s="3"/>
      <c r="Q823" s="2"/>
      <c r="R823" s="3"/>
      <c r="S823" s="2"/>
      <c r="T823" s="3"/>
      <c r="U823" s="2"/>
      <c r="V823" s="3"/>
      <c r="W823" s="2"/>
      <c r="X823" s="3"/>
      <c r="Y823" s="2"/>
      <c r="Z823" s="3"/>
    </row>
    <row r="824">
      <c r="A824" s="1"/>
      <c r="B824" s="1"/>
      <c r="C824" s="2"/>
      <c r="D824" s="3"/>
      <c r="E824" s="2"/>
      <c r="F824" s="3"/>
      <c r="G824" s="2"/>
      <c r="H824" s="3"/>
      <c r="I824" s="2"/>
      <c r="J824" s="3"/>
      <c r="K824" s="2"/>
      <c r="L824" s="3"/>
      <c r="M824" s="2"/>
      <c r="N824" s="3"/>
      <c r="O824" s="2"/>
      <c r="P824" s="3"/>
      <c r="Q824" s="2"/>
      <c r="R824" s="3"/>
      <c r="S824" s="2"/>
      <c r="T824" s="3"/>
      <c r="U824" s="2"/>
      <c r="V824" s="3"/>
      <c r="W824" s="2"/>
      <c r="X824" s="3"/>
      <c r="Y824" s="2"/>
      <c r="Z824" s="3"/>
    </row>
    <row r="825">
      <c r="A825" s="1"/>
      <c r="B825" s="1"/>
      <c r="C825" s="2"/>
      <c r="D825" s="3"/>
      <c r="E825" s="2"/>
      <c r="F825" s="3"/>
      <c r="G825" s="2"/>
      <c r="H825" s="3"/>
      <c r="I825" s="2"/>
      <c r="J825" s="3"/>
      <c r="K825" s="2"/>
      <c r="L825" s="3"/>
      <c r="M825" s="2"/>
      <c r="N825" s="3"/>
      <c r="O825" s="2"/>
      <c r="P825" s="3"/>
      <c r="Q825" s="2"/>
      <c r="R825" s="3"/>
      <c r="S825" s="2"/>
      <c r="T825" s="3"/>
      <c r="U825" s="2"/>
      <c r="V825" s="3"/>
      <c r="W825" s="2"/>
      <c r="X825" s="3"/>
      <c r="Y825" s="2"/>
      <c r="Z825" s="3"/>
    </row>
    <row r="826">
      <c r="A826" s="1"/>
      <c r="B826" s="1"/>
      <c r="C826" s="2"/>
      <c r="D826" s="3"/>
      <c r="E826" s="2"/>
      <c r="F826" s="3"/>
      <c r="G826" s="2"/>
      <c r="H826" s="3"/>
      <c r="I826" s="2"/>
      <c r="J826" s="3"/>
      <c r="K826" s="2"/>
      <c r="L826" s="3"/>
      <c r="M826" s="2"/>
      <c r="N826" s="3"/>
      <c r="O826" s="2"/>
      <c r="P826" s="3"/>
      <c r="Q826" s="2"/>
      <c r="R826" s="3"/>
      <c r="S826" s="2"/>
      <c r="T826" s="3"/>
      <c r="U826" s="2"/>
      <c r="V826" s="3"/>
      <c r="W826" s="2"/>
      <c r="X826" s="3"/>
      <c r="Y826" s="2"/>
      <c r="Z826" s="3"/>
    </row>
    <row r="827">
      <c r="A827" s="1"/>
      <c r="B827" s="1"/>
      <c r="C827" s="2"/>
      <c r="D827" s="3"/>
      <c r="E827" s="2"/>
      <c r="F827" s="3"/>
      <c r="G827" s="2"/>
      <c r="H827" s="3"/>
      <c r="I827" s="2"/>
      <c r="J827" s="3"/>
      <c r="K827" s="2"/>
      <c r="L827" s="3"/>
      <c r="M827" s="2"/>
      <c r="N827" s="3"/>
      <c r="O827" s="2"/>
      <c r="P827" s="3"/>
      <c r="Q827" s="2"/>
      <c r="R827" s="3"/>
      <c r="S827" s="2"/>
      <c r="T827" s="3"/>
      <c r="U827" s="2"/>
      <c r="V827" s="3"/>
      <c r="W827" s="2"/>
      <c r="X827" s="3"/>
      <c r="Y827" s="2"/>
      <c r="Z827" s="3"/>
    </row>
    <row r="828">
      <c r="A828" s="1"/>
      <c r="B828" s="1"/>
      <c r="C828" s="2"/>
      <c r="D828" s="3"/>
      <c r="E828" s="2"/>
      <c r="F828" s="3"/>
      <c r="G828" s="2"/>
      <c r="H828" s="3"/>
      <c r="I828" s="2"/>
      <c r="J828" s="3"/>
      <c r="K828" s="2"/>
      <c r="L828" s="3"/>
      <c r="M828" s="2"/>
      <c r="N828" s="3"/>
      <c r="O828" s="2"/>
      <c r="P828" s="3"/>
      <c r="Q828" s="2"/>
      <c r="R828" s="3"/>
      <c r="S828" s="2"/>
      <c r="T828" s="3"/>
      <c r="U828" s="2"/>
      <c r="V828" s="3"/>
      <c r="W828" s="2"/>
      <c r="X828" s="3"/>
      <c r="Y828" s="2"/>
      <c r="Z828" s="3"/>
    </row>
    <row r="829">
      <c r="A829" s="1"/>
      <c r="B829" s="1"/>
      <c r="C829" s="2"/>
      <c r="D829" s="3"/>
      <c r="E829" s="2"/>
      <c r="F829" s="3"/>
      <c r="G829" s="2"/>
      <c r="H829" s="3"/>
      <c r="I829" s="2"/>
      <c r="J829" s="3"/>
      <c r="K829" s="2"/>
      <c r="L829" s="3"/>
      <c r="M829" s="2"/>
      <c r="N829" s="3"/>
      <c r="O829" s="2"/>
      <c r="P829" s="3"/>
      <c r="Q829" s="2"/>
      <c r="R829" s="3"/>
      <c r="S829" s="2"/>
      <c r="T829" s="3"/>
      <c r="U829" s="2"/>
      <c r="V829" s="3"/>
      <c r="W829" s="2"/>
      <c r="X829" s="3"/>
      <c r="Y829" s="2"/>
      <c r="Z829" s="3"/>
    </row>
    <row r="830">
      <c r="A830" s="1"/>
      <c r="B830" s="1"/>
      <c r="C830" s="2"/>
      <c r="D830" s="3"/>
      <c r="E830" s="2"/>
      <c r="F830" s="3"/>
      <c r="G830" s="2"/>
      <c r="H830" s="3"/>
      <c r="I830" s="2"/>
      <c r="J830" s="3"/>
      <c r="K830" s="2"/>
      <c r="L830" s="3"/>
      <c r="M830" s="2"/>
      <c r="N830" s="3"/>
      <c r="O830" s="2"/>
      <c r="P830" s="3"/>
      <c r="Q830" s="2"/>
      <c r="R830" s="3"/>
      <c r="S830" s="2"/>
      <c r="T830" s="3"/>
      <c r="U830" s="2"/>
      <c r="V830" s="3"/>
      <c r="W830" s="2"/>
      <c r="X830" s="3"/>
      <c r="Y830" s="2"/>
      <c r="Z830" s="3"/>
    </row>
    <row r="831">
      <c r="A831" s="1"/>
      <c r="B831" s="1"/>
      <c r="C831" s="2"/>
      <c r="D831" s="3"/>
      <c r="E831" s="2"/>
      <c r="F831" s="3"/>
      <c r="G831" s="2"/>
      <c r="H831" s="3"/>
      <c r="I831" s="2"/>
      <c r="J831" s="3"/>
      <c r="K831" s="2"/>
      <c r="L831" s="3"/>
      <c r="M831" s="2"/>
      <c r="N831" s="3"/>
      <c r="O831" s="2"/>
      <c r="P831" s="3"/>
      <c r="Q831" s="2"/>
      <c r="R831" s="3"/>
      <c r="S831" s="2"/>
      <c r="T831" s="3"/>
      <c r="U831" s="2"/>
      <c r="V831" s="3"/>
      <c r="W831" s="2"/>
      <c r="X831" s="3"/>
      <c r="Y831" s="2"/>
      <c r="Z831" s="3"/>
    </row>
    <row r="832">
      <c r="A832" s="1"/>
      <c r="B832" s="1"/>
      <c r="C832" s="2"/>
      <c r="D832" s="3"/>
      <c r="E832" s="2"/>
      <c r="F832" s="3"/>
      <c r="G832" s="2"/>
      <c r="H832" s="3"/>
      <c r="I832" s="2"/>
      <c r="J832" s="3"/>
      <c r="K832" s="2"/>
      <c r="L832" s="3"/>
      <c r="M832" s="2"/>
      <c r="N832" s="3"/>
      <c r="O832" s="2"/>
      <c r="P832" s="3"/>
      <c r="Q832" s="2"/>
      <c r="R832" s="3"/>
      <c r="S832" s="2"/>
      <c r="T832" s="3"/>
      <c r="U832" s="2"/>
      <c r="V832" s="3"/>
      <c r="W832" s="2"/>
      <c r="X832" s="3"/>
      <c r="Y832" s="2"/>
      <c r="Z832" s="3"/>
    </row>
    <row r="833">
      <c r="A833" s="1"/>
      <c r="B833" s="1"/>
      <c r="C833" s="2"/>
      <c r="D833" s="3"/>
      <c r="E833" s="2"/>
      <c r="F833" s="3"/>
      <c r="G833" s="2"/>
      <c r="H833" s="3"/>
      <c r="I833" s="2"/>
      <c r="J833" s="3"/>
      <c r="K833" s="2"/>
      <c r="L833" s="3"/>
      <c r="M833" s="2"/>
      <c r="N833" s="3"/>
      <c r="O833" s="2"/>
      <c r="P833" s="3"/>
      <c r="Q833" s="2"/>
      <c r="R833" s="3"/>
      <c r="S833" s="2"/>
      <c r="T833" s="3"/>
      <c r="U833" s="2"/>
      <c r="V833" s="3"/>
      <c r="W833" s="2"/>
      <c r="X833" s="3"/>
      <c r="Y833" s="2"/>
      <c r="Z833" s="3"/>
    </row>
    <row r="834">
      <c r="A834" s="1"/>
      <c r="B834" s="1"/>
      <c r="C834" s="2"/>
      <c r="D834" s="3"/>
      <c r="E834" s="2"/>
      <c r="F834" s="3"/>
      <c r="G834" s="2"/>
      <c r="H834" s="3"/>
      <c r="I834" s="2"/>
      <c r="J834" s="3"/>
      <c r="K834" s="2"/>
      <c r="L834" s="3"/>
      <c r="M834" s="2"/>
      <c r="N834" s="3"/>
      <c r="O834" s="2"/>
      <c r="P834" s="3"/>
      <c r="Q834" s="2"/>
      <c r="R834" s="3"/>
      <c r="S834" s="2"/>
      <c r="T834" s="3"/>
      <c r="U834" s="2"/>
      <c r="V834" s="3"/>
      <c r="W834" s="2"/>
      <c r="X834" s="3"/>
      <c r="Y834" s="2"/>
      <c r="Z834" s="3"/>
    </row>
    <row r="835">
      <c r="A835" s="1"/>
      <c r="B835" s="1"/>
      <c r="C835" s="2"/>
      <c r="D835" s="3"/>
      <c r="E835" s="2"/>
      <c r="F835" s="3"/>
      <c r="G835" s="2"/>
      <c r="H835" s="3"/>
      <c r="I835" s="2"/>
      <c r="J835" s="3"/>
      <c r="K835" s="2"/>
      <c r="L835" s="3"/>
      <c r="M835" s="2"/>
      <c r="N835" s="3"/>
      <c r="O835" s="2"/>
      <c r="P835" s="3"/>
      <c r="Q835" s="2"/>
      <c r="R835" s="3"/>
      <c r="S835" s="2"/>
      <c r="T835" s="3"/>
      <c r="U835" s="2"/>
      <c r="V835" s="3"/>
      <c r="W835" s="2"/>
      <c r="X835" s="3"/>
      <c r="Y835" s="2"/>
      <c r="Z835" s="3"/>
    </row>
    <row r="836">
      <c r="A836" s="1"/>
      <c r="B836" s="1"/>
      <c r="C836" s="2"/>
      <c r="D836" s="3"/>
      <c r="E836" s="2"/>
      <c r="F836" s="3"/>
      <c r="G836" s="2"/>
      <c r="H836" s="3"/>
      <c r="I836" s="2"/>
      <c r="J836" s="3"/>
      <c r="K836" s="2"/>
      <c r="L836" s="3"/>
      <c r="M836" s="2"/>
      <c r="N836" s="3"/>
      <c r="O836" s="2"/>
      <c r="P836" s="3"/>
      <c r="Q836" s="2"/>
      <c r="R836" s="3"/>
      <c r="S836" s="2"/>
      <c r="T836" s="3"/>
      <c r="U836" s="2"/>
      <c r="V836" s="3"/>
      <c r="W836" s="2"/>
      <c r="X836" s="3"/>
      <c r="Y836" s="2"/>
      <c r="Z836" s="3"/>
    </row>
    <row r="837">
      <c r="A837" s="1"/>
      <c r="B837" s="1"/>
      <c r="C837" s="2"/>
      <c r="D837" s="3"/>
      <c r="E837" s="2"/>
      <c r="F837" s="3"/>
      <c r="G837" s="2"/>
      <c r="H837" s="3"/>
      <c r="I837" s="2"/>
      <c r="J837" s="3"/>
      <c r="K837" s="2"/>
      <c r="L837" s="3"/>
      <c r="M837" s="2"/>
      <c r="N837" s="3"/>
      <c r="O837" s="2"/>
      <c r="P837" s="3"/>
      <c r="Q837" s="2"/>
      <c r="R837" s="3"/>
      <c r="S837" s="2"/>
      <c r="T837" s="3"/>
      <c r="U837" s="2"/>
      <c r="V837" s="3"/>
      <c r="W837" s="2"/>
      <c r="X837" s="3"/>
      <c r="Y837" s="2"/>
      <c r="Z837" s="3"/>
    </row>
    <row r="838">
      <c r="A838" s="1"/>
      <c r="B838" s="1"/>
      <c r="C838" s="2"/>
      <c r="D838" s="3"/>
      <c r="E838" s="2"/>
      <c r="F838" s="3"/>
      <c r="G838" s="2"/>
      <c r="H838" s="3"/>
      <c r="I838" s="2"/>
      <c r="J838" s="3"/>
      <c r="K838" s="2"/>
      <c r="L838" s="3"/>
      <c r="M838" s="2"/>
      <c r="N838" s="3"/>
      <c r="O838" s="2"/>
      <c r="P838" s="3"/>
      <c r="Q838" s="2"/>
      <c r="R838" s="3"/>
      <c r="S838" s="2"/>
      <c r="T838" s="3"/>
      <c r="U838" s="2"/>
      <c r="V838" s="3"/>
      <c r="W838" s="2"/>
      <c r="X838" s="3"/>
      <c r="Y838" s="2"/>
      <c r="Z838" s="3"/>
    </row>
    <row r="839">
      <c r="A839" s="1"/>
      <c r="B839" s="1"/>
      <c r="C839" s="2"/>
      <c r="D839" s="3"/>
      <c r="E839" s="2"/>
      <c r="F839" s="3"/>
      <c r="G839" s="2"/>
      <c r="H839" s="3"/>
      <c r="I839" s="2"/>
      <c r="J839" s="3"/>
      <c r="K839" s="2"/>
      <c r="L839" s="3"/>
      <c r="M839" s="2"/>
      <c r="N839" s="3"/>
      <c r="O839" s="2"/>
      <c r="P839" s="3"/>
      <c r="Q839" s="2"/>
      <c r="R839" s="3"/>
      <c r="S839" s="2"/>
      <c r="T839" s="3"/>
      <c r="U839" s="2"/>
      <c r="V839" s="3"/>
      <c r="W839" s="2"/>
      <c r="X839" s="3"/>
      <c r="Y839" s="2"/>
      <c r="Z839" s="3"/>
    </row>
    <row r="840">
      <c r="A840" s="1"/>
      <c r="B840" s="1"/>
      <c r="C840" s="2"/>
      <c r="D840" s="3"/>
      <c r="E840" s="2"/>
      <c r="F840" s="3"/>
      <c r="G840" s="2"/>
      <c r="H840" s="3"/>
      <c r="I840" s="2"/>
      <c r="J840" s="3"/>
      <c r="K840" s="2"/>
      <c r="L840" s="3"/>
      <c r="M840" s="2"/>
      <c r="N840" s="3"/>
      <c r="O840" s="2"/>
      <c r="P840" s="3"/>
      <c r="Q840" s="2"/>
      <c r="R840" s="3"/>
      <c r="S840" s="2"/>
      <c r="T840" s="3"/>
      <c r="U840" s="2"/>
      <c r="V840" s="3"/>
      <c r="W840" s="2"/>
      <c r="X840" s="3"/>
      <c r="Y840" s="2"/>
      <c r="Z840" s="3"/>
    </row>
    <row r="841">
      <c r="A841" s="1"/>
      <c r="B841" s="1"/>
      <c r="C841" s="2"/>
      <c r="D841" s="3"/>
      <c r="E841" s="2"/>
      <c r="F841" s="3"/>
      <c r="G841" s="2"/>
      <c r="H841" s="3"/>
      <c r="I841" s="2"/>
      <c r="J841" s="3"/>
      <c r="K841" s="2"/>
      <c r="L841" s="3"/>
      <c r="M841" s="2"/>
      <c r="N841" s="3"/>
      <c r="O841" s="2"/>
      <c r="P841" s="3"/>
      <c r="Q841" s="2"/>
      <c r="R841" s="3"/>
      <c r="S841" s="2"/>
      <c r="T841" s="3"/>
      <c r="U841" s="2"/>
      <c r="V841" s="3"/>
      <c r="W841" s="2"/>
      <c r="X841" s="3"/>
      <c r="Y841" s="2"/>
      <c r="Z841" s="3"/>
    </row>
    <row r="842">
      <c r="A842" s="1"/>
      <c r="B842" s="1"/>
      <c r="C842" s="2"/>
      <c r="D842" s="3"/>
      <c r="E842" s="2"/>
      <c r="F842" s="3"/>
      <c r="G842" s="2"/>
      <c r="H842" s="3"/>
      <c r="I842" s="2"/>
      <c r="J842" s="3"/>
      <c r="K842" s="2"/>
      <c r="L842" s="3"/>
      <c r="M842" s="2"/>
      <c r="N842" s="3"/>
      <c r="O842" s="2"/>
      <c r="P842" s="3"/>
      <c r="Q842" s="2"/>
      <c r="R842" s="3"/>
      <c r="S842" s="2"/>
      <c r="T842" s="3"/>
      <c r="U842" s="2"/>
      <c r="V842" s="3"/>
      <c r="W842" s="2"/>
      <c r="X842" s="3"/>
      <c r="Y842" s="2"/>
      <c r="Z842" s="3"/>
    </row>
    <row r="843">
      <c r="A843" s="1"/>
      <c r="B843" s="1"/>
      <c r="C843" s="2"/>
      <c r="D843" s="3"/>
      <c r="E843" s="2"/>
      <c r="F843" s="3"/>
      <c r="G843" s="2"/>
      <c r="H843" s="3"/>
      <c r="I843" s="2"/>
      <c r="J843" s="3"/>
      <c r="K843" s="2"/>
      <c r="L843" s="3"/>
      <c r="M843" s="2"/>
      <c r="N843" s="3"/>
      <c r="O843" s="2"/>
      <c r="P843" s="3"/>
      <c r="Q843" s="2"/>
      <c r="R843" s="3"/>
      <c r="S843" s="2"/>
      <c r="T843" s="3"/>
      <c r="U843" s="2"/>
      <c r="V843" s="3"/>
      <c r="W843" s="2"/>
      <c r="X843" s="3"/>
      <c r="Y843" s="2"/>
      <c r="Z843" s="3"/>
    </row>
    <row r="844">
      <c r="A844" s="1"/>
      <c r="B844" s="1"/>
      <c r="C844" s="2"/>
      <c r="D844" s="3"/>
      <c r="E844" s="2"/>
      <c r="F844" s="3"/>
      <c r="G844" s="2"/>
      <c r="H844" s="3"/>
      <c r="I844" s="2"/>
      <c r="J844" s="3"/>
      <c r="K844" s="2"/>
      <c r="L844" s="3"/>
      <c r="M844" s="2"/>
      <c r="N844" s="3"/>
      <c r="O844" s="2"/>
      <c r="P844" s="3"/>
      <c r="Q844" s="2"/>
      <c r="R844" s="3"/>
      <c r="S844" s="2"/>
      <c r="T844" s="3"/>
      <c r="U844" s="2"/>
      <c r="V844" s="3"/>
      <c r="W844" s="2"/>
      <c r="X844" s="3"/>
      <c r="Y844" s="2"/>
      <c r="Z844" s="3"/>
    </row>
    <row r="845">
      <c r="A845" s="1"/>
      <c r="B845" s="1"/>
      <c r="C845" s="2"/>
      <c r="D845" s="3"/>
      <c r="E845" s="2"/>
      <c r="F845" s="3"/>
      <c r="G845" s="2"/>
      <c r="H845" s="3"/>
      <c r="I845" s="2"/>
      <c r="J845" s="3"/>
      <c r="K845" s="2"/>
      <c r="L845" s="3"/>
      <c r="M845" s="2"/>
      <c r="N845" s="3"/>
      <c r="O845" s="2"/>
      <c r="P845" s="3"/>
      <c r="Q845" s="2"/>
      <c r="R845" s="3"/>
      <c r="S845" s="2"/>
      <c r="T845" s="3"/>
      <c r="U845" s="2"/>
      <c r="V845" s="3"/>
      <c r="W845" s="2"/>
      <c r="X845" s="3"/>
      <c r="Y845" s="2"/>
      <c r="Z845" s="3"/>
    </row>
    <row r="846">
      <c r="A846" s="1"/>
      <c r="B846" s="1"/>
      <c r="C846" s="2"/>
      <c r="D846" s="3"/>
      <c r="E846" s="2"/>
      <c r="F846" s="3"/>
      <c r="G846" s="2"/>
      <c r="H846" s="3"/>
      <c r="I846" s="2"/>
      <c r="J846" s="3"/>
      <c r="K846" s="2"/>
      <c r="L846" s="3"/>
      <c r="M846" s="2"/>
      <c r="N846" s="3"/>
      <c r="O846" s="2"/>
      <c r="P846" s="3"/>
      <c r="Q846" s="2"/>
      <c r="R846" s="3"/>
      <c r="S846" s="2"/>
      <c r="T846" s="3"/>
      <c r="U846" s="2"/>
      <c r="V846" s="3"/>
      <c r="W846" s="2"/>
      <c r="X846" s="3"/>
      <c r="Y846" s="2"/>
      <c r="Z846" s="3"/>
    </row>
    <row r="847">
      <c r="A847" s="1"/>
      <c r="B847" s="1"/>
      <c r="C847" s="2"/>
      <c r="D847" s="3"/>
      <c r="E847" s="2"/>
      <c r="F847" s="3"/>
      <c r="G847" s="2"/>
      <c r="H847" s="3"/>
      <c r="I847" s="2"/>
      <c r="J847" s="3"/>
      <c r="K847" s="2"/>
      <c r="L847" s="3"/>
      <c r="M847" s="2"/>
      <c r="N847" s="3"/>
      <c r="O847" s="2"/>
      <c r="P847" s="3"/>
      <c r="Q847" s="2"/>
      <c r="R847" s="3"/>
      <c r="S847" s="2"/>
      <c r="T847" s="3"/>
      <c r="U847" s="2"/>
      <c r="V847" s="3"/>
      <c r="W847" s="2"/>
      <c r="X847" s="3"/>
      <c r="Y847" s="2"/>
      <c r="Z847" s="3"/>
    </row>
    <row r="848">
      <c r="A848" s="1"/>
      <c r="B848" s="1"/>
      <c r="C848" s="2"/>
      <c r="D848" s="3"/>
      <c r="E848" s="2"/>
      <c r="F848" s="3"/>
      <c r="G848" s="2"/>
      <c r="H848" s="3"/>
      <c r="I848" s="2"/>
      <c r="J848" s="3"/>
      <c r="K848" s="2"/>
      <c r="L848" s="3"/>
      <c r="M848" s="2"/>
      <c r="N848" s="3"/>
      <c r="O848" s="2"/>
      <c r="P848" s="3"/>
      <c r="Q848" s="2"/>
      <c r="R848" s="3"/>
      <c r="S848" s="2"/>
      <c r="T848" s="3"/>
      <c r="U848" s="2"/>
      <c r="V848" s="3"/>
      <c r="W848" s="2"/>
      <c r="X848" s="3"/>
      <c r="Y848" s="2"/>
      <c r="Z848" s="3"/>
    </row>
    <row r="849">
      <c r="A849" s="1"/>
      <c r="B849" s="1"/>
      <c r="C849" s="2"/>
      <c r="D849" s="3"/>
      <c r="E849" s="2"/>
      <c r="F849" s="3"/>
      <c r="G849" s="2"/>
      <c r="H849" s="3"/>
      <c r="I849" s="2"/>
      <c r="J849" s="3"/>
      <c r="K849" s="2"/>
      <c r="L849" s="3"/>
      <c r="M849" s="2"/>
      <c r="N849" s="3"/>
      <c r="O849" s="2"/>
      <c r="P849" s="3"/>
      <c r="Q849" s="2"/>
      <c r="R849" s="3"/>
      <c r="S849" s="2"/>
      <c r="T849" s="3"/>
      <c r="U849" s="2"/>
      <c r="V849" s="3"/>
      <c r="W849" s="2"/>
      <c r="X849" s="3"/>
      <c r="Y849" s="2"/>
      <c r="Z849" s="3"/>
    </row>
    <row r="850">
      <c r="A850" s="1"/>
      <c r="B850" s="1"/>
      <c r="C850" s="2"/>
      <c r="D850" s="3"/>
      <c r="E850" s="2"/>
      <c r="F850" s="3"/>
      <c r="G850" s="2"/>
      <c r="H850" s="3"/>
      <c r="I850" s="2"/>
      <c r="J850" s="3"/>
      <c r="K850" s="2"/>
      <c r="L850" s="3"/>
      <c r="M850" s="2"/>
      <c r="N850" s="3"/>
      <c r="O850" s="2"/>
      <c r="P850" s="3"/>
      <c r="Q850" s="2"/>
      <c r="R850" s="3"/>
      <c r="S850" s="2"/>
      <c r="T850" s="3"/>
      <c r="U850" s="2"/>
      <c r="V850" s="3"/>
      <c r="W850" s="2"/>
      <c r="X850" s="3"/>
      <c r="Y850" s="2"/>
      <c r="Z850" s="3"/>
    </row>
    <row r="851">
      <c r="A851" s="1"/>
      <c r="B851" s="1"/>
      <c r="C851" s="2"/>
      <c r="D851" s="3"/>
      <c r="E851" s="2"/>
      <c r="F851" s="3"/>
      <c r="G851" s="2"/>
      <c r="H851" s="3"/>
      <c r="I851" s="2"/>
      <c r="J851" s="3"/>
      <c r="K851" s="2"/>
      <c r="L851" s="3"/>
      <c r="M851" s="2"/>
      <c r="N851" s="3"/>
      <c r="O851" s="2"/>
      <c r="P851" s="3"/>
      <c r="Q851" s="2"/>
      <c r="R851" s="3"/>
      <c r="S851" s="2"/>
      <c r="T851" s="3"/>
      <c r="U851" s="2"/>
      <c r="V851" s="3"/>
      <c r="W851" s="2"/>
      <c r="X851" s="3"/>
      <c r="Y851" s="2"/>
      <c r="Z851" s="3"/>
    </row>
    <row r="852">
      <c r="A852" s="1"/>
      <c r="B852" s="1"/>
      <c r="C852" s="2"/>
      <c r="D852" s="3"/>
      <c r="E852" s="2"/>
      <c r="F852" s="3"/>
      <c r="G852" s="2"/>
      <c r="H852" s="3"/>
      <c r="I852" s="2"/>
      <c r="J852" s="3"/>
      <c r="K852" s="2"/>
      <c r="L852" s="3"/>
      <c r="M852" s="2"/>
      <c r="N852" s="3"/>
      <c r="O852" s="2"/>
      <c r="P852" s="3"/>
      <c r="Q852" s="2"/>
      <c r="R852" s="3"/>
      <c r="S852" s="2"/>
      <c r="T852" s="3"/>
      <c r="U852" s="2"/>
      <c r="V852" s="3"/>
      <c r="W852" s="2"/>
      <c r="X852" s="3"/>
      <c r="Y852" s="2"/>
      <c r="Z852" s="3"/>
    </row>
    <row r="853">
      <c r="A853" s="1"/>
      <c r="B853" s="1"/>
      <c r="C853" s="2"/>
      <c r="D853" s="3"/>
      <c r="E853" s="2"/>
      <c r="F853" s="3"/>
      <c r="G853" s="2"/>
      <c r="H853" s="3"/>
      <c r="I853" s="2"/>
      <c r="J853" s="3"/>
      <c r="K853" s="2"/>
      <c r="L853" s="3"/>
      <c r="M853" s="2"/>
      <c r="N853" s="3"/>
      <c r="O853" s="2"/>
      <c r="P853" s="3"/>
      <c r="Q853" s="2"/>
      <c r="R853" s="3"/>
      <c r="S853" s="2"/>
      <c r="T853" s="3"/>
      <c r="U853" s="2"/>
      <c r="V853" s="3"/>
      <c r="W853" s="2"/>
      <c r="X853" s="3"/>
      <c r="Y853" s="2"/>
      <c r="Z853" s="3"/>
    </row>
    <row r="854">
      <c r="A854" s="1"/>
      <c r="B854" s="1"/>
      <c r="C854" s="2"/>
      <c r="D854" s="3"/>
      <c r="E854" s="2"/>
      <c r="F854" s="3"/>
      <c r="G854" s="2"/>
      <c r="H854" s="3"/>
      <c r="I854" s="2"/>
      <c r="J854" s="3"/>
      <c r="K854" s="2"/>
      <c r="L854" s="3"/>
      <c r="M854" s="2"/>
      <c r="N854" s="3"/>
      <c r="O854" s="2"/>
      <c r="P854" s="3"/>
      <c r="Q854" s="2"/>
      <c r="R854" s="3"/>
      <c r="S854" s="2"/>
      <c r="T854" s="3"/>
      <c r="U854" s="2"/>
      <c r="V854" s="3"/>
      <c r="W854" s="2"/>
      <c r="X854" s="3"/>
      <c r="Y854" s="2"/>
      <c r="Z854" s="3"/>
    </row>
    <row r="855">
      <c r="A855" s="1"/>
      <c r="B855" s="1"/>
      <c r="C855" s="2"/>
      <c r="D855" s="3"/>
      <c r="E855" s="2"/>
      <c r="F855" s="3"/>
      <c r="G855" s="2"/>
      <c r="H855" s="3"/>
      <c r="I855" s="2"/>
      <c r="J855" s="3"/>
      <c r="K855" s="2"/>
      <c r="L855" s="3"/>
      <c r="M855" s="2"/>
      <c r="N855" s="3"/>
      <c r="O855" s="2"/>
      <c r="P855" s="3"/>
      <c r="Q855" s="2"/>
      <c r="R855" s="3"/>
      <c r="S855" s="2"/>
      <c r="T855" s="3"/>
      <c r="U855" s="2"/>
      <c r="V855" s="3"/>
      <c r="W855" s="2"/>
      <c r="X855" s="3"/>
      <c r="Y855" s="2"/>
      <c r="Z855" s="3"/>
    </row>
    <row r="856">
      <c r="A856" s="1"/>
      <c r="B856" s="1"/>
      <c r="C856" s="2"/>
      <c r="D856" s="3"/>
      <c r="E856" s="2"/>
      <c r="F856" s="3"/>
      <c r="G856" s="2"/>
      <c r="H856" s="3"/>
      <c r="I856" s="2"/>
      <c r="J856" s="3"/>
      <c r="K856" s="2"/>
      <c r="L856" s="3"/>
      <c r="M856" s="2"/>
      <c r="N856" s="3"/>
      <c r="O856" s="2"/>
      <c r="P856" s="3"/>
      <c r="Q856" s="2"/>
      <c r="R856" s="3"/>
      <c r="S856" s="2"/>
      <c r="T856" s="3"/>
      <c r="U856" s="2"/>
      <c r="V856" s="3"/>
      <c r="W856" s="2"/>
      <c r="X856" s="3"/>
      <c r="Y856" s="2"/>
      <c r="Z856" s="3"/>
    </row>
    <row r="857">
      <c r="A857" s="1"/>
      <c r="B857" s="1"/>
      <c r="C857" s="2"/>
      <c r="D857" s="3"/>
      <c r="E857" s="2"/>
      <c r="F857" s="3"/>
      <c r="G857" s="2"/>
      <c r="H857" s="3"/>
      <c r="I857" s="2"/>
      <c r="J857" s="3"/>
      <c r="K857" s="2"/>
      <c r="L857" s="3"/>
      <c r="M857" s="2"/>
      <c r="N857" s="3"/>
      <c r="O857" s="2"/>
      <c r="P857" s="3"/>
      <c r="Q857" s="2"/>
      <c r="R857" s="3"/>
      <c r="S857" s="2"/>
      <c r="T857" s="3"/>
      <c r="U857" s="2"/>
      <c r="V857" s="3"/>
      <c r="W857" s="2"/>
      <c r="X857" s="3"/>
      <c r="Y857" s="2"/>
      <c r="Z857" s="3"/>
    </row>
    <row r="858">
      <c r="A858" s="1"/>
      <c r="B858" s="1"/>
      <c r="C858" s="2"/>
      <c r="D858" s="3"/>
      <c r="E858" s="2"/>
      <c r="F858" s="3"/>
      <c r="G858" s="2"/>
      <c r="H858" s="3"/>
      <c r="I858" s="2"/>
      <c r="J858" s="3"/>
      <c r="K858" s="2"/>
      <c r="L858" s="3"/>
      <c r="M858" s="2"/>
      <c r="N858" s="3"/>
      <c r="O858" s="2"/>
      <c r="P858" s="3"/>
      <c r="Q858" s="2"/>
      <c r="R858" s="3"/>
      <c r="S858" s="2"/>
      <c r="T858" s="3"/>
      <c r="U858" s="2"/>
      <c r="V858" s="3"/>
      <c r="W858" s="2"/>
      <c r="X858" s="3"/>
      <c r="Y858" s="2"/>
      <c r="Z858" s="3"/>
    </row>
    <row r="859">
      <c r="A859" s="1"/>
      <c r="B859" s="1"/>
      <c r="C859" s="2"/>
      <c r="D859" s="3"/>
      <c r="E859" s="2"/>
      <c r="F859" s="3"/>
      <c r="G859" s="2"/>
      <c r="H859" s="3"/>
      <c r="I859" s="2"/>
      <c r="J859" s="3"/>
      <c r="K859" s="2"/>
      <c r="L859" s="3"/>
      <c r="M859" s="2"/>
      <c r="N859" s="3"/>
      <c r="O859" s="2"/>
      <c r="P859" s="3"/>
      <c r="Q859" s="2"/>
      <c r="R859" s="3"/>
      <c r="S859" s="2"/>
      <c r="T859" s="3"/>
      <c r="U859" s="2"/>
      <c r="V859" s="3"/>
      <c r="W859" s="2"/>
      <c r="X859" s="3"/>
      <c r="Y859" s="2"/>
      <c r="Z859" s="3"/>
    </row>
    <row r="860">
      <c r="A860" s="1"/>
      <c r="B860" s="1"/>
      <c r="C860" s="2"/>
      <c r="D860" s="3"/>
      <c r="E860" s="2"/>
      <c r="F860" s="3"/>
      <c r="G860" s="2"/>
      <c r="H860" s="3"/>
      <c r="I860" s="2"/>
      <c r="J860" s="3"/>
      <c r="K860" s="2"/>
      <c r="L860" s="3"/>
      <c r="M860" s="2"/>
      <c r="N860" s="3"/>
      <c r="O860" s="2"/>
      <c r="P860" s="3"/>
      <c r="Q860" s="2"/>
      <c r="R860" s="3"/>
      <c r="S860" s="2"/>
      <c r="T860" s="3"/>
      <c r="U860" s="2"/>
      <c r="V860" s="3"/>
      <c r="W860" s="2"/>
      <c r="X860" s="3"/>
      <c r="Y860" s="2"/>
      <c r="Z860" s="3"/>
    </row>
    <row r="861">
      <c r="A861" s="1"/>
      <c r="B861" s="1"/>
      <c r="C861" s="2"/>
      <c r="D861" s="3"/>
      <c r="E861" s="2"/>
      <c r="F861" s="3"/>
      <c r="G861" s="2"/>
      <c r="H861" s="3"/>
      <c r="I861" s="2"/>
      <c r="J861" s="3"/>
      <c r="K861" s="2"/>
      <c r="L861" s="3"/>
      <c r="M861" s="2"/>
      <c r="N861" s="3"/>
      <c r="O861" s="2"/>
      <c r="P861" s="3"/>
      <c r="Q861" s="2"/>
      <c r="R861" s="3"/>
      <c r="S861" s="2"/>
      <c r="T861" s="3"/>
      <c r="U861" s="2"/>
      <c r="V861" s="3"/>
      <c r="W861" s="2"/>
      <c r="X861" s="3"/>
      <c r="Y861" s="2"/>
      <c r="Z861" s="3"/>
    </row>
    <row r="862">
      <c r="A862" s="1"/>
      <c r="B862" s="1"/>
      <c r="C862" s="2"/>
      <c r="D862" s="3"/>
      <c r="E862" s="2"/>
      <c r="F862" s="3"/>
      <c r="G862" s="2"/>
      <c r="H862" s="3"/>
      <c r="I862" s="2"/>
      <c r="J862" s="3"/>
      <c r="K862" s="2"/>
      <c r="L862" s="3"/>
      <c r="M862" s="2"/>
      <c r="N862" s="3"/>
      <c r="O862" s="2"/>
      <c r="P862" s="3"/>
      <c r="Q862" s="2"/>
      <c r="R862" s="3"/>
      <c r="S862" s="2"/>
      <c r="T862" s="3"/>
      <c r="U862" s="2"/>
      <c r="V862" s="3"/>
      <c r="W862" s="2"/>
      <c r="X862" s="3"/>
      <c r="Y862" s="2"/>
      <c r="Z862" s="3"/>
    </row>
    <row r="863">
      <c r="A863" s="1"/>
      <c r="B863" s="1"/>
      <c r="C863" s="2"/>
      <c r="D863" s="3"/>
      <c r="E863" s="2"/>
      <c r="F863" s="3"/>
      <c r="G863" s="2"/>
      <c r="H863" s="3"/>
      <c r="I863" s="2"/>
      <c r="J863" s="3"/>
      <c r="K863" s="2"/>
      <c r="L863" s="3"/>
      <c r="M863" s="2"/>
      <c r="N863" s="3"/>
      <c r="O863" s="2"/>
      <c r="P863" s="3"/>
      <c r="Q863" s="2"/>
      <c r="R863" s="3"/>
      <c r="S863" s="2"/>
      <c r="T863" s="3"/>
      <c r="U863" s="2"/>
      <c r="V863" s="3"/>
      <c r="W863" s="2"/>
      <c r="X863" s="3"/>
      <c r="Y863" s="2"/>
      <c r="Z863" s="3"/>
    </row>
    <row r="864">
      <c r="A864" s="1"/>
      <c r="B864" s="1"/>
      <c r="C864" s="2"/>
      <c r="D864" s="3"/>
      <c r="E864" s="2"/>
      <c r="F864" s="3"/>
      <c r="G864" s="2"/>
      <c r="H864" s="3"/>
      <c r="I864" s="2"/>
      <c r="J864" s="3"/>
      <c r="K864" s="2"/>
      <c r="L864" s="3"/>
      <c r="M864" s="2"/>
      <c r="N864" s="3"/>
      <c r="O864" s="2"/>
      <c r="P864" s="3"/>
      <c r="Q864" s="2"/>
      <c r="R864" s="3"/>
      <c r="S864" s="2"/>
      <c r="T864" s="3"/>
      <c r="U864" s="2"/>
      <c r="V864" s="3"/>
      <c r="W864" s="2"/>
      <c r="X864" s="3"/>
      <c r="Y864" s="2"/>
      <c r="Z864" s="3"/>
    </row>
    <row r="865">
      <c r="A865" s="1"/>
      <c r="B865" s="1"/>
      <c r="C865" s="2"/>
      <c r="D865" s="3"/>
      <c r="E865" s="2"/>
      <c r="F865" s="3"/>
      <c r="G865" s="2"/>
      <c r="H865" s="3"/>
      <c r="I865" s="2"/>
      <c r="J865" s="3"/>
      <c r="K865" s="2"/>
      <c r="L865" s="3"/>
      <c r="M865" s="2"/>
      <c r="N865" s="3"/>
      <c r="O865" s="2"/>
      <c r="P865" s="3"/>
      <c r="Q865" s="2"/>
      <c r="R865" s="3"/>
      <c r="S865" s="2"/>
      <c r="T865" s="3"/>
      <c r="U865" s="2"/>
      <c r="V865" s="3"/>
      <c r="W865" s="2"/>
      <c r="X865" s="3"/>
      <c r="Y865" s="2"/>
      <c r="Z865" s="3"/>
    </row>
    <row r="866">
      <c r="A866" s="1"/>
      <c r="B866" s="1"/>
      <c r="C866" s="2"/>
      <c r="D866" s="3"/>
      <c r="E866" s="2"/>
      <c r="F866" s="3"/>
      <c r="G866" s="2"/>
      <c r="H866" s="3"/>
      <c r="I866" s="2"/>
      <c r="J866" s="3"/>
      <c r="K866" s="2"/>
      <c r="L866" s="3"/>
      <c r="M866" s="2"/>
      <c r="N866" s="3"/>
      <c r="O866" s="2"/>
      <c r="P866" s="3"/>
      <c r="Q866" s="2"/>
      <c r="R866" s="3"/>
      <c r="S866" s="2"/>
      <c r="T866" s="3"/>
      <c r="U866" s="2"/>
      <c r="V866" s="3"/>
      <c r="W866" s="2"/>
      <c r="X866" s="3"/>
      <c r="Y866" s="2"/>
      <c r="Z866" s="3"/>
    </row>
    <row r="867">
      <c r="A867" s="1"/>
      <c r="B867" s="1"/>
      <c r="C867" s="2"/>
      <c r="D867" s="3"/>
      <c r="E867" s="2"/>
      <c r="F867" s="3"/>
      <c r="G867" s="2"/>
      <c r="H867" s="3"/>
      <c r="I867" s="2"/>
      <c r="J867" s="3"/>
      <c r="K867" s="2"/>
      <c r="L867" s="3"/>
      <c r="M867" s="2"/>
      <c r="N867" s="3"/>
      <c r="O867" s="2"/>
      <c r="P867" s="3"/>
      <c r="Q867" s="2"/>
      <c r="R867" s="3"/>
      <c r="S867" s="2"/>
      <c r="T867" s="3"/>
      <c r="U867" s="2"/>
      <c r="V867" s="3"/>
      <c r="W867" s="2"/>
      <c r="X867" s="3"/>
      <c r="Y867" s="2"/>
      <c r="Z867" s="3"/>
    </row>
    <row r="868">
      <c r="A868" s="1"/>
      <c r="B868" s="1"/>
      <c r="C868" s="2"/>
      <c r="D868" s="3"/>
      <c r="E868" s="2"/>
      <c r="F868" s="3"/>
      <c r="G868" s="2"/>
      <c r="H868" s="3"/>
      <c r="I868" s="2"/>
      <c r="J868" s="3"/>
      <c r="K868" s="2"/>
      <c r="L868" s="3"/>
      <c r="M868" s="2"/>
      <c r="N868" s="3"/>
      <c r="O868" s="2"/>
      <c r="P868" s="3"/>
      <c r="Q868" s="2"/>
      <c r="R868" s="3"/>
      <c r="S868" s="2"/>
      <c r="T868" s="3"/>
      <c r="U868" s="2"/>
      <c r="V868" s="3"/>
      <c r="W868" s="2"/>
      <c r="X868" s="3"/>
      <c r="Y868" s="2"/>
      <c r="Z868" s="3"/>
    </row>
    <row r="869">
      <c r="A869" s="1"/>
      <c r="B869" s="1"/>
      <c r="C869" s="2"/>
      <c r="D869" s="3"/>
      <c r="E869" s="2"/>
      <c r="F869" s="3"/>
      <c r="G869" s="2"/>
      <c r="H869" s="3"/>
      <c r="I869" s="2"/>
      <c r="J869" s="3"/>
      <c r="K869" s="2"/>
      <c r="L869" s="3"/>
      <c r="M869" s="2"/>
      <c r="N869" s="3"/>
      <c r="O869" s="2"/>
      <c r="P869" s="3"/>
      <c r="Q869" s="2"/>
      <c r="R869" s="3"/>
      <c r="S869" s="2"/>
      <c r="T869" s="3"/>
      <c r="U869" s="2"/>
      <c r="V869" s="3"/>
      <c r="W869" s="2"/>
      <c r="X869" s="3"/>
      <c r="Y869" s="2"/>
      <c r="Z869" s="3"/>
    </row>
    <row r="870">
      <c r="A870" s="1"/>
      <c r="B870" s="1"/>
      <c r="C870" s="2"/>
      <c r="D870" s="3"/>
      <c r="E870" s="2"/>
      <c r="F870" s="3"/>
      <c r="G870" s="2"/>
      <c r="H870" s="3"/>
      <c r="I870" s="2"/>
      <c r="J870" s="3"/>
      <c r="K870" s="2"/>
      <c r="L870" s="3"/>
      <c r="M870" s="2"/>
      <c r="N870" s="3"/>
      <c r="O870" s="2"/>
      <c r="P870" s="3"/>
      <c r="Q870" s="2"/>
      <c r="R870" s="3"/>
      <c r="S870" s="2"/>
      <c r="T870" s="3"/>
      <c r="U870" s="2"/>
      <c r="V870" s="3"/>
      <c r="W870" s="2"/>
      <c r="X870" s="3"/>
      <c r="Y870" s="2"/>
      <c r="Z870" s="3"/>
    </row>
    <row r="871">
      <c r="A871" s="1"/>
      <c r="B871" s="1"/>
      <c r="C871" s="2"/>
      <c r="D871" s="3"/>
      <c r="E871" s="2"/>
      <c r="F871" s="3"/>
      <c r="G871" s="2"/>
      <c r="H871" s="3"/>
      <c r="I871" s="2"/>
      <c r="J871" s="3"/>
      <c r="K871" s="2"/>
      <c r="L871" s="3"/>
      <c r="M871" s="2"/>
      <c r="N871" s="3"/>
      <c r="O871" s="2"/>
      <c r="P871" s="3"/>
      <c r="Q871" s="2"/>
      <c r="R871" s="3"/>
      <c r="S871" s="2"/>
      <c r="T871" s="3"/>
      <c r="U871" s="2"/>
      <c r="V871" s="3"/>
      <c r="W871" s="2"/>
      <c r="X871" s="3"/>
      <c r="Y871" s="2"/>
      <c r="Z871" s="3"/>
    </row>
    <row r="872">
      <c r="A872" s="1"/>
      <c r="B872" s="1"/>
      <c r="C872" s="2"/>
      <c r="D872" s="3"/>
      <c r="E872" s="2"/>
      <c r="F872" s="3"/>
      <c r="G872" s="2"/>
      <c r="H872" s="3"/>
      <c r="I872" s="2"/>
      <c r="J872" s="3"/>
      <c r="K872" s="2"/>
      <c r="L872" s="3"/>
      <c r="M872" s="2"/>
      <c r="N872" s="3"/>
      <c r="O872" s="2"/>
      <c r="P872" s="3"/>
      <c r="Q872" s="2"/>
      <c r="R872" s="3"/>
      <c r="S872" s="2"/>
      <c r="T872" s="3"/>
      <c r="U872" s="2"/>
      <c r="V872" s="3"/>
      <c r="W872" s="2"/>
      <c r="X872" s="3"/>
      <c r="Y872" s="2"/>
      <c r="Z872" s="3"/>
    </row>
    <row r="873">
      <c r="A873" s="1"/>
      <c r="B873" s="1"/>
      <c r="C873" s="2"/>
      <c r="D873" s="3"/>
      <c r="E873" s="2"/>
      <c r="F873" s="3"/>
      <c r="G873" s="2"/>
      <c r="H873" s="3"/>
      <c r="I873" s="2"/>
      <c r="J873" s="3"/>
      <c r="K873" s="2"/>
      <c r="L873" s="3"/>
      <c r="M873" s="2"/>
      <c r="N873" s="3"/>
      <c r="O873" s="2"/>
      <c r="P873" s="3"/>
      <c r="Q873" s="2"/>
      <c r="R873" s="3"/>
      <c r="S873" s="2"/>
      <c r="T873" s="3"/>
      <c r="U873" s="2"/>
      <c r="V873" s="3"/>
      <c r="W873" s="2"/>
      <c r="X873" s="3"/>
      <c r="Y873" s="2"/>
      <c r="Z873" s="3"/>
    </row>
    <row r="874">
      <c r="A874" s="1"/>
      <c r="B874" s="1"/>
      <c r="C874" s="2"/>
      <c r="D874" s="3"/>
      <c r="E874" s="2"/>
      <c r="F874" s="3"/>
      <c r="G874" s="2"/>
      <c r="H874" s="3"/>
      <c r="I874" s="2"/>
      <c r="J874" s="3"/>
      <c r="K874" s="2"/>
      <c r="L874" s="3"/>
      <c r="M874" s="2"/>
      <c r="N874" s="3"/>
      <c r="O874" s="2"/>
      <c r="P874" s="3"/>
      <c r="Q874" s="2"/>
      <c r="R874" s="3"/>
      <c r="S874" s="2"/>
      <c r="T874" s="3"/>
      <c r="U874" s="2"/>
      <c r="V874" s="3"/>
      <c r="W874" s="2"/>
      <c r="X874" s="3"/>
      <c r="Y874" s="2"/>
      <c r="Z874" s="3"/>
    </row>
    <row r="875">
      <c r="A875" s="1"/>
      <c r="B875" s="1"/>
      <c r="C875" s="2"/>
      <c r="D875" s="3"/>
      <c r="E875" s="2"/>
      <c r="F875" s="3"/>
      <c r="G875" s="2"/>
      <c r="H875" s="3"/>
      <c r="I875" s="2"/>
      <c r="J875" s="3"/>
      <c r="K875" s="2"/>
      <c r="L875" s="3"/>
      <c r="M875" s="2"/>
      <c r="N875" s="3"/>
      <c r="O875" s="2"/>
      <c r="P875" s="3"/>
      <c r="Q875" s="2"/>
      <c r="R875" s="3"/>
      <c r="S875" s="2"/>
      <c r="T875" s="3"/>
      <c r="U875" s="2"/>
      <c r="V875" s="3"/>
      <c r="W875" s="2"/>
      <c r="X875" s="3"/>
      <c r="Y875" s="2"/>
      <c r="Z875" s="3"/>
    </row>
    <row r="876">
      <c r="A876" s="1"/>
      <c r="B876" s="1"/>
      <c r="C876" s="2"/>
      <c r="D876" s="3"/>
      <c r="E876" s="2"/>
      <c r="F876" s="3"/>
      <c r="G876" s="2"/>
      <c r="H876" s="3"/>
      <c r="I876" s="2"/>
      <c r="J876" s="3"/>
      <c r="K876" s="2"/>
      <c r="L876" s="3"/>
      <c r="M876" s="2"/>
      <c r="N876" s="3"/>
      <c r="O876" s="2"/>
      <c r="P876" s="3"/>
      <c r="Q876" s="2"/>
      <c r="R876" s="3"/>
      <c r="S876" s="2"/>
      <c r="T876" s="3"/>
      <c r="U876" s="2"/>
      <c r="V876" s="3"/>
      <c r="W876" s="2"/>
      <c r="X876" s="3"/>
      <c r="Y876" s="2"/>
      <c r="Z876" s="3"/>
    </row>
    <row r="877">
      <c r="A877" s="1"/>
      <c r="B877" s="1"/>
      <c r="C877" s="2"/>
      <c r="D877" s="3"/>
      <c r="E877" s="2"/>
      <c r="F877" s="3"/>
      <c r="G877" s="2"/>
      <c r="H877" s="3"/>
      <c r="I877" s="2"/>
      <c r="J877" s="3"/>
      <c r="K877" s="2"/>
      <c r="L877" s="3"/>
      <c r="M877" s="2"/>
      <c r="N877" s="3"/>
      <c r="O877" s="2"/>
      <c r="P877" s="3"/>
      <c r="Q877" s="2"/>
      <c r="R877" s="3"/>
      <c r="S877" s="2"/>
      <c r="T877" s="3"/>
      <c r="U877" s="2"/>
      <c r="V877" s="3"/>
      <c r="W877" s="2"/>
      <c r="X877" s="3"/>
      <c r="Y877" s="2"/>
      <c r="Z877" s="3"/>
    </row>
    <row r="878">
      <c r="A878" s="1"/>
      <c r="B878" s="1"/>
      <c r="C878" s="2"/>
      <c r="D878" s="3"/>
      <c r="E878" s="2"/>
      <c r="F878" s="3"/>
      <c r="G878" s="2"/>
      <c r="H878" s="3"/>
      <c r="I878" s="2"/>
      <c r="J878" s="3"/>
      <c r="K878" s="2"/>
      <c r="L878" s="3"/>
      <c r="M878" s="2"/>
      <c r="N878" s="3"/>
      <c r="O878" s="2"/>
      <c r="P878" s="3"/>
      <c r="Q878" s="2"/>
      <c r="R878" s="3"/>
      <c r="S878" s="2"/>
      <c r="T878" s="3"/>
      <c r="U878" s="2"/>
      <c r="V878" s="3"/>
      <c r="W878" s="2"/>
      <c r="X878" s="3"/>
      <c r="Y878" s="2"/>
      <c r="Z878" s="3"/>
    </row>
    <row r="879">
      <c r="A879" s="1"/>
      <c r="B879" s="1"/>
      <c r="C879" s="2"/>
      <c r="D879" s="3"/>
      <c r="E879" s="2"/>
      <c r="F879" s="3"/>
      <c r="G879" s="2"/>
      <c r="H879" s="3"/>
      <c r="I879" s="2"/>
      <c r="J879" s="3"/>
      <c r="K879" s="2"/>
      <c r="L879" s="3"/>
      <c r="M879" s="2"/>
      <c r="N879" s="3"/>
      <c r="O879" s="2"/>
      <c r="P879" s="3"/>
      <c r="Q879" s="2"/>
      <c r="R879" s="3"/>
      <c r="S879" s="2"/>
      <c r="T879" s="3"/>
      <c r="U879" s="2"/>
      <c r="V879" s="3"/>
      <c r="W879" s="2"/>
      <c r="X879" s="3"/>
      <c r="Y879" s="2"/>
      <c r="Z879" s="3"/>
    </row>
    <row r="880">
      <c r="A880" s="1"/>
      <c r="B880" s="1"/>
      <c r="C880" s="2"/>
      <c r="D880" s="3"/>
      <c r="E880" s="2"/>
      <c r="F880" s="3"/>
      <c r="G880" s="2"/>
      <c r="H880" s="3"/>
      <c r="I880" s="2"/>
      <c r="J880" s="3"/>
      <c r="K880" s="2"/>
      <c r="L880" s="3"/>
      <c r="M880" s="2"/>
      <c r="N880" s="3"/>
      <c r="O880" s="2"/>
      <c r="P880" s="3"/>
      <c r="Q880" s="2"/>
      <c r="R880" s="3"/>
      <c r="S880" s="2"/>
      <c r="T880" s="3"/>
      <c r="U880" s="2"/>
      <c r="V880" s="3"/>
      <c r="W880" s="2"/>
      <c r="X880" s="3"/>
      <c r="Y880" s="2"/>
      <c r="Z880" s="3"/>
    </row>
    <row r="881">
      <c r="A881" s="1"/>
      <c r="B881" s="1"/>
      <c r="C881" s="2"/>
      <c r="D881" s="3"/>
      <c r="E881" s="2"/>
      <c r="F881" s="3"/>
      <c r="G881" s="2"/>
      <c r="H881" s="3"/>
      <c r="I881" s="2"/>
      <c r="J881" s="3"/>
      <c r="K881" s="2"/>
      <c r="L881" s="3"/>
      <c r="M881" s="2"/>
      <c r="N881" s="3"/>
      <c r="O881" s="2"/>
      <c r="P881" s="3"/>
      <c r="Q881" s="2"/>
      <c r="R881" s="3"/>
      <c r="S881" s="2"/>
      <c r="T881" s="3"/>
      <c r="U881" s="2"/>
      <c r="V881" s="3"/>
      <c r="W881" s="2"/>
      <c r="X881" s="3"/>
      <c r="Y881" s="2"/>
      <c r="Z881" s="3"/>
    </row>
    <row r="882">
      <c r="A882" s="1"/>
      <c r="B882" s="1"/>
      <c r="C882" s="2"/>
      <c r="D882" s="3"/>
      <c r="E882" s="2"/>
      <c r="F882" s="3"/>
      <c r="G882" s="2"/>
      <c r="H882" s="3"/>
      <c r="I882" s="2"/>
      <c r="J882" s="3"/>
      <c r="K882" s="2"/>
      <c r="L882" s="3"/>
      <c r="M882" s="2"/>
      <c r="N882" s="3"/>
      <c r="O882" s="2"/>
      <c r="P882" s="3"/>
      <c r="Q882" s="2"/>
      <c r="R882" s="3"/>
      <c r="S882" s="2"/>
      <c r="T882" s="3"/>
      <c r="U882" s="2"/>
      <c r="V882" s="3"/>
      <c r="W882" s="2"/>
      <c r="X882" s="3"/>
      <c r="Y882" s="2"/>
      <c r="Z882" s="3"/>
    </row>
    <row r="883">
      <c r="A883" s="1"/>
      <c r="B883" s="1"/>
      <c r="C883" s="2"/>
      <c r="D883" s="3"/>
      <c r="E883" s="2"/>
      <c r="F883" s="3"/>
      <c r="G883" s="2"/>
      <c r="H883" s="3"/>
      <c r="I883" s="2"/>
      <c r="J883" s="3"/>
      <c r="K883" s="2"/>
      <c r="L883" s="3"/>
      <c r="M883" s="2"/>
      <c r="N883" s="3"/>
      <c r="O883" s="2"/>
      <c r="P883" s="3"/>
      <c r="Q883" s="2"/>
      <c r="R883" s="3"/>
      <c r="S883" s="2"/>
      <c r="T883" s="3"/>
      <c r="U883" s="2"/>
      <c r="V883" s="3"/>
      <c r="W883" s="2"/>
      <c r="X883" s="3"/>
      <c r="Y883" s="2"/>
      <c r="Z883" s="3"/>
    </row>
    <row r="884">
      <c r="A884" s="1"/>
      <c r="B884" s="1"/>
      <c r="C884" s="2"/>
      <c r="D884" s="3"/>
      <c r="E884" s="2"/>
      <c r="F884" s="3"/>
      <c r="G884" s="2"/>
      <c r="H884" s="3"/>
      <c r="I884" s="2"/>
      <c r="J884" s="3"/>
      <c r="K884" s="2"/>
      <c r="L884" s="3"/>
      <c r="M884" s="2"/>
      <c r="N884" s="3"/>
      <c r="O884" s="2"/>
      <c r="P884" s="3"/>
      <c r="Q884" s="2"/>
      <c r="R884" s="3"/>
      <c r="S884" s="2"/>
      <c r="T884" s="3"/>
      <c r="U884" s="2"/>
      <c r="V884" s="3"/>
      <c r="W884" s="2"/>
      <c r="X884" s="3"/>
      <c r="Y884" s="2"/>
      <c r="Z884" s="3"/>
    </row>
    <row r="885">
      <c r="A885" s="1"/>
      <c r="B885" s="1"/>
      <c r="C885" s="2"/>
      <c r="D885" s="3"/>
      <c r="E885" s="2"/>
      <c r="F885" s="3"/>
      <c r="G885" s="2"/>
      <c r="H885" s="3"/>
      <c r="I885" s="2"/>
      <c r="J885" s="3"/>
      <c r="K885" s="2"/>
      <c r="L885" s="3"/>
      <c r="M885" s="2"/>
      <c r="N885" s="3"/>
      <c r="O885" s="2"/>
      <c r="P885" s="3"/>
      <c r="Q885" s="2"/>
      <c r="R885" s="3"/>
      <c r="S885" s="2"/>
      <c r="T885" s="3"/>
      <c r="U885" s="2"/>
      <c r="V885" s="3"/>
      <c r="W885" s="2"/>
      <c r="X885" s="3"/>
      <c r="Y885" s="2"/>
      <c r="Z885" s="3"/>
    </row>
    <row r="886">
      <c r="A886" s="1"/>
      <c r="B886" s="1"/>
      <c r="C886" s="2"/>
      <c r="D886" s="3"/>
      <c r="E886" s="2"/>
      <c r="F886" s="3"/>
      <c r="G886" s="2"/>
      <c r="H886" s="3"/>
      <c r="I886" s="2"/>
      <c r="J886" s="3"/>
      <c r="K886" s="2"/>
      <c r="L886" s="3"/>
      <c r="M886" s="2"/>
      <c r="N886" s="3"/>
      <c r="O886" s="2"/>
      <c r="P886" s="3"/>
      <c r="Q886" s="2"/>
      <c r="R886" s="3"/>
      <c r="S886" s="2"/>
      <c r="T886" s="3"/>
      <c r="U886" s="2"/>
      <c r="V886" s="3"/>
      <c r="W886" s="2"/>
      <c r="X886" s="3"/>
      <c r="Y886" s="2"/>
      <c r="Z886" s="3"/>
    </row>
    <row r="887">
      <c r="A887" s="1"/>
      <c r="B887" s="1"/>
      <c r="C887" s="2"/>
      <c r="D887" s="3"/>
      <c r="E887" s="2"/>
      <c r="F887" s="3"/>
      <c r="G887" s="2"/>
      <c r="H887" s="3"/>
      <c r="I887" s="2"/>
      <c r="J887" s="3"/>
      <c r="K887" s="2"/>
      <c r="L887" s="3"/>
      <c r="M887" s="2"/>
      <c r="N887" s="3"/>
      <c r="O887" s="2"/>
      <c r="P887" s="3"/>
      <c r="Q887" s="2"/>
      <c r="R887" s="3"/>
      <c r="S887" s="2"/>
      <c r="T887" s="3"/>
      <c r="U887" s="2"/>
      <c r="V887" s="3"/>
      <c r="W887" s="2"/>
      <c r="X887" s="3"/>
      <c r="Y887" s="2"/>
      <c r="Z887" s="3"/>
    </row>
    <row r="888">
      <c r="A888" s="1"/>
      <c r="B888" s="1"/>
      <c r="C888" s="2"/>
      <c r="D888" s="3"/>
      <c r="E888" s="2"/>
      <c r="F888" s="3"/>
      <c r="G888" s="2"/>
      <c r="H888" s="3"/>
      <c r="I888" s="2"/>
      <c r="J888" s="3"/>
      <c r="K888" s="2"/>
      <c r="L888" s="3"/>
      <c r="M888" s="2"/>
      <c r="N888" s="3"/>
      <c r="O888" s="2"/>
      <c r="P888" s="3"/>
      <c r="Q888" s="2"/>
      <c r="R888" s="3"/>
      <c r="S888" s="2"/>
      <c r="T888" s="3"/>
      <c r="U888" s="2"/>
      <c r="V888" s="3"/>
      <c r="W888" s="2"/>
      <c r="X888" s="3"/>
      <c r="Y888" s="2"/>
      <c r="Z888" s="3"/>
    </row>
    <row r="889">
      <c r="A889" s="1"/>
      <c r="B889" s="1"/>
      <c r="C889" s="2"/>
      <c r="D889" s="3"/>
      <c r="E889" s="2"/>
      <c r="F889" s="3"/>
      <c r="G889" s="2"/>
      <c r="H889" s="3"/>
      <c r="I889" s="2"/>
      <c r="J889" s="3"/>
      <c r="K889" s="2"/>
      <c r="L889" s="3"/>
      <c r="M889" s="2"/>
      <c r="N889" s="3"/>
      <c r="O889" s="2"/>
      <c r="P889" s="3"/>
      <c r="Q889" s="2"/>
      <c r="R889" s="3"/>
      <c r="S889" s="2"/>
      <c r="T889" s="3"/>
      <c r="U889" s="2"/>
      <c r="V889" s="3"/>
      <c r="W889" s="2"/>
      <c r="X889" s="3"/>
      <c r="Y889" s="2"/>
      <c r="Z889" s="3"/>
    </row>
    <row r="890">
      <c r="A890" s="1"/>
      <c r="B890" s="1"/>
      <c r="C890" s="2"/>
      <c r="D890" s="3"/>
      <c r="E890" s="2"/>
      <c r="F890" s="3"/>
      <c r="G890" s="2"/>
      <c r="H890" s="3"/>
      <c r="I890" s="2"/>
      <c r="J890" s="3"/>
      <c r="K890" s="2"/>
      <c r="L890" s="3"/>
      <c r="M890" s="2"/>
      <c r="N890" s="3"/>
      <c r="O890" s="2"/>
      <c r="P890" s="3"/>
      <c r="Q890" s="2"/>
      <c r="R890" s="3"/>
      <c r="S890" s="2"/>
      <c r="T890" s="3"/>
      <c r="U890" s="2"/>
      <c r="V890" s="3"/>
      <c r="W890" s="2"/>
      <c r="X890" s="3"/>
      <c r="Y890" s="2"/>
      <c r="Z890" s="3"/>
    </row>
    <row r="891">
      <c r="A891" s="1"/>
      <c r="B891" s="1"/>
      <c r="C891" s="2"/>
      <c r="D891" s="3"/>
      <c r="E891" s="2"/>
      <c r="F891" s="3"/>
      <c r="G891" s="2"/>
      <c r="H891" s="3"/>
      <c r="I891" s="2"/>
      <c r="J891" s="3"/>
      <c r="K891" s="2"/>
      <c r="L891" s="3"/>
      <c r="M891" s="2"/>
      <c r="N891" s="3"/>
      <c r="O891" s="2"/>
      <c r="P891" s="3"/>
      <c r="Q891" s="2"/>
      <c r="R891" s="3"/>
      <c r="S891" s="2"/>
      <c r="T891" s="3"/>
      <c r="U891" s="2"/>
      <c r="V891" s="3"/>
      <c r="W891" s="2"/>
      <c r="X891" s="3"/>
      <c r="Y891" s="2"/>
      <c r="Z891" s="3"/>
    </row>
    <row r="892">
      <c r="A892" s="1"/>
      <c r="B892" s="1"/>
      <c r="C892" s="2"/>
      <c r="D892" s="3"/>
      <c r="E892" s="2"/>
      <c r="F892" s="3"/>
      <c r="G892" s="2"/>
      <c r="H892" s="3"/>
      <c r="I892" s="2"/>
      <c r="J892" s="3"/>
      <c r="K892" s="2"/>
      <c r="L892" s="3"/>
      <c r="M892" s="2"/>
      <c r="N892" s="3"/>
      <c r="O892" s="2"/>
      <c r="P892" s="3"/>
      <c r="Q892" s="2"/>
      <c r="R892" s="3"/>
      <c r="S892" s="2"/>
      <c r="T892" s="3"/>
      <c r="U892" s="2"/>
      <c r="V892" s="3"/>
      <c r="W892" s="2"/>
      <c r="X892" s="3"/>
      <c r="Y892" s="2"/>
      <c r="Z892" s="3"/>
    </row>
    <row r="893">
      <c r="A893" s="1"/>
      <c r="B893" s="1"/>
      <c r="C893" s="2"/>
      <c r="D893" s="3"/>
      <c r="E893" s="2"/>
      <c r="F893" s="3"/>
      <c r="G893" s="2"/>
      <c r="H893" s="3"/>
      <c r="I893" s="2"/>
      <c r="J893" s="3"/>
      <c r="K893" s="2"/>
      <c r="L893" s="3"/>
      <c r="M893" s="2"/>
      <c r="N893" s="3"/>
      <c r="O893" s="2"/>
      <c r="P893" s="3"/>
      <c r="Q893" s="2"/>
      <c r="R893" s="3"/>
      <c r="S893" s="2"/>
      <c r="T893" s="3"/>
      <c r="U893" s="2"/>
      <c r="V893" s="3"/>
      <c r="W893" s="2"/>
      <c r="X893" s="3"/>
      <c r="Y893" s="2"/>
      <c r="Z893" s="3"/>
    </row>
    <row r="894">
      <c r="A894" s="1"/>
      <c r="B894" s="1"/>
      <c r="C894" s="2"/>
      <c r="D894" s="3"/>
      <c r="E894" s="2"/>
      <c r="F894" s="3"/>
      <c r="G894" s="2"/>
      <c r="H894" s="3"/>
      <c r="I894" s="2"/>
      <c r="J894" s="3"/>
      <c r="K894" s="2"/>
      <c r="L894" s="3"/>
      <c r="M894" s="2"/>
      <c r="N894" s="3"/>
      <c r="O894" s="2"/>
      <c r="P894" s="3"/>
      <c r="Q894" s="2"/>
      <c r="R894" s="3"/>
      <c r="S894" s="2"/>
      <c r="T894" s="3"/>
      <c r="U894" s="2"/>
      <c r="V894" s="3"/>
      <c r="W894" s="2"/>
      <c r="X894" s="3"/>
      <c r="Y894" s="2"/>
      <c r="Z894" s="3"/>
    </row>
    <row r="895">
      <c r="A895" s="1"/>
      <c r="B895" s="1"/>
      <c r="C895" s="2"/>
      <c r="D895" s="3"/>
      <c r="E895" s="2"/>
      <c r="F895" s="3"/>
      <c r="G895" s="2"/>
      <c r="H895" s="3"/>
      <c r="I895" s="2"/>
      <c r="J895" s="3"/>
      <c r="K895" s="2"/>
      <c r="L895" s="3"/>
      <c r="M895" s="2"/>
      <c r="N895" s="3"/>
      <c r="O895" s="2"/>
      <c r="P895" s="3"/>
      <c r="Q895" s="2"/>
      <c r="R895" s="3"/>
      <c r="S895" s="2"/>
      <c r="T895" s="3"/>
      <c r="U895" s="2"/>
      <c r="V895" s="3"/>
      <c r="W895" s="2"/>
      <c r="X895" s="3"/>
      <c r="Y895" s="2"/>
      <c r="Z895" s="3"/>
    </row>
    <row r="896">
      <c r="A896" s="1"/>
      <c r="B896" s="1"/>
      <c r="C896" s="2"/>
      <c r="D896" s="3"/>
      <c r="E896" s="2"/>
      <c r="F896" s="3"/>
      <c r="G896" s="2"/>
      <c r="H896" s="3"/>
      <c r="I896" s="2"/>
      <c r="J896" s="3"/>
      <c r="K896" s="2"/>
      <c r="L896" s="3"/>
      <c r="M896" s="2"/>
      <c r="N896" s="3"/>
      <c r="O896" s="2"/>
      <c r="P896" s="3"/>
      <c r="Q896" s="2"/>
      <c r="R896" s="3"/>
      <c r="S896" s="2"/>
      <c r="T896" s="3"/>
      <c r="U896" s="2"/>
      <c r="V896" s="3"/>
      <c r="W896" s="2"/>
      <c r="X896" s="3"/>
      <c r="Y896" s="2"/>
      <c r="Z896" s="3"/>
    </row>
    <row r="897">
      <c r="A897" s="1"/>
      <c r="B897" s="1"/>
      <c r="C897" s="2"/>
      <c r="D897" s="3"/>
      <c r="E897" s="2"/>
      <c r="F897" s="3"/>
      <c r="G897" s="2"/>
      <c r="H897" s="3"/>
      <c r="I897" s="2"/>
      <c r="J897" s="3"/>
      <c r="K897" s="2"/>
      <c r="L897" s="3"/>
      <c r="M897" s="2"/>
      <c r="N897" s="3"/>
      <c r="O897" s="2"/>
      <c r="P897" s="3"/>
      <c r="Q897" s="2"/>
      <c r="R897" s="3"/>
      <c r="S897" s="2"/>
      <c r="T897" s="3"/>
      <c r="U897" s="2"/>
      <c r="V897" s="3"/>
      <c r="W897" s="2"/>
      <c r="X897" s="3"/>
      <c r="Y897" s="2"/>
      <c r="Z897" s="3"/>
    </row>
    <row r="898">
      <c r="A898" s="1"/>
      <c r="B898" s="1"/>
      <c r="C898" s="2"/>
      <c r="D898" s="3"/>
      <c r="E898" s="2"/>
      <c r="F898" s="3"/>
      <c r="G898" s="2"/>
      <c r="H898" s="3"/>
      <c r="I898" s="2"/>
      <c r="J898" s="3"/>
      <c r="K898" s="2"/>
      <c r="L898" s="3"/>
      <c r="M898" s="2"/>
      <c r="N898" s="3"/>
      <c r="O898" s="2"/>
      <c r="P898" s="3"/>
      <c r="Q898" s="2"/>
      <c r="R898" s="3"/>
      <c r="S898" s="2"/>
      <c r="T898" s="3"/>
      <c r="U898" s="2"/>
      <c r="V898" s="3"/>
      <c r="W898" s="2"/>
      <c r="X898" s="3"/>
      <c r="Y898" s="2"/>
      <c r="Z898" s="3"/>
    </row>
    <row r="899">
      <c r="A899" s="1"/>
      <c r="B899" s="1"/>
      <c r="C899" s="2"/>
      <c r="D899" s="3"/>
      <c r="E899" s="2"/>
      <c r="F899" s="3"/>
      <c r="G899" s="2"/>
      <c r="H899" s="3"/>
      <c r="I899" s="2"/>
      <c r="J899" s="3"/>
      <c r="K899" s="2"/>
      <c r="L899" s="3"/>
      <c r="M899" s="2"/>
      <c r="N899" s="3"/>
      <c r="O899" s="2"/>
      <c r="P899" s="3"/>
      <c r="Q899" s="2"/>
      <c r="R899" s="3"/>
      <c r="S899" s="2"/>
      <c r="T899" s="3"/>
      <c r="U899" s="2"/>
      <c r="V899" s="3"/>
      <c r="W899" s="2"/>
      <c r="X899" s="3"/>
      <c r="Y899" s="2"/>
      <c r="Z899" s="3"/>
    </row>
    <row r="900">
      <c r="A900" s="1"/>
      <c r="B900" s="1"/>
      <c r="C900" s="2"/>
      <c r="D900" s="3"/>
      <c r="E900" s="2"/>
      <c r="F900" s="3"/>
      <c r="G900" s="2"/>
      <c r="H900" s="3"/>
      <c r="I900" s="2"/>
      <c r="J900" s="3"/>
      <c r="K900" s="2"/>
      <c r="L900" s="3"/>
      <c r="M900" s="2"/>
      <c r="N900" s="3"/>
      <c r="O900" s="2"/>
      <c r="P900" s="3"/>
      <c r="Q900" s="2"/>
      <c r="R900" s="3"/>
      <c r="S900" s="2"/>
      <c r="T900" s="3"/>
      <c r="U900" s="2"/>
      <c r="V900" s="3"/>
      <c r="W900" s="2"/>
      <c r="X900" s="3"/>
      <c r="Y900" s="2"/>
      <c r="Z900" s="3"/>
    </row>
    <row r="901">
      <c r="A901" s="1"/>
      <c r="B901" s="1"/>
      <c r="C901" s="2"/>
      <c r="D901" s="3"/>
      <c r="E901" s="2"/>
      <c r="F901" s="3"/>
      <c r="G901" s="2"/>
      <c r="H901" s="3"/>
      <c r="I901" s="2"/>
      <c r="J901" s="3"/>
      <c r="K901" s="2"/>
      <c r="L901" s="3"/>
      <c r="M901" s="2"/>
      <c r="N901" s="3"/>
      <c r="O901" s="2"/>
      <c r="P901" s="3"/>
      <c r="Q901" s="2"/>
      <c r="R901" s="3"/>
      <c r="S901" s="2"/>
      <c r="T901" s="3"/>
      <c r="U901" s="2"/>
      <c r="V901" s="3"/>
      <c r="W901" s="2"/>
      <c r="X901" s="3"/>
      <c r="Y901" s="2"/>
      <c r="Z901" s="3"/>
    </row>
    <row r="902">
      <c r="A902" s="1"/>
      <c r="B902" s="1"/>
      <c r="C902" s="2"/>
      <c r="D902" s="3"/>
      <c r="E902" s="2"/>
      <c r="F902" s="3"/>
      <c r="G902" s="2"/>
      <c r="H902" s="3"/>
      <c r="I902" s="2"/>
      <c r="J902" s="3"/>
      <c r="K902" s="2"/>
      <c r="L902" s="3"/>
      <c r="M902" s="2"/>
      <c r="N902" s="3"/>
      <c r="O902" s="2"/>
      <c r="P902" s="3"/>
      <c r="Q902" s="2"/>
      <c r="R902" s="3"/>
      <c r="S902" s="2"/>
      <c r="T902" s="3"/>
      <c r="U902" s="2"/>
      <c r="V902" s="3"/>
      <c r="W902" s="2"/>
      <c r="X902" s="3"/>
      <c r="Y902" s="2"/>
      <c r="Z902" s="3"/>
    </row>
    <row r="903">
      <c r="A903" s="1"/>
      <c r="B903" s="1"/>
      <c r="C903" s="2"/>
      <c r="D903" s="3"/>
      <c r="E903" s="2"/>
      <c r="F903" s="3"/>
      <c r="G903" s="2"/>
      <c r="H903" s="3"/>
      <c r="I903" s="2"/>
      <c r="J903" s="3"/>
      <c r="K903" s="2"/>
      <c r="L903" s="3"/>
      <c r="M903" s="2"/>
      <c r="N903" s="3"/>
      <c r="O903" s="2"/>
      <c r="P903" s="3"/>
      <c r="Q903" s="2"/>
      <c r="R903" s="3"/>
      <c r="S903" s="2"/>
      <c r="T903" s="3"/>
      <c r="U903" s="2"/>
      <c r="V903" s="3"/>
      <c r="W903" s="2"/>
      <c r="X903" s="3"/>
      <c r="Y903" s="2"/>
      <c r="Z903" s="3"/>
    </row>
    <row r="904">
      <c r="A904" s="1"/>
      <c r="B904" s="1"/>
      <c r="C904" s="2"/>
      <c r="D904" s="3"/>
      <c r="E904" s="2"/>
      <c r="F904" s="3"/>
      <c r="G904" s="2"/>
      <c r="H904" s="3"/>
      <c r="I904" s="2"/>
      <c r="J904" s="3"/>
      <c r="K904" s="2"/>
      <c r="L904" s="3"/>
      <c r="M904" s="2"/>
      <c r="N904" s="3"/>
      <c r="O904" s="2"/>
      <c r="P904" s="3"/>
      <c r="Q904" s="2"/>
      <c r="R904" s="3"/>
      <c r="S904" s="2"/>
      <c r="T904" s="3"/>
      <c r="U904" s="2"/>
      <c r="V904" s="3"/>
      <c r="W904" s="2"/>
      <c r="X904" s="3"/>
      <c r="Y904" s="2"/>
      <c r="Z904" s="3"/>
    </row>
    <row r="905">
      <c r="A905" s="1"/>
      <c r="B905" s="1"/>
      <c r="C905" s="2"/>
      <c r="D905" s="3"/>
      <c r="E905" s="2"/>
      <c r="F905" s="3"/>
      <c r="G905" s="2"/>
      <c r="H905" s="3"/>
      <c r="I905" s="2"/>
      <c r="J905" s="3"/>
      <c r="K905" s="2"/>
      <c r="L905" s="3"/>
      <c r="M905" s="2"/>
      <c r="N905" s="3"/>
      <c r="O905" s="2"/>
      <c r="P905" s="3"/>
      <c r="Q905" s="2"/>
      <c r="R905" s="3"/>
      <c r="S905" s="2"/>
      <c r="T905" s="3"/>
      <c r="U905" s="2"/>
      <c r="V905" s="3"/>
      <c r="W905" s="2"/>
      <c r="X905" s="3"/>
      <c r="Y905" s="2"/>
      <c r="Z905" s="3"/>
    </row>
    <row r="906">
      <c r="A906" s="1"/>
      <c r="B906" s="1"/>
      <c r="C906" s="2"/>
      <c r="D906" s="3"/>
      <c r="E906" s="2"/>
      <c r="F906" s="3"/>
      <c r="G906" s="2"/>
      <c r="H906" s="3"/>
      <c r="I906" s="2"/>
      <c r="J906" s="3"/>
      <c r="K906" s="2"/>
      <c r="L906" s="3"/>
      <c r="M906" s="2"/>
      <c r="N906" s="3"/>
      <c r="O906" s="2"/>
      <c r="P906" s="3"/>
      <c r="Q906" s="2"/>
      <c r="R906" s="3"/>
      <c r="S906" s="2"/>
      <c r="T906" s="3"/>
      <c r="U906" s="2"/>
      <c r="V906" s="3"/>
      <c r="W906" s="2"/>
      <c r="X906" s="3"/>
      <c r="Y906" s="2"/>
      <c r="Z906" s="3"/>
    </row>
    <row r="907">
      <c r="A907" s="1"/>
      <c r="B907" s="1"/>
      <c r="C907" s="2"/>
      <c r="D907" s="3"/>
      <c r="E907" s="2"/>
      <c r="F907" s="3"/>
      <c r="G907" s="2"/>
      <c r="H907" s="3"/>
      <c r="I907" s="2"/>
      <c r="J907" s="3"/>
      <c r="K907" s="2"/>
      <c r="L907" s="3"/>
      <c r="M907" s="2"/>
      <c r="N907" s="3"/>
      <c r="O907" s="2"/>
      <c r="P907" s="3"/>
      <c r="Q907" s="2"/>
      <c r="R907" s="3"/>
      <c r="S907" s="2"/>
      <c r="T907" s="3"/>
      <c r="U907" s="2"/>
      <c r="V907" s="3"/>
      <c r="W907" s="2"/>
      <c r="X907" s="3"/>
      <c r="Y907" s="2"/>
      <c r="Z907" s="3"/>
    </row>
    <row r="908">
      <c r="A908" s="1"/>
      <c r="B908" s="1"/>
      <c r="C908" s="2"/>
      <c r="D908" s="3"/>
      <c r="E908" s="2"/>
      <c r="F908" s="3"/>
      <c r="G908" s="2"/>
      <c r="H908" s="3"/>
      <c r="I908" s="2"/>
      <c r="J908" s="3"/>
      <c r="K908" s="2"/>
      <c r="L908" s="3"/>
      <c r="M908" s="2"/>
      <c r="N908" s="3"/>
      <c r="O908" s="2"/>
      <c r="P908" s="3"/>
      <c r="Q908" s="2"/>
      <c r="R908" s="3"/>
      <c r="S908" s="2"/>
      <c r="T908" s="3"/>
      <c r="U908" s="2"/>
      <c r="V908" s="3"/>
      <c r="W908" s="2"/>
      <c r="X908" s="3"/>
      <c r="Y908" s="2"/>
      <c r="Z908" s="3"/>
    </row>
    <row r="909">
      <c r="A909" s="1"/>
      <c r="B909" s="1"/>
      <c r="C909" s="2"/>
      <c r="D909" s="3"/>
      <c r="E909" s="2"/>
      <c r="F909" s="3"/>
      <c r="G909" s="2"/>
      <c r="H909" s="3"/>
      <c r="I909" s="2"/>
      <c r="J909" s="3"/>
      <c r="K909" s="2"/>
      <c r="L909" s="3"/>
      <c r="M909" s="2"/>
      <c r="N909" s="3"/>
      <c r="O909" s="2"/>
      <c r="P909" s="3"/>
      <c r="Q909" s="2"/>
      <c r="R909" s="3"/>
      <c r="S909" s="2"/>
      <c r="T909" s="3"/>
      <c r="U909" s="2"/>
      <c r="V909" s="3"/>
      <c r="W909" s="2"/>
      <c r="X909" s="3"/>
      <c r="Y909" s="2"/>
      <c r="Z909" s="3"/>
    </row>
    <row r="910">
      <c r="A910" s="1"/>
      <c r="B910" s="1"/>
      <c r="C910" s="2"/>
      <c r="D910" s="3"/>
      <c r="E910" s="2"/>
      <c r="F910" s="3"/>
      <c r="G910" s="2"/>
      <c r="H910" s="3"/>
      <c r="I910" s="2"/>
      <c r="J910" s="3"/>
      <c r="K910" s="2"/>
      <c r="L910" s="3"/>
      <c r="M910" s="2"/>
      <c r="N910" s="3"/>
      <c r="O910" s="2"/>
      <c r="P910" s="3"/>
      <c r="Q910" s="2"/>
      <c r="R910" s="3"/>
      <c r="S910" s="2"/>
      <c r="T910" s="3"/>
      <c r="U910" s="2"/>
      <c r="V910" s="3"/>
      <c r="W910" s="2"/>
      <c r="X910" s="3"/>
      <c r="Y910" s="2"/>
      <c r="Z910" s="3"/>
    </row>
    <row r="911">
      <c r="A911" s="1"/>
      <c r="B911" s="1"/>
      <c r="C911" s="2"/>
      <c r="D911" s="3"/>
      <c r="E911" s="2"/>
      <c r="F911" s="3"/>
      <c r="G911" s="2"/>
      <c r="H911" s="3"/>
      <c r="I911" s="2"/>
      <c r="J911" s="3"/>
      <c r="K911" s="2"/>
      <c r="L911" s="3"/>
      <c r="M911" s="2"/>
      <c r="N911" s="3"/>
      <c r="O911" s="2"/>
      <c r="P911" s="3"/>
      <c r="Q911" s="2"/>
      <c r="R911" s="3"/>
      <c r="S911" s="2"/>
      <c r="T911" s="3"/>
      <c r="U911" s="2"/>
      <c r="V911" s="3"/>
      <c r="W911" s="2"/>
      <c r="X911" s="3"/>
      <c r="Y911" s="2"/>
      <c r="Z911" s="3"/>
    </row>
    <row r="912">
      <c r="A912" s="1"/>
      <c r="B912" s="1"/>
      <c r="C912" s="2"/>
      <c r="D912" s="3"/>
      <c r="E912" s="2"/>
      <c r="F912" s="3"/>
      <c r="G912" s="2"/>
      <c r="H912" s="3"/>
      <c r="I912" s="2"/>
      <c r="J912" s="3"/>
      <c r="K912" s="2"/>
      <c r="L912" s="3"/>
      <c r="M912" s="2"/>
      <c r="N912" s="3"/>
      <c r="O912" s="2"/>
      <c r="P912" s="3"/>
      <c r="Q912" s="2"/>
      <c r="R912" s="3"/>
      <c r="S912" s="2"/>
      <c r="T912" s="3"/>
      <c r="U912" s="2"/>
      <c r="V912" s="3"/>
      <c r="W912" s="2"/>
      <c r="X912" s="3"/>
      <c r="Y912" s="2"/>
      <c r="Z912" s="3"/>
    </row>
    <row r="913">
      <c r="A913" s="1"/>
      <c r="B913" s="1"/>
      <c r="C913" s="2"/>
      <c r="D913" s="3"/>
      <c r="E913" s="2"/>
      <c r="F913" s="3"/>
      <c r="G913" s="2"/>
      <c r="H913" s="3"/>
      <c r="I913" s="2"/>
      <c r="J913" s="3"/>
      <c r="K913" s="2"/>
      <c r="L913" s="3"/>
      <c r="M913" s="2"/>
      <c r="N913" s="3"/>
      <c r="O913" s="2"/>
      <c r="P913" s="3"/>
      <c r="Q913" s="2"/>
      <c r="R913" s="3"/>
      <c r="S913" s="2"/>
      <c r="T913" s="3"/>
      <c r="U913" s="2"/>
      <c r="V913" s="3"/>
      <c r="W913" s="2"/>
      <c r="X913" s="3"/>
      <c r="Y913" s="2"/>
      <c r="Z913" s="3"/>
    </row>
    <row r="914">
      <c r="A914" s="1"/>
      <c r="B914" s="1"/>
      <c r="C914" s="2"/>
      <c r="D914" s="3"/>
      <c r="E914" s="2"/>
      <c r="F914" s="3"/>
      <c r="G914" s="2"/>
      <c r="H914" s="3"/>
      <c r="I914" s="2"/>
      <c r="J914" s="3"/>
      <c r="K914" s="2"/>
      <c r="L914" s="3"/>
      <c r="M914" s="2"/>
      <c r="N914" s="3"/>
      <c r="O914" s="2"/>
      <c r="P914" s="3"/>
      <c r="Q914" s="2"/>
      <c r="R914" s="3"/>
      <c r="S914" s="2"/>
      <c r="T914" s="3"/>
      <c r="U914" s="2"/>
      <c r="V914" s="3"/>
      <c r="W914" s="2"/>
      <c r="X914" s="3"/>
      <c r="Y914" s="2"/>
      <c r="Z914" s="3"/>
    </row>
    <row r="915">
      <c r="A915" s="1"/>
      <c r="B915" s="1"/>
      <c r="C915" s="2"/>
      <c r="D915" s="3"/>
      <c r="E915" s="2"/>
      <c r="F915" s="3"/>
      <c r="G915" s="2"/>
      <c r="H915" s="3"/>
      <c r="I915" s="2"/>
      <c r="J915" s="3"/>
      <c r="K915" s="2"/>
      <c r="L915" s="3"/>
      <c r="M915" s="2"/>
      <c r="N915" s="3"/>
      <c r="O915" s="2"/>
      <c r="P915" s="3"/>
      <c r="Q915" s="2"/>
      <c r="R915" s="3"/>
      <c r="S915" s="2"/>
      <c r="T915" s="3"/>
      <c r="U915" s="2"/>
      <c r="V915" s="3"/>
      <c r="W915" s="2"/>
      <c r="X915" s="3"/>
      <c r="Y915" s="2"/>
      <c r="Z915" s="3"/>
    </row>
    <row r="916">
      <c r="A916" s="1"/>
      <c r="B916" s="1"/>
      <c r="C916" s="2"/>
      <c r="D916" s="3"/>
      <c r="E916" s="2"/>
      <c r="F916" s="3"/>
      <c r="G916" s="2"/>
      <c r="H916" s="3"/>
      <c r="I916" s="2"/>
      <c r="J916" s="3"/>
      <c r="K916" s="2"/>
      <c r="L916" s="3"/>
      <c r="M916" s="2"/>
      <c r="N916" s="3"/>
      <c r="O916" s="2"/>
      <c r="P916" s="3"/>
      <c r="Q916" s="2"/>
      <c r="R916" s="3"/>
      <c r="S916" s="2"/>
      <c r="T916" s="3"/>
      <c r="U916" s="2"/>
      <c r="V916" s="3"/>
      <c r="W916" s="2"/>
      <c r="X916" s="3"/>
      <c r="Y916" s="2"/>
      <c r="Z916" s="3"/>
    </row>
    <row r="917">
      <c r="A917" s="1"/>
      <c r="B917" s="1"/>
      <c r="C917" s="2"/>
      <c r="D917" s="3"/>
      <c r="E917" s="2"/>
      <c r="F917" s="3"/>
      <c r="G917" s="2"/>
      <c r="H917" s="3"/>
      <c r="I917" s="2"/>
      <c r="J917" s="3"/>
      <c r="K917" s="2"/>
      <c r="L917" s="3"/>
      <c r="M917" s="2"/>
      <c r="N917" s="3"/>
      <c r="O917" s="2"/>
      <c r="P917" s="3"/>
      <c r="Q917" s="2"/>
      <c r="R917" s="3"/>
      <c r="S917" s="2"/>
      <c r="T917" s="3"/>
      <c r="U917" s="2"/>
      <c r="V917" s="3"/>
      <c r="W917" s="2"/>
      <c r="X917" s="3"/>
      <c r="Y917" s="2"/>
      <c r="Z917" s="3"/>
    </row>
    <row r="918">
      <c r="A918" s="1"/>
      <c r="B918" s="1"/>
      <c r="C918" s="2"/>
      <c r="D918" s="3"/>
      <c r="E918" s="2"/>
      <c r="F918" s="3"/>
      <c r="G918" s="2"/>
      <c r="H918" s="3"/>
      <c r="I918" s="2"/>
      <c r="J918" s="3"/>
      <c r="K918" s="2"/>
      <c r="L918" s="3"/>
      <c r="M918" s="2"/>
      <c r="N918" s="3"/>
      <c r="O918" s="2"/>
      <c r="P918" s="3"/>
      <c r="Q918" s="2"/>
      <c r="R918" s="3"/>
      <c r="S918" s="2"/>
      <c r="T918" s="3"/>
      <c r="U918" s="2"/>
      <c r="V918" s="3"/>
      <c r="W918" s="2"/>
      <c r="X918" s="3"/>
      <c r="Y918" s="2"/>
      <c r="Z918" s="3"/>
    </row>
    <row r="919">
      <c r="A919" s="1"/>
      <c r="B919" s="1"/>
      <c r="C919" s="2"/>
      <c r="D919" s="3"/>
      <c r="E919" s="2"/>
      <c r="F919" s="3"/>
      <c r="G919" s="2"/>
      <c r="H919" s="3"/>
      <c r="I919" s="2"/>
      <c r="J919" s="3"/>
      <c r="K919" s="2"/>
      <c r="L919" s="3"/>
      <c r="M919" s="2"/>
      <c r="N919" s="3"/>
      <c r="O919" s="2"/>
      <c r="P919" s="3"/>
      <c r="Q919" s="2"/>
      <c r="R919" s="3"/>
      <c r="S919" s="2"/>
      <c r="T919" s="3"/>
      <c r="U919" s="2"/>
      <c r="V919" s="3"/>
      <c r="W919" s="2"/>
      <c r="X919" s="3"/>
      <c r="Y919" s="2"/>
      <c r="Z919" s="3"/>
    </row>
    <row r="920">
      <c r="A920" s="1"/>
      <c r="B920" s="1"/>
      <c r="C920" s="2"/>
      <c r="D920" s="3"/>
      <c r="E920" s="2"/>
      <c r="F920" s="3"/>
      <c r="G920" s="2"/>
      <c r="H920" s="3"/>
      <c r="I920" s="2"/>
      <c r="J920" s="3"/>
      <c r="K920" s="2"/>
      <c r="L920" s="3"/>
      <c r="M920" s="2"/>
      <c r="N920" s="3"/>
      <c r="O920" s="2"/>
      <c r="P920" s="3"/>
      <c r="Q920" s="2"/>
      <c r="R920" s="3"/>
      <c r="S920" s="2"/>
      <c r="T920" s="3"/>
      <c r="U920" s="2"/>
      <c r="V920" s="3"/>
      <c r="W920" s="2"/>
      <c r="X920" s="3"/>
      <c r="Y920" s="2"/>
      <c r="Z920" s="3"/>
    </row>
    <row r="921">
      <c r="A921" s="1"/>
      <c r="B921" s="1"/>
      <c r="C921" s="2"/>
      <c r="D921" s="3"/>
      <c r="E921" s="2"/>
      <c r="F921" s="3"/>
      <c r="G921" s="2"/>
      <c r="H921" s="3"/>
      <c r="I921" s="2"/>
      <c r="J921" s="3"/>
      <c r="K921" s="2"/>
      <c r="L921" s="3"/>
      <c r="M921" s="2"/>
      <c r="N921" s="3"/>
      <c r="O921" s="2"/>
      <c r="P921" s="3"/>
      <c r="Q921" s="2"/>
      <c r="R921" s="3"/>
      <c r="S921" s="2"/>
      <c r="T921" s="3"/>
      <c r="U921" s="2"/>
      <c r="V921" s="3"/>
      <c r="W921" s="2"/>
      <c r="X921" s="3"/>
      <c r="Y921" s="2"/>
      <c r="Z921" s="3"/>
    </row>
    <row r="922">
      <c r="A922" s="1"/>
      <c r="B922" s="1"/>
      <c r="C922" s="2"/>
      <c r="D922" s="3"/>
      <c r="E922" s="2"/>
      <c r="F922" s="3"/>
      <c r="G922" s="2"/>
      <c r="H922" s="3"/>
      <c r="I922" s="2"/>
      <c r="J922" s="3"/>
      <c r="K922" s="2"/>
      <c r="L922" s="3"/>
      <c r="M922" s="2"/>
      <c r="N922" s="3"/>
      <c r="O922" s="2"/>
      <c r="P922" s="3"/>
      <c r="Q922" s="2"/>
      <c r="R922" s="3"/>
      <c r="S922" s="2"/>
      <c r="T922" s="3"/>
      <c r="U922" s="2"/>
      <c r="V922" s="3"/>
      <c r="W922" s="2"/>
      <c r="X922" s="3"/>
      <c r="Y922" s="2"/>
      <c r="Z922" s="3"/>
    </row>
    <row r="923">
      <c r="A923" s="1"/>
      <c r="B923" s="1"/>
      <c r="C923" s="2"/>
      <c r="D923" s="3"/>
      <c r="E923" s="2"/>
      <c r="F923" s="3"/>
      <c r="G923" s="2"/>
      <c r="H923" s="3"/>
      <c r="I923" s="2"/>
      <c r="J923" s="3"/>
      <c r="K923" s="2"/>
      <c r="L923" s="3"/>
      <c r="M923" s="2"/>
      <c r="N923" s="3"/>
      <c r="O923" s="2"/>
      <c r="P923" s="3"/>
      <c r="Q923" s="2"/>
      <c r="R923" s="3"/>
      <c r="S923" s="2"/>
      <c r="T923" s="3"/>
      <c r="U923" s="2"/>
      <c r="V923" s="3"/>
      <c r="W923" s="2"/>
      <c r="X923" s="3"/>
      <c r="Y923" s="2"/>
      <c r="Z923" s="3"/>
    </row>
    <row r="924">
      <c r="A924" s="1"/>
      <c r="B924" s="1"/>
      <c r="C924" s="2"/>
      <c r="D924" s="3"/>
      <c r="E924" s="2"/>
      <c r="F924" s="3"/>
      <c r="G924" s="2"/>
      <c r="H924" s="3"/>
      <c r="I924" s="2"/>
      <c r="J924" s="3"/>
      <c r="K924" s="2"/>
      <c r="L924" s="3"/>
      <c r="M924" s="2"/>
      <c r="N924" s="3"/>
      <c r="O924" s="2"/>
      <c r="P924" s="3"/>
      <c r="Q924" s="2"/>
      <c r="R924" s="3"/>
      <c r="S924" s="2"/>
      <c r="T924" s="3"/>
      <c r="U924" s="2"/>
      <c r="V924" s="3"/>
      <c r="W924" s="2"/>
      <c r="X924" s="3"/>
      <c r="Y924" s="2"/>
      <c r="Z924" s="3"/>
    </row>
    <row r="925">
      <c r="A925" s="1"/>
      <c r="B925" s="1"/>
      <c r="C925" s="2"/>
      <c r="D925" s="3"/>
      <c r="E925" s="2"/>
      <c r="F925" s="3"/>
      <c r="G925" s="2"/>
      <c r="H925" s="3"/>
      <c r="I925" s="2"/>
      <c r="J925" s="3"/>
      <c r="K925" s="2"/>
      <c r="L925" s="3"/>
      <c r="M925" s="2"/>
      <c r="N925" s="3"/>
      <c r="O925" s="2"/>
      <c r="P925" s="3"/>
      <c r="Q925" s="2"/>
      <c r="R925" s="3"/>
      <c r="S925" s="2"/>
      <c r="T925" s="3"/>
      <c r="U925" s="2"/>
      <c r="V925" s="3"/>
      <c r="W925" s="2"/>
      <c r="X925" s="3"/>
      <c r="Y925" s="2"/>
      <c r="Z925" s="3"/>
    </row>
    <row r="926">
      <c r="A926" s="1"/>
      <c r="B926" s="1"/>
      <c r="C926" s="2"/>
      <c r="D926" s="3"/>
      <c r="E926" s="2"/>
      <c r="F926" s="3"/>
      <c r="G926" s="2"/>
      <c r="H926" s="3"/>
      <c r="I926" s="2"/>
      <c r="J926" s="3"/>
      <c r="K926" s="2"/>
      <c r="L926" s="3"/>
      <c r="M926" s="2"/>
      <c r="N926" s="3"/>
      <c r="O926" s="2"/>
      <c r="P926" s="3"/>
      <c r="Q926" s="2"/>
      <c r="R926" s="3"/>
      <c r="S926" s="2"/>
      <c r="T926" s="3"/>
      <c r="U926" s="2"/>
      <c r="V926" s="3"/>
      <c r="W926" s="2"/>
      <c r="X926" s="3"/>
      <c r="Y926" s="2"/>
      <c r="Z926" s="3"/>
    </row>
    <row r="927">
      <c r="A927" s="1"/>
      <c r="B927" s="1"/>
      <c r="C927" s="2"/>
      <c r="D927" s="3"/>
      <c r="E927" s="2"/>
      <c r="F927" s="3"/>
      <c r="G927" s="2"/>
      <c r="H927" s="3"/>
      <c r="I927" s="2"/>
      <c r="J927" s="3"/>
      <c r="K927" s="2"/>
      <c r="L927" s="3"/>
      <c r="M927" s="2"/>
      <c r="N927" s="3"/>
      <c r="O927" s="2"/>
      <c r="P927" s="3"/>
      <c r="Q927" s="2"/>
      <c r="R927" s="3"/>
      <c r="S927" s="2"/>
      <c r="T927" s="3"/>
      <c r="U927" s="2"/>
      <c r="V927" s="3"/>
      <c r="W927" s="2"/>
      <c r="X927" s="3"/>
      <c r="Y927" s="2"/>
      <c r="Z927" s="3"/>
    </row>
    <row r="928">
      <c r="A928" s="1"/>
      <c r="B928" s="1"/>
      <c r="C928" s="2"/>
      <c r="D928" s="3"/>
      <c r="E928" s="2"/>
      <c r="F928" s="3"/>
      <c r="G928" s="2"/>
      <c r="H928" s="3"/>
      <c r="I928" s="2"/>
      <c r="J928" s="3"/>
      <c r="K928" s="2"/>
      <c r="L928" s="3"/>
      <c r="M928" s="2"/>
      <c r="N928" s="3"/>
      <c r="O928" s="2"/>
      <c r="P928" s="3"/>
      <c r="Q928" s="2"/>
      <c r="R928" s="3"/>
      <c r="S928" s="2"/>
      <c r="T928" s="3"/>
      <c r="U928" s="2"/>
      <c r="V928" s="3"/>
      <c r="W928" s="2"/>
      <c r="X928" s="3"/>
      <c r="Y928" s="2"/>
      <c r="Z928" s="3"/>
    </row>
    <row r="929">
      <c r="A929" s="1"/>
      <c r="B929" s="1"/>
      <c r="C929" s="2"/>
      <c r="D929" s="3"/>
      <c r="E929" s="2"/>
      <c r="F929" s="3"/>
      <c r="G929" s="2"/>
      <c r="H929" s="3"/>
      <c r="I929" s="2"/>
      <c r="J929" s="3"/>
      <c r="K929" s="2"/>
      <c r="L929" s="3"/>
      <c r="M929" s="2"/>
      <c r="N929" s="3"/>
      <c r="O929" s="2"/>
      <c r="P929" s="3"/>
      <c r="Q929" s="2"/>
      <c r="R929" s="3"/>
      <c r="S929" s="2"/>
      <c r="T929" s="3"/>
      <c r="U929" s="2"/>
      <c r="V929" s="3"/>
      <c r="W929" s="2"/>
      <c r="X929" s="3"/>
      <c r="Y929" s="2"/>
      <c r="Z929" s="3"/>
    </row>
    <row r="930">
      <c r="A930" s="1"/>
      <c r="B930" s="1"/>
      <c r="C930" s="2"/>
      <c r="D930" s="3"/>
      <c r="E930" s="2"/>
      <c r="F930" s="3"/>
      <c r="G930" s="2"/>
      <c r="H930" s="3"/>
      <c r="I930" s="2"/>
      <c r="J930" s="3"/>
      <c r="K930" s="2"/>
      <c r="L930" s="3"/>
      <c r="M930" s="2"/>
      <c r="N930" s="3"/>
      <c r="O930" s="2"/>
      <c r="P930" s="3"/>
      <c r="Q930" s="2"/>
      <c r="R930" s="3"/>
      <c r="S930" s="2"/>
      <c r="T930" s="3"/>
      <c r="U930" s="2"/>
      <c r="V930" s="3"/>
      <c r="W930" s="2"/>
      <c r="X930" s="3"/>
      <c r="Y930" s="2"/>
      <c r="Z930" s="3"/>
    </row>
    <row r="931">
      <c r="A931" s="1"/>
      <c r="B931" s="1"/>
      <c r="C931" s="2"/>
      <c r="D931" s="3"/>
      <c r="E931" s="2"/>
      <c r="F931" s="3"/>
      <c r="G931" s="2"/>
      <c r="H931" s="3"/>
      <c r="I931" s="2"/>
      <c r="J931" s="3"/>
      <c r="K931" s="2"/>
      <c r="L931" s="3"/>
      <c r="M931" s="2"/>
      <c r="N931" s="3"/>
      <c r="O931" s="2"/>
      <c r="P931" s="3"/>
      <c r="Q931" s="2"/>
      <c r="R931" s="3"/>
      <c r="S931" s="2"/>
      <c r="T931" s="3"/>
      <c r="U931" s="2"/>
      <c r="V931" s="3"/>
      <c r="W931" s="2"/>
      <c r="X931" s="3"/>
      <c r="Y931" s="2"/>
      <c r="Z931" s="3"/>
    </row>
    <row r="932">
      <c r="A932" s="1"/>
      <c r="B932" s="1"/>
      <c r="C932" s="2"/>
      <c r="D932" s="3"/>
      <c r="E932" s="2"/>
      <c r="F932" s="3"/>
      <c r="G932" s="2"/>
      <c r="H932" s="3"/>
      <c r="I932" s="2"/>
      <c r="J932" s="3"/>
      <c r="K932" s="2"/>
      <c r="L932" s="3"/>
      <c r="M932" s="2"/>
      <c r="N932" s="3"/>
      <c r="O932" s="2"/>
      <c r="P932" s="3"/>
      <c r="Q932" s="2"/>
      <c r="R932" s="3"/>
      <c r="S932" s="2"/>
      <c r="T932" s="3"/>
      <c r="U932" s="2"/>
      <c r="V932" s="3"/>
      <c r="W932" s="2"/>
      <c r="X932" s="3"/>
      <c r="Y932" s="2"/>
      <c r="Z932" s="3"/>
    </row>
    <row r="933">
      <c r="A933" s="1"/>
      <c r="B933" s="1"/>
      <c r="C933" s="2"/>
      <c r="D933" s="3"/>
      <c r="E933" s="2"/>
      <c r="F933" s="3"/>
      <c r="G933" s="2"/>
      <c r="H933" s="3"/>
      <c r="I933" s="2"/>
      <c r="J933" s="3"/>
      <c r="K933" s="2"/>
      <c r="L933" s="3"/>
      <c r="M933" s="2"/>
      <c r="N933" s="3"/>
      <c r="O933" s="2"/>
      <c r="P933" s="3"/>
      <c r="Q933" s="2"/>
      <c r="R933" s="3"/>
      <c r="S933" s="2"/>
      <c r="T933" s="3"/>
      <c r="U933" s="2"/>
      <c r="V933" s="3"/>
      <c r="W933" s="2"/>
      <c r="X933" s="3"/>
      <c r="Y933" s="2"/>
      <c r="Z933" s="3"/>
    </row>
    <row r="934">
      <c r="A934" s="1"/>
      <c r="B934" s="1"/>
      <c r="C934" s="2"/>
      <c r="D934" s="3"/>
      <c r="E934" s="2"/>
      <c r="F934" s="3"/>
      <c r="G934" s="2"/>
      <c r="H934" s="3"/>
      <c r="I934" s="2"/>
      <c r="J934" s="3"/>
      <c r="K934" s="2"/>
      <c r="L934" s="3"/>
      <c r="M934" s="2"/>
      <c r="N934" s="3"/>
      <c r="O934" s="2"/>
      <c r="P934" s="3"/>
      <c r="Q934" s="2"/>
      <c r="R934" s="3"/>
      <c r="S934" s="2"/>
      <c r="T934" s="3"/>
      <c r="U934" s="2"/>
      <c r="V934" s="3"/>
      <c r="W934" s="2"/>
      <c r="X934" s="3"/>
      <c r="Y934" s="2"/>
      <c r="Z934" s="3"/>
    </row>
    <row r="935">
      <c r="A935" s="1"/>
      <c r="B935" s="1"/>
      <c r="C935" s="2"/>
      <c r="D935" s="3"/>
      <c r="E935" s="2"/>
      <c r="F935" s="3"/>
      <c r="G935" s="2"/>
      <c r="H935" s="3"/>
      <c r="I935" s="2"/>
      <c r="J935" s="3"/>
      <c r="K935" s="2"/>
      <c r="L935" s="3"/>
      <c r="M935" s="2"/>
      <c r="N935" s="3"/>
      <c r="O935" s="2"/>
      <c r="P935" s="3"/>
      <c r="Q935" s="2"/>
      <c r="R935" s="3"/>
      <c r="S935" s="2"/>
      <c r="T935" s="3"/>
      <c r="U935" s="2"/>
      <c r="V935" s="3"/>
      <c r="W935" s="2"/>
      <c r="X935" s="3"/>
      <c r="Y935" s="2"/>
      <c r="Z935" s="3"/>
    </row>
    <row r="936">
      <c r="A936" s="1"/>
      <c r="B936" s="1"/>
      <c r="C936" s="2"/>
      <c r="D936" s="3"/>
      <c r="E936" s="2"/>
      <c r="F936" s="3"/>
      <c r="G936" s="2"/>
      <c r="H936" s="3"/>
      <c r="I936" s="2"/>
      <c r="J936" s="3"/>
      <c r="K936" s="2"/>
      <c r="L936" s="3"/>
      <c r="M936" s="2"/>
      <c r="N936" s="3"/>
      <c r="O936" s="2"/>
      <c r="P936" s="3"/>
      <c r="Q936" s="2"/>
      <c r="R936" s="3"/>
      <c r="S936" s="2"/>
      <c r="T936" s="3"/>
      <c r="U936" s="2"/>
      <c r="V936" s="3"/>
      <c r="W936" s="2"/>
      <c r="X936" s="3"/>
      <c r="Y936" s="2"/>
      <c r="Z936" s="3"/>
    </row>
    <row r="937">
      <c r="A937" s="1"/>
      <c r="B937" s="1"/>
      <c r="C937" s="2"/>
      <c r="D937" s="3"/>
      <c r="E937" s="2"/>
      <c r="F937" s="3"/>
      <c r="G937" s="2"/>
      <c r="H937" s="3"/>
      <c r="I937" s="2"/>
      <c r="J937" s="3"/>
      <c r="K937" s="2"/>
      <c r="L937" s="3"/>
      <c r="M937" s="2"/>
      <c r="N937" s="3"/>
      <c r="O937" s="2"/>
      <c r="P937" s="3"/>
      <c r="Q937" s="2"/>
      <c r="R937" s="3"/>
      <c r="S937" s="2"/>
      <c r="T937" s="3"/>
      <c r="U937" s="2"/>
      <c r="V937" s="3"/>
      <c r="W937" s="2"/>
      <c r="X937" s="3"/>
      <c r="Y937" s="2"/>
      <c r="Z937" s="3"/>
    </row>
    <row r="938">
      <c r="A938" s="1"/>
      <c r="B938" s="1"/>
      <c r="C938" s="2"/>
      <c r="D938" s="3"/>
      <c r="E938" s="2"/>
      <c r="F938" s="3"/>
      <c r="G938" s="2"/>
      <c r="H938" s="3"/>
      <c r="I938" s="2"/>
      <c r="J938" s="3"/>
      <c r="K938" s="2"/>
      <c r="L938" s="3"/>
      <c r="M938" s="2"/>
      <c r="N938" s="3"/>
      <c r="O938" s="2"/>
      <c r="P938" s="3"/>
      <c r="Q938" s="2"/>
      <c r="R938" s="3"/>
      <c r="S938" s="2"/>
      <c r="T938" s="3"/>
      <c r="U938" s="2"/>
      <c r="V938" s="3"/>
      <c r="W938" s="2"/>
      <c r="X938" s="3"/>
      <c r="Y938" s="2"/>
      <c r="Z938" s="3"/>
    </row>
    <row r="939">
      <c r="A939" s="1"/>
      <c r="B939" s="1"/>
      <c r="C939" s="2"/>
      <c r="D939" s="3"/>
      <c r="E939" s="2"/>
      <c r="F939" s="3"/>
      <c r="G939" s="2"/>
      <c r="H939" s="3"/>
      <c r="I939" s="2"/>
      <c r="J939" s="3"/>
      <c r="K939" s="2"/>
      <c r="L939" s="3"/>
      <c r="M939" s="2"/>
      <c r="N939" s="3"/>
      <c r="O939" s="2"/>
      <c r="P939" s="3"/>
      <c r="Q939" s="2"/>
      <c r="R939" s="3"/>
      <c r="S939" s="2"/>
      <c r="T939" s="3"/>
      <c r="U939" s="2"/>
      <c r="V939" s="3"/>
      <c r="W939" s="2"/>
      <c r="X939" s="3"/>
      <c r="Y939" s="2"/>
      <c r="Z939" s="3"/>
    </row>
    <row r="940">
      <c r="A940" s="1"/>
      <c r="B940" s="1"/>
      <c r="C940" s="2"/>
      <c r="D940" s="3"/>
      <c r="E940" s="2"/>
      <c r="F940" s="3"/>
      <c r="G940" s="2"/>
      <c r="H940" s="3"/>
      <c r="I940" s="2"/>
      <c r="J940" s="3"/>
      <c r="K940" s="2"/>
      <c r="L940" s="3"/>
      <c r="M940" s="2"/>
      <c r="N940" s="3"/>
      <c r="O940" s="2"/>
      <c r="P940" s="3"/>
      <c r="Q940" s="2"/>
      <c r="R940" s="3"/>
      <c r="S940" s="2"/>
      <c r="T940" s="3"/>
      <c r="U940" s="2"/>
      <c r="V940" s="3"/>
      <c r="W940" s="2"/>
      <c r="X940" s="3"/>
      <c r="Y940" s="2"/>
      <c r="Z940" s="3"/>
    </row>
    <row r="941">
      <c r="A941" s="1"/>
      <c r="B941" s="1"/>
      <c r="C941" s="2"/>
      <c r="D941" s="3"/>
      <c r="E941" s="2"/>
      <c r="F941" s="3"/>
      <c r="G941" s="2"/>
      <c r="H941" s="3"/>
      <c r="I941" s="2"/>
      <c r="J941" s="3"/>
      <c r="K941" s="2"/>
      <c r="L941" s="3"/>
      <c r="M941" s="2"/>
      <c r="N941" s="3"/>
      <c r="O941" s="2"/>
      <c r="P941" s="3"/>
      <c r="Q941" s="2"/>
      <c r="R941" s="3"/>
      <c r="S941" s="2"/>
      <c r="T941" s="3"/>
      <c r="U941" s="2"/>
      <c r="V941" s="3"/>
      <c r="W941" s="2"/>
      <c r="X941" s="3"/>
      <c r="Y941" s="2"/>
      <c r="Z941" s="3"/>
    </row>
    <row r="942">
      <c r="A942" s="1"/>
      <c r="B942" s="1"/>
      <c r="C942" s="2"/>
      <c r="D942" s="3"/>
      <c r="E942" s="2"/>
      <c r="F942" s="3"/>
      <c r="G942" s="2"/>
      <c r="H942" s="3"/>
      <c r="I942" s="2"/>
      <c r="J942" s="3"/>
      <c r="K942" s="2"/>
      <c r="L942" s="3"/>
      <c r="M942" s="2"/>
      <c r="N942" s="3"/>
      <c r="O942" s="2"/>
      <c r="P942" s="3"/>
      <c r="Q942" s="2"/>
      <c r="R942" s="3"/>
      <c r="S942" s="2"/>
      <c r="T942" s="3"/>
      <c r="U942" s="2"/>
      <c r="V942" s="3"/>
      <c r="W942" s="2"/>
      <c r="X942" s="3"/>
      <c r="Y942" s="2"/>
      <c r="Z942" s="3"/>
    </row>
    <row r="943">
      <c r="A943" s="1"/>
      <c r="B943" s="1"/>
      <c r="C943" s="2"/>
      <c r="D943" s="3"/>
      <c r="E943" s="2"/>
      <c r="F943" s="3"/>
      <c r="G943" s="2"/>
      <c r="H943" s="3"/>
      <c r="I943" s="2"/>
      <c r="J943" s="3"/>
      <c r="K943" s="2"/>
      <c r="L943" s="3"/>
      <c r="M943" s="2"/>
      <c r="N943" s="3"/>
      <c r="O943" s="2"/>
      <c r="P943" s="3"/>
      <c r="Q943" s="2"/>
      <c r="R943" s="3"/>
      <c r="S943" s="2"/>
      <c r="T943" s="3"/>
      <c r="U943" s="2"/>
      <c r="V943" s="3"/>
      <c r="W943" s="2"/>
      <c r="X943" s="3"/>
      <c r="Y943" s="2"/>
      <c r="Z943" s="3"/>
    </row>
    <row r="944">
      <c r="A944" s="1"/>
      <c r="B944" s="1"/>
      <c r="C944" s="2"/>
      <c r="D944" s="3"/>
      <c r="E944" s="2"/>
      <c r="F944" s="3"/>
      <c r="G944" s="2"/>
      <c r="H944" s="3"/>
      <c r="I944" s="2"/>
      <c r="J944" s="3"/>
      <c r="K944" s="2"/>
      <c r="L944" s="3"/>
      <c r="M944" s="2"/>
      <c r="N944" s="3"/>
      <c r="O944" s="2"/>
      <c r="P944" s="3"/>
      <c r="Q944" s="2"/>
      <c r="R944" s="3"/>
      <c r="S944" s="2"/>
      <c r="T944" s="3"/>
      <c r="U944" s="2"/>
      <c r="V944" s="3"/>
      <c r="W944" s="2"/>
      <c r="X944" s="3"/>
      <c r="Y944" s="2"/>
      <c r="Z944" s="3"/>
    </row>
    <row r="945">
      <c r="A945" s="1"/>
      <c r="B945" s="1"/>
      <c r="C945" s="2"/>
      <c r="D945" s="3"/>
      <c r="E945" s="2"/>
      <c r="F945" s="3"/>
      <c r="G945" s="2"/>
      <c r="H945" s="3"/>
      <c r="I945" s="2"/>
      <c r="J945" s="3"/>
      <c r="K945" s="2"/>
      <c r="L945" s="3"/>
      <c r="M945" s="2"/>
      <c r="N945" s="3"/>
      <c r="O945" s="2"/>
      <c r="P945" s="3"/>
      <c r="Q945" s="2"/>
      <c r="R945" s="3"/>
      <c r="S945" s="2"/>
      <c r="T945" s="3"/>
      <c r="U945" s="2"/>
      <c r="V945" s="3"/>
      <c r="W945" s="2"/>
      <c r="X945" s="3"/>
      <c r="Y945" s="2"/>
      <c r="Z945" s="3"/>
    </row>
    <row r="946">
      <c r="A946" s="1"/>
      <c r="B946" s="1"/>
      <c r="C946" s="2"/>
      <c r="D946" s="3"/>
      <c r="E946" s="2"/>
      <c r="F946" s="3"/>
      <c r="G946" s="2"/>
      <c r="H946" s="3"/>
      <c r="I946" s="2"/>
      <c r="J946" s="3"/>
      <c r="K946" s="2"/>
      <c r="L946" s="3"/>
      <c r="M946" s="2"/>
      <c r="N946" s="3"/>
      <c r="O946" s="2"/>
      <c r="P946" s="3"/>
      <c r="Q946" s="2"/>
      <c r="R946" s="3"/>
      <c r="S946" s="2"/>
      <c r="T946" s="3"/>
      <c r="U946" s="2"/>
      <c r="V946" s="3"/>
      <c r="W946" s="2"/>
      <c r="X946" s="3"/>
      <c r="Y946" s="2"/>
      <c r="Z946" s="3"/>
    </row>
    <row r="947">
      <c r="A947" s="1"/>
      <c r="B947" s="1"/>
      <c r="C947" s="2"/>
      <c r="D947" s="3"/>
      <c r="E947" s="2"/>
      <c r="F947" s="3"/>
      <c r="G947" s="2"/>
      <c r="H947" s="3"/>
      <c r="I947" s="2"/>
      <c r="J947" s="3"/>
      <c r="K947" s="2"/>
      <c r="L947" s="3"/>
      <c r="M947" s="2"/>
      <c r="N947" s="3"/>
      <c r="O947" s="2"/>
      <c r="P947" s="3"/>
      <c r="Q947" s="2"/>
      <c r="R947" s="3"/>
      <c r="S947" s="2"/>
      <c r="T947" s="3"/>
      <c r="U947" s="2"/>
      <c r="V947" s="3"/>
      <c r="W947" s="2"/>
      <c r="X947" s="3"/>
      <c r="Y947" s="2"/>
      <c r="Z947" s="3"/>
    </row>
    <row r="948">
      <c r="A948" s="1"/>
      <c r="B948" s="1"/>
      <c r="C948" s="2"/>
      <c r="D948" s="3"/>
      <c r="E948" s="2"/>
      <c r="F948" s="3"/>
      <c r="G948" s="2"/>
      <c r="H948" s="3"/>
      <c r="I948" s="2"/>
      <c r="J948" s="3"/>
      <c r="K948" s="2"/>
      <c r="L948" s="3"/>
      <c r="M948" s="2"/>
      <c r="N948" s="3"/>
      <c r="O948" s="2"/>
      <c r="P948" s="3"/>
      <c r="Q948" s="2"/>
      <c r="R948" s="3"/>
      <c r="S948" s="2"/>
      <c r="T948" s="3"/>
      <c r="U948" s="2"/>
      <c r="V948" s="3"/>
      <c r="W948" s="2"/>
      <c r="X948" s="3"/>
      <c r="Y948" s="2"/>
      <c r="Z948" s="3"/>
    </row>
    <row r="949">
      <c r="A949" s="1"/>
      <c r="B949" s="1"/>
      <c r="C949" s="2"/>
      <c r="D949" s="3"/>
      <c r="E949" s="2"/>
      <c r="F949" s="3"/>
      <c r="G949" s="2"/>
      <c r="H949" s="3"/>
      <c r="I949" s="2"/>
      <c r="J949" s="3"/>
      <c r="K949" s="2"/>
      <c r="L949" s="3"/>
      <c r="M949" s="2"/>
      <c r="N949" s="3"/>
      <c r="O949" s="2"/>
      <c r="P949" s="3"/>
      <c r="Q949" s="2"/>
      <c r="R949" s="3"/>
      <c r="S949" s="2"/>
      <c r="T949" s="3"/>
      <c r="U949" s="2"/>
      <c r="V949" s="3"/>
      <c r="W949" s="2"/>
      <c r="X949" s="3"/>
      <c r="Y949" s="2"/>
      <c r="Z949" s="3"/>
    </row>
    <row r="950">
      <c r="A950" s="1"/>
      <c r="B950" s="1"/>
      <c r="C950" s="2"/>
      <c r="D950" s="3"/>
      <c r="E950" s="2"/>
      <c r="F950" s="3"/>
      <c r="G950" s="2"/>
      <c r="H950" s="3"/>
      <c r="I950" s="2"/>
      <c r="J950" s="3"/>
      <c r="K950" s="2"/>
      <c r="L950" s="3"/>
      <c r="M950" s="2"/>
      <c r="N950" s="3"/>
      <c r="O950" s="2"/>
      <c r="P950" s="3"/>
      <c r="Q950" s="2"/>
      <c r="R950" s="3"/>
      <c r="S950" s="2"/>
      <c r="T950" s="3"/>
      <c r="U950" s="2"/>
      <c r="V950" s="3"/>
      <c r="W950" s="2"/>
      <c r="X950" s="3"/>
      <c r="Y950" s="2"/>
      <c r="Z950" s="3"/>
    </row>
    <row r="951">
      <c r="A951" s="1"/>
      <c r="B951" s="1"/>
      <c r="C951" s="2"/>
      <c r="D951" s="3"/>
      <c r="E951" s="2"/>
      <c r="F951" s="3"/>
      <c r="G951" s="2"/>
      <c r="H951" s="3"/>
      <c r="I951" s="2"/>
      <c r="J951" s="3"/>
      <c r="K951" s="2"/>
      <c r="L951" s="3"/>
      <c r="M951" s="2"/>
      <c r="N951" s="3"/>
      <c r="O951" s="2"/>
      <c r="P951" s="3"/>
      <c r="Q951" s="2"/>
      <c r="R951" s="3"/>
      <c r="S951" s="2"/>
      <c r="T951" s="3"/>
      <c r="U951" s="2"/>
      <c r="V951" s="3"/>
      <c r="W951" s="2"/>
      <c r="X951" s="3"/>
      <c r="Y951" s="2"/>
      <c r="Z951" s="3"/>
    </row>
    <row r="952">
      <c r="A952" s="1"/>
      <c r="B952" s="1"/>
      <c r="C952" s="2"/>
      <c r="D952" s="3"/>
      <c r="E952" s="2"/>
      <c r="F952" s="3"/>
      <c r="G952" s="2"/>
      <c r="H952" s="3"/>
      <c r="I952" s="2"/>
      <c r="J952" s="3"/>
      <c r="K952" s="2"/>
      <c r="L952" s="3"/>
      <c r="M952" s="2"/>
      <c r="N952" s="3"/>
      <c r="O952" s="2"/>
      <c r="P952" s="3"/>
      <c r="Q952" s="2"/>
      <c r="R952" s="3"/>
      <c r="S952" s="2"/>
      <c r="T952" s="3"/>
      <c r="U952" s="2"/>
      <c r="V952" s="3"/>
      <c r="W952" s="2"/>
      <c r="X952" s="3"/>
      <c r="Y952" s="2"/>
      <c r="Z952" s="3"/>
    </row>
    <row r="953">
      <c r="A953" s="1"/>
      <c r="B953" s="1"/>
      <c r="C953" s="2"/>
      <c r="D953" s="3"/>
      <c r="E953" s="2"/>
      <c r="F953" s="3"/>
      <c r="G953" s="2"/>
      <c r="H953" s="3"/>
      <c r="I953" s="2"/>
      <c r="J953" s="3"/>
      <c r="K953" s="2"/>
      <c r="L953" s="3"/>
      <c r="M953" s="2"/>
      <c r="N953" s="3"/>
      <c r="O953" s="2"/>
      <c r="P953" s="3"/>
      <c r="Q953" s="2"/>
      <c r="R953" s="3"/>
      <c r="S953" s="2"/>
      <c r="T953" s="3"/>
      <c r="U953" s="2"/>
      <c r="V953" s="3"/>
      <c r="W953" s="2"/>
      <c r="X953" s="3"/>
      <c r="Y953" s="2"/>
      <c r="Z953" s="3"/>
    </row>
    <row r="954">
      <c r="A954" s="1"/>
      <c r="B954" s="1"/>
      <c r="C954" s="2"/>
      <c r="D954" s="3"/>
      <c r="E954" s="2"/>
      <c r="F954" s="3"/>
      <c r="G954" s="2"/>
      <c r="H954" s="3"/>
      <c r="I954" s="2"/>
      <c r="J954" s="3"/>
      <c r="K954" s="2"/>
      <c r="L954" s="3"/>
      <c r="M954" s="2"/>
      <c r="N954" s="3"/>
      <c r="O954" s="2"/>
      <c r="P954" s="3"/>
      <c r="Q954" s="2"/>
      <c r="R954" s="3"/>
      <c r="S954" s="2"/>
      <c r="T954" s="3"/>
      <c r="U954" s="2"/>
      <c r="V954" s="3"/>
      <c r="W954" s="2"/>
      <c r="X954" s="3"/>
      <c r="Y954" s="2"/>
      <c r="Z954" s="3"/>
    </row>
    <row r="955">
      <c r="A955" s="1"/>
      <c r="B955" s="1"/>
      <c r="C955" s="2"/>
      <c r="D955" s="3"/>
      <c r="E955" s="2"/>
      <c r="F955" s="3"/>
      <c r="G955" s="2"/>
      <c r="H955" s="3"/>
      <c r="I955" s="2"/>
      <c r="J955" s="3"/>
      <c r="K955" s="2"/>
      <c r="L955" s="3"/>
      <c r="M955" s="2"/>
      <c r="N955" s="3"/>
      <c r="O955" s="2"/>
      <c r="P955" s="3"/>
      <c r="Q955" s="2"/>
      <c r="R955" s="3"/>
      <c r="S955" s="2"/>
      <c r="T955" s="3"/>
      <c r="U955" s="2"/>
      <c r="V955" s="3"/>
      <c r="W955" s="2"/>
      <c r="X955" s="3"/>
      <c r="Y955" s="2"/>
      <c r="Z955" s="3"/>
    </row>
    <row r="956">
      <c r="A956" s="1"/>
      <c r="B956" s="1"/>
      <c r="C956" s="2"/>
      <c r="D956" s="3"/>
      <c r="E956" s="2"/>
      <c r="F956" s="3"/>
      <c r="G956" s="2"/>
      <c r="H956" s="3"/>
      <c r="I956" s="2"/>
      <c r="J956" s="3"/>
      <c r="K956" s="2"/>
      <c r="L956" s="3"/>
      <c r="M956" s="2"/>
      <c r="N956" s="3"/>
      <c r="O956" s="2"/>
      <c r="P956" s="3"/>
      <c r="Q956" s="2"/>
      <c r="R956" s="3"/>
      <c r="S956" s="2"/>
      <c r="T956" s="3"/>
      <c r="U956" s="2"/>
      <c r="V956" s="3"/>
      <c r="W956" s="2"/>
      <c r="X956" s="3"/>
      <c r="Y956" s="2"/>
      <c r="Z956" s="3"/>
    </row>
    <row r="957">
      <c r="A957" s="1"/>
      <c r="B957" s="1"/>
      <c r="C957" s="2"/>
      <c r="D957" s="3"/>
      <c r="E957" s="2"/>
      <c r="F957" s="3"/>
      <c r="G957" s="2"/>
      <c r="H957" s="3"/>
      <c r="I957" s="2"/>
      <c r="J957" s="3"/>
      <c r="K957" s="2"/>
      <c r="L957" s="3"/>
      <c r="M957" s="2"/>
      <c r="N957" s="3"/>
      <c r="O957" s="2"/>
      <c r="P957" s="3"/>
      <c r="Q957" s="2"/>
      <c r="R957" s="3"/>
      <c r="S957" s="2"/>
      <c r="T957" s="3"/>
      <c r="U957" s="2"/>
      <c r="V957" s="3"/>
      <c r="W957" s="2"/>
      <c r="X957" s="3"/>
      <c r="Y957" s="2"/>
      <c r="Z957" s="3"/>
    </row>
    <row r="958">
      <c r="A958" s="1"/>
      <c r="B958" s="1"/>
      <c r="C958" s="2"/>
      <c r="D958" s="3"/>
      <c r="E958" s="2"/>
      <c r="F958" s="3"/>
      <c r="G958" s="2"/>
      <c r="H958" s="3"/>
      <c r="I958" s="2"/>
      <c r="J958" s="3"/>
      <c r="K958" s="2"/>
      <c r="L958" s="3"/>
      <c r="M958" s="2"/>
      <c r="N958" s="3"/>
      <c r="O958" s="2"/>
      <c r="P958" s="3"/>
      <c r="Q958" s="2"/>
      <c r="R958" s="3"/>
      <c r="S958" s="2"/>
      <c r="T958" s="3"/>
      <c r="U958" s="2"/>
      <c r="V958" s="3"/>
      <c r="W958" s="2"/>
      <c r="X958" s="3"/>
      <c r="Y958" s="2"/>
      <c r="Z958" s="3"/>
    </row>
    <row r="959">
      <c r="A959" s="1"/>
      <c r="B959" s="1"/>
      <c r="C959" s="2"/>
      <c r="D959" s="3"/>
      <c r="E959" s="2"/>
      <c r="F959" s="3"/>
      <c r="G959" s="2"/>
      <c r="H959" s="3"/>
      <c r="I959" s="2"/>
      <c r="J959" s="3"/>
      <c r="K959" s="2"/>
      <c r="L959" s="3"/>
      <c r="M959" s="2"/>
      <c r="N959" s="3"/>
      <c r="O959" s="2"/>
      <c r="P959" s="3"/>
      <c r="Q959" s="2"/>
      <c r="R959" s="3"/>
      <c r="S959" s="2"/>
      <c r="T959" s="3"/>
      <c r="U959" s="2"/>
      <c r="V959" s="3"/>
      <c r="W959" s="2"/>
      <c r="X959" s="3"/>
      <c r="Y959" s="2"/>
      <c r="Z959" s="3"/>
    </row>
    <row r="960">
      <c r="A960" s="1"/>
      <c r="B960" s="1"/>
      <c r="C960" s="2"/>
      <c r="D960" s="3"/>
      <c r="E960" s="2"/>
      <c r="F960" s="3"/>
      <c r="G960" s="2"/>
      <c r="H960" s="3"/>
      <c r="I960" s="2"/>
      <c r="J960" s="3"/>
      <c r="K960" s="2"/>
      <c r="L960" s="3"/>
      <c r="M960" s="2"/>
      <c r="N960" s="3"/>
      <c r="O960" s="2"/>
      <c r="P960" s="3"/>
      <c r="Q960" s="2"/>
      <c r="R960" s="3"/>
      <c r="S960" s="2"/>
      <c r="T960" s="3"/>
      <c r="U960" s="2"/>
      <c r="V960" s="3"/>
      <c r="W960" s="2"/>
      <c r="X960" s="3"/>
      <c r="Y960" s="2"/>
      <c r="Z960" s="3"/>
    </row>
    <row r="961">
      <c r="A961" s="1"/>
      <c r="B961" s="1"/>
      <c r="C961" s="2"/>
      <c r="D961" s="3"/>
      <c r="E961" s="2"/>
      <c r="F961" s="3"/>
      <c r="G961" s="2"/>
      <c r="H961" s="3"/>
      <c r="I961" s="2"/>
      <c r="J961" s="3"/>
      <c r="K961" s="2"/>
      <c r="L961" s="3"/>
      <c r="M961" s="2"/>
      <c r="N961" s="3"/>
      <c r="O961" s="2"/>
      <c r="P961" s="3"/>
      <c r="Q961" s="2"/>
      <c r="R961" s="3"/>
      <c r="S961" s="2"/>
      <c r="T961" s="3"/>
      <c r="U961" s="2"/>
      <c r="V961" s="3"/>
      <c r="W961" s="2"/>
      <c r="X961" s="3"/>
      <c r="Y961" s="2"/>
      <c r="Z961" s="3"/>
    </row>
    <row r="962">
      <c r="A962" s="1"/>
      <c r="B962" s="1"/>
      <c r="C962" s="2"/>
      <c r="D962" s="3"/>
      <c r="E962" s="2"/>
      <c r="F962" s="3"/>
      <c r="G962" s="2"/>
      <c r="H962" s="3"/>
      <c r="I962" s="2"/>
      <c r="J962" s="3"/>
      <c r="K962" s="2"/>
      <c r="L962" s="3"/>
      <c r="M962" s="2"/>
      <c r="N962" s="3"/>
      <c r="O962" s="2"/>
      <c r="P962" s="3"/>
      <c r="Q962" s="2"/>
      <c r="R962" s="3"/>
      <c r="S962" s="2"/>
      <c r="T962" s="3"/>
      <c r="U962" s="2"/>
      <c r="V962" s="3"/>
      <c r="W962" s="2"/>
      <c r="X962" s="3"/>
      <c r="Y962" s="2"/>
      <c r="Z962" s="3"/>
    </row>
    <row r="963">
      <c r="A963" s="1"/>
      <c r="B963" s="1"/>
      <c r="C963" s="2"/>
      <c r="D963" s="3"/>
      <c r="E963" s="2"/>
      <c r="F963" s="3"/>
      <c r="G963" s="2"/>
      <c r="H963" s="3"/>
      <c r="I963" s="2"/>
      <c r="J963" s="3"/>
      <c r="K963" s="2"/>
      <c r="L963" s="3"/>
      <c r="M963" s="2"/>
      <c r="N963" s="3"/>
      <c r="O963" s="2"/>
      <c r="P963" s="3"/>
      <c r="Q963" s="2"/>
      <c r="R963" s="3"/>
      <c r="S963" s="2"/>
      <c r="T963" s="3"/>
      <c r="U963" s="2"/>
      <c r="V963" s="3"/>
      <c r="W963" s="2"/>
      <c r="X963" s="3"/>
      <c r="Y963" s="2"/>
      <c r="Z963" s="3"/>
    </row>
    <row r="964">
      <c r="A964" s="1"/>
      <c r="B964" s="1"/>
      <c r="C964" s="2"/>
      <c r="D964" s="3"/>
      <c r="E964" s="2"/>
      <c r="F964" s="3"/>
      <c r="G964" s="2"/>
      <c r="H964" s="3"/>
      <c r="I964" s="2"/>
      <c r="J964" s="3"/>
      <c r="K964" s="2"/>
      <c r="L964" s="3"/>
      <c r="M964" s="2"/>
      <c r="N964" s="3"/>
      <c r="O964" s="2"/>
      <c r="P964" s="3"/>
      <c r="Q964" s="2"/>
      <c r="R964" s="3"/>
      <c r="S964" s="2"/>
      <c r="T964" s="3"/>
      <c r="U964" s="2"/>
      <c r="V964" s="3"/>
      <c r="W964" s="2"/>
      <c r="X964" s="3"/>
      <c r="Y964" s="2"/>
      <c r="Z964" s="3"/>
    </row>
    <row r="965">
      <c r="A965" s="1"/>
      <c r="B965" s="1"/>
      <c r="C965" s="2"/>
      <c r="D965" s="3"/>
      <c r="E965" s="2"/>
      <c r="F965" s="3"/>
      <c r="G965" s="2"/>
      <c r="H965" s="3"/>
      <c r="I965" s="2"/>
      <c r="J965" s="3"/>
      <c r="K965" s="2"/>
      <c r="L965" s="3"/>
      <c r="M965" s="2"/>
      <c r="N965" s="3"/>
      <c r="O965" s="2"/>
      <c r="P965" s="3"/>
      <c r="Q965" s="2"/>
      <c r="R965" s="3"/>
      <c r="S965" s="2"/>
      <c r="T965" s="3"/>
      <c r="U965" s="2"/>
      <c r="V965" s="3"/>
      <c r="W965" s="2"/>
      <c r="X965" s="3"/>
      <c r="Y965" s="2"/>
      <c r="Z965" s="3"/>
    </row>
    <row r="966">
      <c r="A966" s="1"/>
      <c r="B966" s="1"/>
      <c r="C966" s="2"/>
      <c r="D966" s="3"/>
      <c r="E966" s="2"/>
      <c r="F966" s="3"/>
      <c r="G966" s="2"/>
      <c r="H966" s="3"/>
      <c r="I966" s="2"/>
      <c r="J966" s="3"/>
      <c r="K966" s="2"/>
      <c r="L966" s="3"/>
      <c r="M966" s="2"/>
      <c r="N966" s="3"/>
      <c r="O966" s="2"/>
      <c r="P966" s="3"/>
      <c r="Q966" s="2"/>
      <c r="R966" s="3"/>
      <c r="S966" s="2"/>
      <c r="T966" s="3"/>
      <c r="U966" s="2"/>
      <c r="V966" s="3"/>
      <c r="W966" s="2"/>
      <c r="X966" s="3"/>
      <c r="Y966" s="2"/>
      <c r="Z966" s="3"/>
    </row>
    <row r="967">
      <c r="A967" s="1"/>
      <c r="B967" s="1"/>
      <c r="C967" s="2"/>
      <c r="D967" s="3"/>
      <c r="E967" s="2"/>
      <c r="F967" s="3"/>
      <c r="G967" s="2"/>
      <c r="H967" s="3"/>
      <c r="I967" s="2"/>
      <c r="J967" s="3"/>
      <c r="K967" s="2"/>
      <c r="L967" s="3"/>
      <c r="M967" s="2"/>
      <c r="N967" s="3"/>
      <c r="O967" s="2"/>
      <c r="P967" s="3"/>
      <c r="Q967" s="2"/>
      <c r="R967" s="3"/>
      <c r="S967" s="2"/>
      <c r="T967" s="3"/>
      <c r="U967" s="2"/>
      <c r="V967" s="3"/>
      <c r="W967" s="2"/>
      <c r="X967" s="3"/>
      <c r="Y967" s="2"/>
      <c r="Z967" s="3"/>
    </row>
    <row r="968">
      <c r="A968" s="1"/>
      <c r="B968" s="1"/>
      <c r="C968" s="2"/>
      <c r="D968" s="3"/>
      <c r="E968" s="2"/>
      <c r="F968" s="3"/>
      <c r="G968" s="2"/>
      <c r="H968" s="3"/>
      <c r="I968" s="2"/>
      <c r="J968" s="3"/>
      <c r="K968" s="2"/>
      <c r="L968" s="3"/>
      <c r="M968" s="2"/>
      <c r="N968" s="3"/>
      <c r="O968" s="2"/>
      <c r="P968" s="3"/>
      <c r="Q968" s="2"/>
      <c r="R968" s="3"/>
      <c r="S968" s="2"/>
      <c r="T968" s="3"/>
      <c r="U968" s="2"/>
      <c r="V968" s="3"/>
      <c r="W968" s="2"/>
      <c r="X968" s="3"/>
      <c r="Y968" s="2"/>
      <c r="Z968" s="3"/>
    </row>
    <row r="969">
      <c r="A969" s="1"/>
      <c r="B969" s="1"/>
      <c r="C969" s="2"/>
      <c r="D969" s="3"/>
      <c r="E969" s="2"/>
      <c r="F969" s="3"/>
      <c r="G969" s="2"/>
      <c r="H969" s="3"/>
      <c r="I969" s="2"/>
      <c r="J969" s="3"/>
      <c r="K969" s="2"/>
      <c r="L969" s="3"/>
      <c r="M969" s="2"/>
      <c r="N969" s="3"/>
      <c r="O969" s="2"/>
      <c r="P969" s="3"/>
      <c r="Q969" s="2"/>
      <c r="R969" s="3"/>
      <c r="S969" s="2"/>
      <c r="T969" s="3"/>
      <c r="U969" s="2"/>
      <c r="V969" s="3"/>
      <c r="W969" s="2"/>
      <c r="X969" s="3"/>
      <c r="Y969" s="2"/>
      <c r="Z969" s="3"/>
    </row>
    <row r="970">
      <c r="A970" s="1"/>
      <c r="B970" s="1"/>
      <c r="C970" s="2"/>
      <c r="D970" s="3"/>
      <c r="E970" s="2"/>
      <c r="F970" s="3"/>
      <c r="G970" s="2"/>
      <c r="H970" s="3"/>
      <c r="I970" s="2"/>
      <c r="J970" s="3"/>
      <c r="K970" s="2"/>
      <c r="L970" s="3"/>
      <c r="M970" s="2"/>
      <c r="N970" s="3"/>
      <c r="O970" s="2"/>
      <c r="P970" s="3"/>
      <c r="Q970" s="2"/>
      <c r="R970" s="3"/>
      <c r="S970" s="2"/>
      <c r="T970" s="3"/>
      <c r="U970" s="2"/>
      <c r="V970" s="3"/>
      <c r="W970" s="2"/>
      <c r="X970" s="3"/>
      <c r="Y970" s="2"/>
      <c r="Z970" s="3"/>
    </row>
    <row r="971">
      <c r="A971" s="1"/>
      <c r="B971" s="1"/>
      <c r="C971" s="2"/>
      <c r="D971" s="3"/>
      <c r="E971" s="2"/>
      <c r="F971" s="3"/>
      <c r="G971" s="2"/>
      <c r="H971" s="3"/>
      <c r="I971" s="2"/>
      <c r="J971" s="3"/>
      <c r="K971" s="2"/>
      <c r="L971" s="3"/>
      <c r="M971" s="2"/>
      <c r="N971" s="3"/>
      <c r="O971" s="2"/>
      <c r="P971" s="3"/>
      <c r="Q971" s="2"/>
      <c r="R971" s="3"/>
      <c r="S971" s="2"/>
      <c r="T971" s="3"/>
      <c r="U971" s="2"/>
      <c r="V971" s="3"/>
      <c r="W971" s="2"/>
      <c r="X971" s="3"/>
      <c r="Y971" s="2"/>
      <c r="Z971" s="3"/>
    </row>
    <row r="972">
      <c r="A972" s="1"/>
      <c r="B972" s="1"/>
      <c r="C972" s="2"/>
      <c r="D972" s="3"/>
      <c r="E972" s="2"/>
      <c r="F972" s="3"/>
      <c r="G972" s="2"/>
      <c r="H972" s="3"/>
      <c r="I972" s="2"/>
      <c r="J972" s="3"/>
      <c r="K972" s="2"/>
      <c r="L972" s="3"/>
      <c r="M972" s="2"/>
      <c r="N972" s="3"/>
      <c r="O972" s="2"/>
      <c r="P972" s="3"/>
      <c r="Q972" s="2"/>
      <c r="R972" s="3"/>
      <c r="S972" s="2"/>
      <c r="T972" s="3"/>
      <c r="U972" s="2"/>
      <c r="V972" s="3"/>
      <c r="W972" s="2"/>
      <c r="X972" s="3"/>
      <c r="Y972" s="2"/>
      <c r="Z972" s="3"/>
    </row>
    <row r="973">
      <c r="A973" s="1"/>
      <c r="B973" s="1"/>
      <c r="C973" s="2"/>
      <c r="D973" s="3"/>
      <c r="E973" s="2"/>
      <c r="F973" s="3"/>
      <c r="G973" s="2"/>
      <c r="H973" s="3"/>
      <c r="I973" s="2"/>
      <c r="J973" s="3"/>
      <c r="K973" s="2"/>
      <c r="L973" s="3"/>
      <c r="M973" s="2"/>
      <c r="N973" s="3"/>
      <c r="O973" s="2"/>
      <c r="P973" s="3"/>
      <c r="Q973" s="2"/>
      <c r="R973" s="3"/>
      <c r="S973" s="2"/>
      <c r="T973" s="3"/>
      <c r="U973" s="2"/>
      <c r="V973" s="3"/>
      <c r="W973" s="2"/>
      <c r="X973" s="3"/>
      <c r="Y973" s="2"/>
      <c r="Z973" s="3"/>
    </row>
    <row r="974">
      <c r="A974" s="1"/>
      <c r="B974" s="1"/>
      <c r="C974" s="2"/>
      <c r="D974" s="3"/>
      <c r="E974" s="2"/>
      <c r="F974" s="3"/>
      <c r="G974" s="2"/>
      <c r="H974" s="3"/>
      <c r="I974" s="2"/>
      <c r="J974" s="3"/>
      <c r="K974" s="2"/>
      <c r="L974" s="3"/>
      <c r="M974" s="2"/>
      <c r="N974" s="3"/>
      <c r="O974" s="2"/>
      <c r="P974" s="3"/>
      <c r="Q974" s="2"/>
      <c r="R974" s="3"/>
      <c r="S974" s="2"/>
      <c r="T974" s="3"/>
      <c r="U974" s="2"/>
      <c r="V974" s="3"/>
      <c r="W974" s="2"/>
      <c r="X974" s="3"/>
      <c r="Y974" s="2"/>
      <c r="Z974" s="3"/>
    </row>
    <row r="975">
      <c r="A975" s="1"/>
      <c r="B975" s="1"/>
      <c r="C975" s="2"/>
      <c r="D975" s="3"/>
      <c r="E975" s="2"/>
      <c r="F975" s="3"/>
      <c r="G975" s="2"/>
      <c r="H975" s="3"/>
      <c r="I975" s="2"/>
      <c r="J975" s="3"/>
      <c r="K975" s="2"/>
      <c r="L975" s="3"/>
      <c r="M975" s="2"/>
      <c r="N975" s="3"/>
      <c r="O975" s="2"/>
      <c r="P975" s="3"/>
      <c r="Q975" s="2"/>
      <c r="R975" s="3"/>
      <c r="S975" s="2"/>
      <c r="T975" s="3"/>
      <c r="U975" s="2"/>
      <c r="V975" s="3"/>
      <c r="W975" s="2"/>
      <c r="X975" s="3"/>
      <c r="Y975" s="2"/>
      <c r="Z975" s="3"/>
    </row>
    <row r="976">
      <c r="A976" s="1"/>
      <c r="B976" s="1"/>
      <c r="C976" s="2"/>
      <c r="D976" s="3"/>
      <c r="E976" s="2"/>
      <c r="F976" s="3"/>
      <c r="G976" s="2"/>
      <c r="H976" s="3"/>
      <c r="I976" s="2"/>
      <c r="J976" s="3"/>
      <c r="K976" s="2"/>
      <c r="L976" s="3"/>
      <c r="M976" s="2"/>
      <c r="N976" s="3"/>
      <c r="O976" s="2"/>
      <c r="P976" s="3"/>
      <c r="Q976" s="2"/>
      <c r="R976" s="3"/>
      <c r="S976" s="2"/>
      <c r="T976" s="3"/>
      <c r="U976" s="2"/>
      <c r="V976" s="3"/>
      <c r="W976" s="2"/>
      <c r="X976" s="3"/>
      <c r="Y976" s="2"/>
      <c r="Z976" s="3"/>
    </row>
    <row r="977">
      <c r="A977" s="1"/>
      <c r="B977" s="1"/>
      <c r="C977" s="2"/>
      <c r="D977" s="3"/>
      <c r="E977" s="2"/>
      <c r="F977" s="3"/>
      <c r="G977" s="2"/>
      <c r="H977" s="3"/>
      <c r="I977" s="2"/>
      <c r="J977" s="3"/>
      <c r="K977" s="2"/>
      <c r="L977" s="3"/>
      <c r="M977" s="2"/>
      <c r="N977" s="3"/>
      <c r="O977" s="2"/>
      <c r="P977" s="3"/>
      <c r="Q977" s="2"/>
      <c r="R977" s="3"/>
      <c r="S977" s="2"/>
      <c r="T977" s="3"/>
      <c r="U977" s="2"/>
      <c r="V977" s="3"/>
      <c r="W977" s="2"/>
      <c r="X977" s="3"/>
      <c r="Y977" s="2"/>
      <c r="Z977" s="3"/>
    </row>
    <row r="978">
      <c r="A978" s="1"/>
      <c r="B978" s="1"/>
      <c r="C978" s="2"/>
      <c r="D978" s="3"/>
      <c r="E978" s="2"/>
      <c r="F978" s="3"/>
      <c r="G978" s="2"/>
      <c r="H978" s="3"/>
      <c r="I978" s="2"/>
      <c r="J978" s="3"/>
      <c r="K978" s="2"/>
      <c r="L978" s="3"/>
      <c r="M978" s="2"/>
      <c r="N978" s="3"/>
      <c r="O978" s="2"/>
      <c r="P978" s="3"/>
      <c r="Q978" s="2"/>
      <c r="R978" s="3"/>
      <c r="S978" s="2"/>
      <c r="T978" s="3"/>
      <c r="U978" s="2"/>
      <c r="V978" s="3"/>
      <c r="W978" s="2"/>
      <c r="X978" s="3"/>
      <c r="Y978" s="2"/>
      <c r="Z978" s="3"/>
    </row>
    <row r="979">
      <c r="A979" s="1"/>
      <c r="B979" s="1"/>
      <c r="C979" s="2"/>
      <c r="D979" s="3"/>
      <c r="E979" s="2"/>
      <c r="F979" s="3"/>
      <c r="G979" s="2"/>
      <c r="H979" s="3"/>
      <c r="I979" s="2"/>
      <c r="J979" s="3"/>
      <c r="K979" s="2"/>
      <c r="L979" s="3"/>
      <c r="M979" s="2"/>
      <c r="N979" s="3"/>
      <c r="O979" s="2"/>
      <c r="P979" s="3"/>
      <c r="Q979" s="2"/>
      <c r="R979" s="3"/>
      <c r="S979" s="2"/>
      <c r="T979" s="3"/>
      <c r="U979" s="2"/>
      <c r="V979" s="3"/>
      <c r="W979" s="2"/>
      <c r="X979" s="3"/>
      <c r="Y979" s="2"/>
      <c r="Z979" s="3"/>
    </row>
    <row r="980">
      <c r="A980" s="1"/>
      <c r="B980" s="1"/>
      <c r="C980" s="2"/>
      <c r="D980" s="3"/>
      <c r="E980" s="2"/>
      <c r="F980" s="3"/>
      <c r="G980" s="2"/>
      <c r="H980" s="3"/>
      <c r="I980" s="2"/>
      <c r="J980" s="3"/>
      <c r="K980" s="2"/>
      <c r="L980" s="3"/>
      <c r="M980" s="2"/>
      <c r="N980" s="3"/>
      <c r="O980" s="2"/>
      <c r="P980" s="3"/>
      <c r="Q980" s="2"/>
      <c r="R980" s="3"/>
      <c r="S980" s="2"/>
      <c r="T980" s="3"/>
      <c r="U980" s="2"/>
      <c r="V980" s="3"/>
      <c r="W980" s="2"/>
      <c r="X980" s="3"/>
      <c r="Y980" s="2"/>
      <c r="Z980" s="3"/>
    </row>
    <row r="981">
      <c r="A981" s="1"/>
      <c r="B981" s="1"/>
      <c r="C981" s="2"/>
      <c r="D981" s="3"/>
      <c r="E981" s="2"/>
      <c r="F981" s="3"/>
      <c r="G981" s="2"/>
      <c r="H981" s="3"/>
      <c r="I981" s="2"/>
      <c r="J981" s="3"/>
      <c r="K981" s="2"/>
      <c r="L981" s="3"/>
      <c r="M981" s="2"/>
      <c r="N981" s="3"/>
      <c r="O981" s="2"/>
      <c r="P981" s="3"/>
      <c r="Q981" s="2"/>
      <c r="R981" s="3"/>
      <c r="S981" s="2"/>
      <c r="T981" s="3"/>
      <c r="U981" s="2"/>
      <c r="V981" s="3"/>
      <c r="W981" s="2"/>
      <c r="X981" s="3"/>
      <c r="Y981" s="2"/>
      <c r="Z981" s="3"/>
    </row>
    <row r="982">
      <c r="A982" s="1"/>
      <c r="B982" s="1"/>
      <c r="C982" s="2"/>
      <c r="D982" s="3"/>
      <c r="E982" s="2"/>
      <c r="F982" s="3"/>
      <c r="G982" s="2"/>
      <c r="H982" s="3"/>
      <c r="I982" s="2"/>
      <c r="J982" s="3"/>
      <c r="K982" s="2"/>
      <c r="L982" s="3"/>
      <c r="M982" s="2"/>
      <c r="N982" s="3"/>
      <c r="O982" s="2"/>
      <c r="P982" s="3"/>
      <c r="Q982" s="2"/>
      <c r="R982" s="3"/>
      <c r="S982" s="2"/>
      <c r="T982" s="3"/>
      <c r="U982" s="2"/>
      <c r="V982" s="3"/>
      <c r="W982" s="2"/>
      <c r="X982" s="3"/>
      <c r="Y982" s="2"/>
      <c r="Z982" s="3"/>
    </row>
    <row r="983">
      <c r="A983" s="1"/>
      <c r="B983" s="1"/>
      <c r="C983" s="2"/>
      <c r="D983" s="3"/>
      <c r="E983" s="2"/>
      <c r="F983" s="3"/>
      <c r="G983" s="2"/>
      <c r="H983" s="3"/>
      <c r="I983" s="2"/>
      <c r="J983" s="3"/>
      <c r="K983" s="2"/>
      <c r="L983" s="3"/>
      <c r="M983" s="2"/>
      <c r="N983" s="3"/>
      <c r="O983" s="2"/>
      <c r="P983" s="3"/>
      <c r="Q983" s="2"/>
      <c r="R983" s="3"/>
      <c r="S983" s="2"/>
      <c r="T983" s="3"/>
      <c r="U983" s="2"/>
      <c r="V983" s="3"/>
      <c r="W983" s="2"/>
      <c r="X983" s="3"/>
      <c r="Y983" s="2"/>
      <c r="Z983" s="3"/>
    </row>
    <row r="984">
      <c r="A984" s="1"/>
      <c r="B984" s="1"/>
      <c r="C984" s="2"/>
      <c r="D984" s="3"/>
      <c r="E984" s="2"/>
      <c r="F984" s="3"/>
      <c r="G984" s="2"/>
      <c r="H984" s="3"/>
      <c r="I984" s="2"/>
      <c r="J984" s="3"/>
      <c r="K984" s="2"/>
      <c r="L984" s="3"/>
      <c r="M984" s="2"/>
      <c r="N984" s="3"/>
      <c r="O984" s="2"/>
      <c r="P984" s="3"/>
      <c r="Q984" s="2"/>
      <c r="R984" s="3"/>
      <c r="S984" s="2"/>
      <c r="T984" s="3"/>
      <c r="U984" s="2"/>
      <c r="V984" s="3"/>
      <c r="W984" s="2"/>
      <c r="X984" s="3"/>
      <c r="Y984" s="2"/>
      <c r="Z984" s="3"/>
    </row>
    <row r="985">
      <c r="A985" s="1"/>
      <c r="B985" s="1"/>
      <c r="C985" s="2"/>
      <c r="D985" s="3"/>
      <c r="E985" s="2"/>
      <c r="F985" s="3"/>
      <c r="G985" s="2"/>
      <c r="H985" s="3"/>
      <c r="I985" s="2"/>
      <c r="J985" s="3"/>
      <c r="K985" s="2"/>
      <c r="L985" s="3"/>
      <c r="M985" s="2"/>
      <c r="N985" s="3"/>
      <c r="O985" s="2"/>
      <c r="P985" s="3"/>
      <c r="Q985" s="2"/>
      <c r="R985" s="3"/>
      <c r="S985" s="2"/>
      <c r="T985" s="3"/>
      <c r="U985" s="2"/>
      <c r="V985" s="3"/>
      <c r="W985" s="2"/>
      <c r="X985" s="3"/>
      <c r="Y985" s="2"/>
      <c r="Z985" s="3"/>
    </row>
    <row r="986">
      <c r="A986" s="1"/>
      <c r="B986" s="1"/>
      <c r="C986" s="2"/>
      <c r="D986" s="3"/>
      <c r="E986" s="2"/>
      <c r="F986" s="3"/>
      <c r="G986" s="2"/>
      <c r="H986" s="3"/>
      <c r="I986" s="2"/>
      <c r="J986" s="3"/>
      <c r="K986" s="2"/>
      <c r="L986" s="3"/>
      <c r="M986" s="2"/>
      <c r="N986" s="3"/>
      <c r="O986" s="2"/>
      <c r="P986" s="3"/>
      <c r="Q986" s="2"/>
      <c r="R986" s="3"/>
      <c r="S986" s="2"/>
      <c r="T986" s="3"/>
      <c r="U986" s="2"/>
      <c r="V986" s="3"/>
      <c r="W986" s="2"/>
      <c r="X986" s="3"/>
      <c r="Y986" s="2"/>
      <c r="Z986" s="3"/>
    </row>
    <row r="987">
      <c r="A987" s="1"/>
      <c r="B987" s="1"/>
      <c r="C987" s="2"/>
      <c r="D987" s="3"/>
      <c r="E987" s="2"/>
      <c r="F987" s="3"/>
      <c r="G987" s="2"/>
      <c r="H987" s="3"/>
      <c r="I987" s="2"/>
      <c r="J987" s="3"/>
      <c r="K987" s="2"/>
      <c r="L987" s="3"/>
      <c r="M987" s="2"/>
      <c r="N987" s="3"/>
      <c r="O987" s="2"/>
      <c r="P987" s="3"/>
      <c r="Q987" s="2"/>
      <c r="R987" s="3"/>
      <c r="S987" s="2"/>
      <c r="T987" s="3"/>
      <c r="U987" s="2"/>
      <c r="V987" s="3"/>
      <c r="W987" s="2"/>
      <c r="X987" s="3"/>
      <c r="Y987" s="2"/>
      <c r="Z987" s="3"/>
    </row>
    <row r="988">
      <c r="A988" s="1"/>
      <c r="B988" s="1"/>
      <c r="C988" s="2"/>
      <c r="D988" s="3"/>
      <c r="E988" s="2"/>
      <c r="F988" s="3"/>
      <c r="G988" s="2"/>
      <c r="H988" s="3"/>
      <c r="I988" s="2"/>
      <c r="J988" s="3"/>
      <c r="K988" s="2"/>
      <c r="L988" s="3"/>
      <c r="M988" s="2"/>
      <c r="N988" s="3"/>
      <c r="O988" s="2"/>
      <c r="P988" s="3"/>
      <c r="Q988" s="2"/>
      <c r="R988" s="3"/>
      <c r="S988" s="2"/>
      <c r="T988" s="3"/>
      <c r="U988" s="2"/>
      <c r="V988" s="3"/>
      <c r="W988" s="2"/>
      <c r="X988" s="3"/>
      <c r="Y988" s="2"/>
      <c r="Z988" s="3"/>
    </row>
    <row r="989">
      <c r="A989" s="1"/>
      <c r="B989" s="1"/>
      <c r="C989" s="2"/>
      <c r="D989" s="3"/>
      <c r="E989" s="2"/>
      <c r="F989" s="3"/>
      <c r="G989" s="2"/>
      <c r="H989" s="3"/>
      <c r="I989" s="2"/>
      <c r="J989" s="3"/>
      <c r="K989" s="2"/>
      <c r="L989" s="3"/>
      <c r="M989" s="2"/>
      <c r="N989" s="3"/>
      <c r="O989" s="2"/>
      <c r="P989" s="3"/>
      <c r="Q989" s="2"/>
      <c r="R989" s="3"/>
      <c r="S989" s="2"/>
      <c r="T989" s="3"/>
      <c r="U989" s="2"/>
      <c r="V989" s="3"/>
      <c r="W989" s="2"/>
      <c r="X989" s="3"/>
      <c r="Y989" s="2"/>
      <c r="Z989" s="3"/>
    </row>
    <row r="990">
      <c r="A990" s="1"/>
      <c r="B990" s="1"/>
      <c r="C990" s="2"/>
      <c r="D990" s="3"/>
      <c r="E990" s="2"/>
      <c r="F990" s="3"/>
      <c r="G990" s="2"/>
      <c r="H990" s="3"/>
      <c r="I990" s="2"/>
      <c r="J990" s="3"/>
      <c r="K990" s="2"/>
      <c r="L990" s="3"/>
      <c r="M990" s="2"/>
      <c r="N990" s="3"/>
      <c r="O990" s="2"/>
      <c r="P990" s="3"/>
      <c r="Q990" s="2"/>
      <c r="R990" s="3"/>
      <c r="S990" s="2"/>
      <c r="T990" s="3"/>
      <c r="U990" s="2"/>
      <c r="V990" s="3"/>
      <c r="W990" s="2"/>
      <c r="X990" s="3"/>
      <c r="Y990" s="2"/>
      <c r="Z990" s="3"/>
    </row>
    <row r="991">
      <c r="A991" s="1"/>
      <c r="B991" s="1"/>
      <c r="C991" s="2"/>
      <c r="D991" s="3"/>
      <c r="E991" s="2"/>
      <c r="F991" s="3"/>
      <c r="G991" s="2"/>
      <c r="H991" s="3"/>
      <c r="I991" s="2"/>
      <c r="J991" s="3"/>
      <c r="K991" s="2"/>
      <c r="L991" s="3"/>
      <c r="M991" s="2"/>
      <c r="N991" s="3"/>
      <c r="O991" s="2"/>
      <c r="P991" s="3"/>
      <c r="Q991" s="2"/>
      <c r="R991" s="3"/>
      <c r="S991" s="2"/>
      <c r="T991" s="3"/>
      <c r="U991" s="2"/>
      <c r="V991" s="3"/>
      <c r="W991" s="2"/>
      <c r="X991" s="3"/>
      <c r="Y991" s="2"/>
      <c r="Z991" s="3"/>
    </row>
    <row r="992">
      <c r="A992" s="1"/>
      <c r="B992" s="1"/>
      <c r="C992" s="2"/>
      <c r="D992" s="3"/>
      <c r="E992" s="2"/>
      <c r="F992" s="3"/>
      <c r="G992" s="2"/>
      <c r="H992" s="3"/>
      <c r="I992" s="2"/>
      <c r="J992" s="3"/>
      <c r="K992" s="2"/>
      <c r="L992" s="3"/>
      <c r="M992" s="2"/>
      <c r="N992" s="3"/>
      <c r="O992" s="2"/>
      <c r="P992" s="3"/>
      <c r="Q992" s="2"/>
      <c r="R992" s="3"/>
      <c r="S992" s="2"/>
      <c r="T992" s="3"/>
      <c r="U992" s="2"/>
      <c r="V992" s="3"/>
      <c r="W992" s="2"/>
      <c r="X992" s="3"/>
      <c r="Y992" s="2"/>
      <c r="Z992" s="3"/>
    </row>
    <row r="993">
      <c r="A993" s="1"/>
      <c r="B993" s="1"/>
      <c r="C993" s="2"/>
      <c r="D993" s="3"/>
      <c r="E993" s="2"/>
      <c r="F993" s="3"/>
      <c r="G993" s="2"/>
      <c r="H993" s="3"/>
      <c r="I993" s="2"/>
      <c r="J993" s="3"/>
      <c r="K993" s="2"/>
      <c r="L993" s="3"/>
      <c r="M993" s="2"/>
      <c r="N993" s="3"/>
      <c r="O993" s="2"/>
      <c r="P993" s="3"/>
      <c r="Q993" s="2"/>
      <c r="R993" s="3"/>
      <c r="S993" s="2"/>
      <c r="T993" s="3"/>
      <c r="U993" s="2"/>
      <c r="V993" s="3"/>
      <c r="W993" s="2"/>
      <c r="X993" s="3"/>
      <c r="Y993" s="2"/>
      <c r="Z993" s="3"/>
    </row>
    <row r="994">
      <c r="A994" s="1"/>
      <c r="B994" s="1"/>
      <c r="C994" s="2"/>
      <c r="D994" s="3"/>
      <c r="E994" s="2"/>
      <c r="F994" s="3"/>
      <c r="G994" s="2"/>
      <c r="H994" s="3"/>
      <c r="I994" s="2"/>
      <c r="J994" s="3"/>
      <c r="K994" s="2"/>
      <c r="L994" s="3"/>
      <c r="M994" s="2"/>
      <c r="N994" s="3"/>
      <c r="O994" s="2"/>
      <c r="P994" s="3"/>
      <c r="Q994" s="2"/>
      <c r="R994" s="3"/>
      <c r="S994" s="2"/>
      <c r="T994" s="3"/>
      <c r="U994" s="2"/>
      <c r="V994" s="3"/>
      <c r="W994" s="2"/>
      <c r="X994" s="3"/>
      <c r="Y994" s="2"/>
      <c r="Z994" s="3"/>
    </row>
    <row r="995">
      <c r="A995" s="1"/>
      <c r="B995" s="1"/>
      <c r="C995" s="2"/>
      <c r="D995" s="3"/>
      <c r="E995" s="2"/>
      <c r="F995" s="3"/>
      <c r="G995" s="2"/>
      <c r="H995" s="3"/>
      <c r="I995" s="2"/>
      <c r="J995" s="3"/>
      <c r="K995" s="2"/>
      <c r="L995" s="3"/>
      <c r="M995" s="2"/>
      <c r="N995" s="3"/>
      <c r="O995" s="2"/>
      <c r="P995" s="3"/>
      <c r="Q995" s="2"/>
      <c r="R995" s="3"/>
      <c r="S995" s="2"/>
      <c r="T995" s="3"/>
      <c r="U995" s="2"/>
      <c r="V995" s="3"/>
      <c r="W995" s="2"/>
      <c r="X995" s="3"/>
      <c r="Y995" s="2"/>
      <c r="Z995" s="3"/>
    </row>
    <row r="996">
      <c r="A996" s="1"/>
      <c r="B996" s="1"/>
      <c r="C996" s="2"/>
      <c r="D996" s="3"/>
      <c r="E996" s="2"/>
      <c r="F996" s="3"/>
      <c r="G996" s="2"/>
      <c r="H996" s="3"/>
      <c r="I996" s="2"/>
      <c r="J996" s="3"/>
      <c r="K996" s="2"/>
      <c r="L996" s="3"/>
      <c r="M996" s="2"/>
      <c r="N996" s="3"/>
      <c r="O996" s="2"/>
      <c r="P996" s="3"/>
      <c r="Q996" s="2"/>
      <c r="R996" s="3"/>
      <c r="S996" s="2"/>
      <c r="T996" s="3"/>
      <c r="U996" s="2"/>
      <c r="V996" s="3"/>
      <c r="W996" s="2"/>
      <c r="X996" s="3"/>
      <c r="Y996" s="2"/>
      <c r="Z996" s="3"/>
    </row>
    <row r="997">
      <c r="A997" s="1"/>
      <c r="B997" s="1"/>
      <c r="C997" s="2"/>
      <c r="D997" s="3"/>
      <c r="E997" s="2"/>
      <c r="F997" s="3"/>
      <c r="G997" s="2"/>
      <c r="H997" s="3"/>
      <c r="I997" s="2"/>
      <c r="J997" s="3"/>
      <c r="K997" s="2"/>
      <c r="L997" s="3"/>
      <c r="M997" s="2"/>
      <c r="N997" s="3"/>
      <c r="O997" s="2"/>
      <c r="P997" s="3"/>
      <c r="Q997" s="2"/>
      <c r="R997" s="3"/>
      <c r="S997" s="2"/>
      <c r="T997" s="3"/>
      <c r="U997" s="2"/>
      <c r="V997" s="3"/>
      <c r="W997" s="2"/>
      <c r="X997" s="3"/>
      <c r="Y997" s="2"/>
      <c r="Z997" s="3"/>
    </row>
    <row r="998">
      <c r="A998" s="1"/>
      <c r="B998" s="1"/>
      <c r="C998" s="2"/>
      <c r="D998" s="3"/>
      <c r="E998" s="2"/>
      <c r="F998" s="3"/>
      <c r="G998" s="2"/>
      <c r="H998" s="3"/>
      <c r="I998" s="2"/>
      <c r="J998" s="3"/>
      <c r="K998" s="2"/>
      <c r="L998" s="3"/>
      <c r="M998" s="2"/>
      <c r="N998" s="3"/>
      <c r="O998" s="2"/>
      <c r="P998" s="3"/>
      <c r="Q998" s="2"/>
      <c r="R998" s="3"/>
      <c r="S998" s="2"/>
      <c r="T998" s="3"/>
      <c r="U998" s="2"/>
      <c r="V998" s="3"/>
      <c r="W998" s="2"/>
      <c r="X998" s="3"/>
      <c r="Y998" s="2"/>
      <c r="Z998" s="3"/>
    </row>
    <row r="999">
      <c r="A999" s="1"/>
      <c r="B999" s="1"/>
      <c r="C999" s="2"/>
      <c r="D999" s="3"/>
      <c r="E999" s="2"/>
      <c r="F999" s="3"/>
      <c r="G999" s="2"/>
      <c r="H999" s="3"/>
      <c r="I999" s="2"/>
      <c r="J999" s="3"/>
      <c r="K999" s="2"/>
      <c r="L999" s="3"/>
      <c r="M999" s="2"/>
      <c r="N999" s="3"/>
      <c r="O999" s="2"/>
      <c r="P999" s="3"/>
      <c r="Q999" s="2"/>
      <c r="R999" s="3"/>
      <c r="S999" s="2"/>
      <c r="T999" s="3"/>
      <c r="U999" s="2"/>
      <c r="V999" s="3"/>
      <c r="W999" s="2"/>
      <c r="X999" s="3"/>
      <c r="Y999" s="2"/>
      <c r="Z999" s="3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18.0"/>
    <col customWidth="1" min="4" max="5" width="11.0"/>
    <col customWidth="1" min="6" max="6" width="16.0"/>
    <col customWidth="1" min="7" max="7" width="8.0"/>
    <col customWidth="1" min="8" max="8" width="30.0"/>
    <col customWidth="1" min="9" max="9" width="8.0"/>
    <col customWidth="1" min="10" max="10" width="6.0"/>
    <col customWidth="1" min="11" max="18" width="12.0"/>
    <col customWidth="1" min="19" max="20" width="8.0"/>
    <col customWidth="1" min="21" max="21" width="6.0"/>
    <col customWidth="1" min="22" max="22" width="14.0"/>
  </cols>
  <sheetData>
    <row r="1" ht="19.5" customHeight="1">
      <c r="A1" s="148" t="s">
        <v>72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50"/>
      <c r="X1" s="151"/>
      <c r="Y1" s="151"/>
      <c r="Z1" s="151"/>
    </row>
    <row r="2" ht="36.0" customHeight="1">
      <c r="A2" s="152" t="s">
        <v>73</v>
      </c>
      <c r="B2" s="153" t="s">
        <v>74</v>
      </c>
      <c r="C2" s="153" t="s">
        <v>75</v>
      </c>
      <c r="D2" s="153" t="s">
        <v>76</v>
      </c>
      <c r="E2" s="153" t="s">
        <v>77</v>
      </c>
      <c r="F2" s="152" t="s">
        <v>78</v>
      </c>
      <c r="G2" s="153" t="s">
        <v>79</v>
      </c>
      <c r="H2" s="153" t="s">
        <v>80</v>
      </c>
      <c r="I2" s="153" t="s">
        <v>81</v>
      </c>
      <c r="J2" s="153" t="s">
        <v>82</v>
      </c>
      <c r="K2" s="153" t="s">
        <v>83</v>
      </c>
      <c r="L2" s="153" t="s">
        <v>84</v>
      </c>
      <c r="M2" s="153" t="s">
        <v>85</v>
      </c>
      <c r="N2" s="153" t="s">
        <v>86</v>
      </c>
      <c r="O2" s="153" t="s">
        <v>87</v>
      </c>
      <c r="P2" s="153" t="s">
        <v>88</v>
      </c>
      <c r="Q2" s="153" t="s">
        <v>89</v>
      </c>
      <c r="R2" s="153" t="s">
        <v>90</v>
      </c>
      <c r="S2" s="153" t="s">
        <v>91</v>
      </c>
      <c r="T2" s="153" t="s">
        <v>92</v>
      </c>
      <c r="U2" s="153" t="s">
        <v>93</v>
      </c>
      <c r="V2" s="153" t="s">
        <v>94</v>
      </c>
      <c r="W2" s="154" t="s">
        <v>95</v>
      </c>
      <c r="X2" s="155" t="s">
        <v>96</v>
      </c>
      <c r="Y2" s="155" t="s">
        <v>97</v>
      </c>
      <c r="Z2" s="155" t="s">
        <v>98</v>
      </c>
    </row>
    <row r="3" ht="15.0" customHeight="1">
      <c r="A3" s="156">
        <v>1.0</v>
      </c>
      <c r="B3" s="157" t="s">
        <v>99</v>
      </c>
      <c r="C3" s="158" t="s">
        <v>100</v>
      </c>
      <c r="D3" s="158" t="s">
        <v>101</v>
      </c>
      <c r="E3" s="158"/>
      <c r="F3" s="158" t="s">
        <v>102</v>
      </c>
      <c r="G3" s="158" t="s">
        <v>103</v>
      </c>
      <c r="H3" s="158" t="s">
        <v>104</v>
      </c>
      <c r="I3" s="159" t="s">
        <v>105</v>
      </c>
      <c r="J3" s="158" t="s">
        <v>106</v>
      </c>
      <c r="K3" s="160">
        <v>10.39</v>
      </c>
      <c r="L3" s="161">
        <v>14334.0</v>
      </c>
      <c r="M3" s="160">
        <v>1.55</v>
      </c>
      <c r="N3" s="161">
        <v>2138.0</v>
      </c>
      <c r="O3" s="160">
        <v>1.05</v>
      </c>
      <c r="P3" s="161">
        <v>1448.0</v>
      </c>
      <c r="Q3" s="162">
        <f t="shared" ref="Q3:R3" si="1">M3-O3</f>
        <v>0.5</v>
      </c>
      <c r="R3" s="163">
        <f t="shared" si="1"/>
        <v>690</v>
      </c>
      <c r="S3" s="164">
        <v>1379.6</v>
      </c>
      <c r="T3" s="165">
        <v>15.0</v>
      </c>
      <c r="U3" s="166" t="s">
        <v>107</v>
      </c>
      <c r="V3" s="166"/>
      <c r="W3" s="167"/>
      <c r="X3" s="168">
        <f t="shared" ref="X3:X201" si="3">IFERROR(R3/L3,0)</f>
        <v>0.04813729594</v>
      </c>
      <c r="Y3" s="168">
        <f t="shared" ref="Y3:Y201" si="4">MAX(0,0.14-X3)</f>
        <v>0.09186270406</v>
      </c>
      <c r="Z3" s="169">
        <f t="shared" ref="Z3:Z98" si="5">IFERROR(ROUND(L3*Y3,-1),0)</f>
        <v>1320</v>
      </c>
    </row>
    <row r="4" ht="15.0" customHeight="1">
      <c r="A4" s="156">
        <v>2.0</v>
      </c>
      <c r="B4" s="157" t="s">
        <v>99</v>
      </c>
      <c r="C4" s="158" t="s">
        <v>100</v>
      </c>
      <c r="D4" s="158" t="s">
        <v>108</v>
      </c>
      <c r="E4" s="158"/>
      <c r="F4" s="158" t="s">
        <v>102</v>
      </c>
      <c r="G4" s="158" t="s">
        <v>103</v>
      </c>
      <c r="H4" s="158" t="s">
        <v>109</v>
      </c>
      <c r="I4" s="159" t="s">
        <v>105</v>
      </c>
      <c r="J4" s="158" t="s">
        <v>106</v>
      </c>
      <c r="K4" s="160">
        <v>41.84</v>
      </c>
      <c r="L4" s="161">
        <v>57944.0</v>
      </c>
      <c r="M4" s="160">
        <v>6.28</v>
      </c>
      <c r="N4" s="161">
        <v>8697.0</v>
      </c>
      <c r="O4" s="160">
        <v>4.26</v>
      </c>
      <c r="P4" s="161">
        <v>5899.0</v>
      </c>
      <c r="Q4" s="162">
        <f t="shared" ref="Q4:R4" si="2">M4-O4</f>
        <v>2.02</v>
      </c>
      <c r="R4" s="163">
        <f t="shared" si="2"/>
        <v>2798</v>
      </c>
      <c r="S4" s="164">
        <v>1384.9</v>
      </c>
      <c r="T4" s="165">
        <v>15.0</v>
      </c>
      <c r="U4" s="166" t="s">
        <v>107</v>
      </c>
      <c r="V4" s="166"/>
      <c r="W4" s="167"/>
      <c r="X4" s="168">
        <f t="shared" si="3"/>
        <v>0.04828800221</v>
      </c>
      <c r="Y4" s="168">
        <f t="shared" si="4"/>
        <v>0.09171199779</v>
      </c>
      <c r="Z4" s="169">
        <f t="shared" si="5"/>
        <v>5310</v>
      </c>
    </row>
    <row r="5" ht="15.0" customHeight="1">
      <c r="A5" s="156">
        <v>3.0</v>
      </c>
      <c r="B5" s="157" t="s">
        <v>99</v>
      </c>
      <c r="C5" s="158" t="s">
        <v>100</v>
      </c>
      <c r="D5" s="158" t="s">
        <v>110</v>
      </c>
      <c r="E5" s="158"/>
      <c r="F5" s="158" t="s">
        <v>102</v>
      </c>
      <c r="G5" s="158" t="s">
        <v>103</v>
      </c>
      <c r="H5" s="158" t="s">
        <v>111</v>
      </c>
      <c r="I5" s="159" t="s">
        <v>105</v>
      </c>
      <c r="J5" s="158" t="s">
        <v>106</v>
      </c>
      <c r="K5" s="160">
        <v>43.43</v>
      </c>
      <c r="L5" s="161">
        <v>60193.0</v>
      </c>
      <c r="M5" s="160">
        <v>6.52</v>
      </c>
      <c r="N5" s="161">
        <v>9036.0</v>
      </c>
      <c r="O5" s="160">
        <v>4.42</v>
      </c>
      <c r="P5" s="161">
        <v>6126.0</v>
      </c>
      <c r="Q5" s="162">
        <f t="shared" ref="Q5:R5" si="6">M5-O5</f>
        <v>2.1</v>
      </c>
      <c r="R5" s="163">
        <f t="shared" si="6"/>
        <v>2910</v>
      </c>
      <c r="S5" s="164">
        <v>1386.0</v>
      </c>
      <c r="T5" s="165">
        <v>15.0</v>
      </c>
      <c r="U5" s="166" t="s">
        <v>107</v>
      </c>
      <c r="V5" s="166"/>
      <c r="W5" s="167"/>
      <c r="X5" s="168">
        <f t="shared" si="3"/>
        <v>0.04834449188</v>
      </c>
      <c r="Y5" s="168">
        <f t="shared" si="4"/>
        <v>0.09165550812</v>
      </c>
      <c r="Z5" s="169">
        <f t="shared" si="5"/>
        <v>5520</v>
      </c>
    </row>
    <row r="6" ht="15.0" customHeight="1">
      <c r="A6" s="156">
        <v>4.0</v>
      </c>
      <c r="B6" s="157" t="s">
        <v>99</v>
      </c>
      <c r="C6" s="158" t="s">
        <v>100</v>
      </c>
      <c r="D6" s="158" t="s">
        <v>112</v>
      </c>
      <c r="E6" s="158"/>
      <c r="F6" s="158" t="s">
        <v>102</v>
      </c>
      <c r="G6" s="158" t="s">
        <v>103</v>
      </c>
      <c r="H6" s="158" t="s">
        <v>113</v>
      </c>
      <c r="I6" s="159" t="s">
        <v>105</v>
      </c>
      <c r="J6" s="158" t="s">
        <v>106</v>
      </c>
      <c r="K6" s="160">
        <v>44.17</v>
      </c>
      <c r="L6" s="161">
        <v>61051.0</v>
      </c>
      <c r="M6" s="160">
        <v>6.63</v>
      </c>
      <c r="N6" s="161">
        <v>9163.0</v>
      </c>
      <c r="O6" s="160">
        <v>4.5</v>
      </c>
      <c r="P6" s="161">
        <v>6219.0</v>
      </c>
      <c r="Q6" s="162">
        <f t="shared" ref="Q6:R6" si="7">M6-O6</f>
        <v>2.13</v>
      </c>
      <c r="R6" s="163">
        <f t="shared" si="7"/>
        <v>2944</v>
      </c>
      <c r="S6" s="164">
        <v>1382.2</v>
      </c>
      <c r="T6" s="165">
        <v>15.0</v>
      </c>
      <c r="U6" s="166" t="s">
        <v>107</v>
      </c>
      <c r="V6" s="166"/>
      <c r="W6" s="167"/>
      <c r="X6" s="168">
        <f t="shared" si="3"/>
        <v>0.04822197835</v>
      </c>
      <c r="Y6" s="168">
        <f t="shared" si="4"/>
        <v>0.09177802165</v>
      </c>
      <c r="Z6" s="169">
        <f t="shared" si="5"/>
        <v>5600</v>
      </c>
    </row>
    <row r="7" ht="15.0" customHeight="1">
      <c r="A7" s="156">
        <v>5.0</v>
      </c>
      <c r="B7" s="157" t="s">
        <v>99</v>
      </c>
      <c r="C7" s="158" t="s">
        <v>100</v>
      </c>
      <c r="D7" s="158" t="s">
        <v>114</v>
      </c>
      <c r="E7" s="158"/>
      <c r="F7" s="158" t="s">
        <v>115</v>
      </c>
      <c r="G7" s="158" t="s">
        <v>116</v>
      </c>
      <c r="H7" s="158" t="s">
        <v>117</v>
      </c>
      <c r="I7" s="159" t="s">
        <v>105</v>
      </c>
      <c r="J7" s="158" t="s">
        <v>106</v>
      </c>
      <c r="K7" s="160">
        <v>105.92</v>
      </c>
      <c r="L7" s="161">
        <v>147419.0</v>
      </c>
      <c r="M7" s="160">
        <v>15.89</v>
      </c>
      <c r="N7" s="161">
        <v>22115.0</v>
      </c>
      <c r="O7" s="160">
        <v>0.61</v>
      </c>
      <c r="P7" s="161">
        <v>848.0</v>
      </c>
      <c r="Q7" s="162">
        <f t="shared" ref="Q7:R7" si="8">M7-O7</f>
        <v>15.28</v>
      </c>
      <c r="R7" s="163">
        <f t="shared" si="8"/>
        <v>21267</v>
      </c>
      <c r="S7" s="164">
        <v>1391.8</v>
      </c>
      <c r="T7" s="165">
        <v>15.0</v>
      </c>
      <c r="U7" s="166" t="s">
        <v>107</v>
      </c>
      <c r="V7" s="166"/>
      <c r="W7" s="167"/>
      <c r="X7" s="168">
        <f t="shared" si="3"/>
        <v>0.1442622728</v>
      </c>
      <c r="Y7" s="168">
        <f t="shared" si="4"/>
        <v>0</v>
      </c>
      <c r="Z7" s="169">
        <f t="shared" si="5"/>
        <v>0</v>
      </c>
    </row>
    <row r="8" ht="15.0" customHeight="1">
      <c r="A8" s="170">
        <v>1.0</v>
      </c>
      <c r="B8" s="171" t="s">
        <v>118</v>
      </c>
      <c r="C8" s="172" t="s">
        <v>119</v>
      </c>
      <c r="D8" s="172" t="s">
        <v>120</v>
      </c>
      <c r="E8" s="172" t="s">
        <v>121</v>
      </c>
      <c r="F8" s="172"/>
      <c r="G8" s="172" t="s">
        <v>116</v>
      </c>
      <c r="H8" s="172" t="s">
        <v>117</v>
      </c>
      <c r="I8" s="173" t="s">
        <v>105</v>
      </c>
      <c r="J8" s="172" t="s">
        <v>106</v>
      </c>
      <c r="K8" s="174">
        <v>1410.29</v>
      </c>
      <c r="L8" s="175">
        <v>2073126.0</v>
      </c>
      <c r="M8" s="174">
        <v>211.54</v>
      </c>
      <c r="N8" s="175">
        <v>310963.0</v>
      </c>
      <c r="O8" s="174">
        <v>0.0</v>
      </c>
      <c r="P8" s="175">
        <v>0.0</v>
      </c>
      <c r="Q8" s="176">
        <f t="shared" ref="Q8:R8" si="9">M8-O8</f>
        <v>211.54</v>
      </c>
      <c r="R8" s="177">
        <f t="shared" si="9"/>
        <v>310963</v>
      </c>
      <c r="S8" s="178">
        <v>1470.0</v>
      </c>
      <c r="T8" s="179">
        <v>15.0</v>
      </c>
      <c r="U8" s="180" t="s">
        <v>107</v>
      </c>
      <c r="V8" s="180"/>
      <c r="W8" s="167"/>
      <c r="X8" s="168">
        <f t="shared" si="3"/>
        <v>0.1499971541</v>
      </c>
      <c r="Y8" s="168">
        <f t="shared" si="4"/>
        <v>0</v>
      </c>
      <c r="Z8" s="169">
        <f t="shared" si="5"/>
        <v>0</v>
      </c>
    </row>
    <row r="9" ht="15.0" customHeight="1">
      <c r="A9" s="170">
        <v>2.0</v>
      </c>
      <c r="B9" s="171" t="s">
        <v>118</v>
      </c>
      <c r="C9" s="172" t="s">
        <v>119</v>
      </c>
      <c r="D9" s="172" t="s">
        <v>122</v>
      </c>
      <c r="E9" s="172" t="s">
        <v>122</v>
      </c>
      <c r="F9" s="172"/>
      <c r="G9" s="172" t="s">
        <v>123</v>
      </c>
      <c r="H9" s="172" t="s">
        <v>124</v>
      </c>
      <c r="I9" s="173" t="s">
        <v>105</v>
      </c>
      <c r="J9" s="172" t="s">
        <v>106</v>
      </c>
      <c r="K9" s="174">
        <v>0.52</v>
      </c>
      <c r="L9" s="175">
        <v>763.0</v>
      </c>
      <c r="M9" s="174">
        <v>0.07</v>
      </c>
      <c r="N9" s="175">
        <v>102.0</v>
      </c>
      <c r="O9" s="174">
        <v>0.0</v>
      </c>
      <c r="P9" s="175">
        <v>0.0</v>
      </c>
      <c r="Q9" s="176">
        <f t="shared" ref="Q9:R9" si="10">M9-O9</f>
        <v>0.07</v>
      </c>
      <c r="R9" s="177">
        <f t="shared" si="10"/>
        <v>102</v>
      </c>
      <c r="S9" s="178">
        <v>1468.3</v>
      </c>
      <c r="T9" s="179">
        <v>15.0</v>
      </c>
      <c r="U9" s="180" t="s">
        <v>107</v>
      </c>
      <c r="V9" s="180"/>
      <c r="W9" s="167"/>
      <c r="X9" s="168">
        <f t="shared" si="3"/>
        <v>0.1336828309</v>
      </c>
      <c r="Y9" s="168">
        <f t="shared" si="4"/>
        <v>0.006317169069</v>
      </c>
      <c r="Z9" s="169">
        <f t="shared" si="5"/>
        <v>0</v>
      </c>
    </row>
    <row r="10" ht="15.0" customHeight="1">
      <c r="A10" s="170">
        <v>3.0</v>
      </c>
      <c r="B10" s="171" t="s">
        <v>118</v>
      </c>
      <c r="C10" s="172" t="s">
        <v>119</v>
      </c>
      <c r="D10" s="172" t="s">
        <v>125</v>
      </c>
      <c r="E10" s="172" t="s">
        <v>126</v>
      </c>
      <c r="F10" s="172"/>
      <c r="G10" s="172" t="s">
        <v>127</v>
      </c>
      <c r="H10" s="172" t="s">
        <v>128</v>
      </c>
      <c r="I10" s="173" t="s">
        <v>105</v>
      </c>
      <c r="J10" s="172" t="s">
        <v>106</v>
      </c>
      <c r="K10" s="174">
        <v>398.95</v>
      </c>
      <c r="L10" s="175">
        <v>579674.0</v>
      </c>
      <c r="M10" s="174">
        <v>59.85</v>
      </c>
      <c r="N10" s="175">
        <v>86962.0</v>
      </c>
      <c r="O10" s="174">
        <v>0.0</v>
      </c>
      <c r="P10" s="175">
        <v>0.0</v>
      </c>
      <c r="Q10" s="176">
        <f t="shared" ref="Q10:R10" si="11">M10-O10</f>
        <v>59.85</v>
      </c>
      <c r="R10" s="177">
        <f t="shared" si="11"/>
        <v>86962</v>
      </c>
      <c r="S10" s="178">
        <v>1453.0</v>
      </c>
      <c r="T10" s="179">
        <v>15.0</v>
      </c>
      <c r="U10" s="180" t="s">
        <v>107</v>
      </c>
      <c r="V10" s="180"/>
      <c r="W10" s="167"/>
      <c r="X10" s="168">
        <f t="shared" si="3"/>
        <v>0.1500188037</v>
      </c>
      <c r="Y10" s="168">
        <f t="shared" si="4"/>
        <v>0</v>
      </c>
      <c r="Z10" s="169">
        <f t="shared" si="5"/>
        <v>0</v>
      </c>
    </row>
    <row r="11" ht="15.0" customHeight="1">
      <c r="A11" s="170">
        <v>4.0</v>
      </c>
      <c r="B11" s="171" t="s">
        <v>118</v>
      </c>
      <c r="C11" s="172" t="s">
        <v>119</v>
      </c>
      <c r="D11" s="172" t="s">
        <v>129</v>
      </c>
      <c r="E11" s="172" t="s">
        <v>129</v>
      </c>
      <c r="F11" s="172"/>
      <c r="G11" s="172" t="s">
        <v>116</v>
      </c>
      <c r="H11" s="172" t="s">
        <v>117</v>
      </c>
      <c r="I11" s="173" t="s">
        <v>105</v>
      </c>
      <c r="J11" s="172" t="s">
        <v>106</v>
      </c>
      <c r="K11" s="174">
        <v>355.06</v>
      </c>
      <c r="L11" s="175">
        <v>513807.0</v>
      </c>
      <c r="M11" s="174">
        <v>53.26</v>
      </c>
      <c r="N11" s="175">
        <v>77072.0</v>
      </c>
      <c r="O11" s="174">
        <v>0.0</v>
      </c>
      <c r="P11" s="175">
        <v>0.0</v>
      </c>
      <c r="Q11" s="176">
        <f t="shared" ref="Q11:R11" si="12">M11-O11</f>
        <v>53.26</v>
      </c>
      <c r="R11" s="177">
        <f t="shared" si="12"/>
        <v>77072</v>
      </c>
      <c r="S11" s="178">
        <v>1447.1</v>
      </c>
      <c r="T11" s="179">
        <v>15.0</v>
      </c>
      <c r="U11" s="180" t="s">
        <v>107</v>
      </c>
      <c r="V11" s="180"/>
      <c r="W11" s="167"/>
      <c r="X11" s="168">
        <f t="shared" si="3"/>
        <v>0.1500018489</v>
      </c>
      <c r="Y11" s="168">
        <f t="shared" si="4"/>
        <v>0</v>
      </c>
      <c r="Z11" s="169">
        <f t="shared" si="5"/>
        <v>0</v>
      </c>
    </row>
    <row r="12" ht="15.0" customHeight="1">
      <c r="A12" s="170">
        <v>5.0</v>
      </c>
      <c r="B12" s="171" t="s">
        <v>118</v>
      </c>
      <c r="C12" s="172" t="s">
        <v>119</v>
      </c>
      <c r="D12" s="172" t="s">
        <v>130</v>
      </c>
      <c r="E12" s="172" t="s">
        <v>129</v>
      </c>
      <c r="F12" s="172"/>
      <c r="G12" s="172" t="s">
        <v>131</v>
      </c>
      <c r="H12" s="172" t="s">
        <v>132</v>
      </c>
      <c r="I12" s="173" t="s">
        <v>105</v>
      </c>
      <c r="J12" s="172" t="s">
        <v>106</v>
      </c>
      <c r="K12" s="174">
        <v>833.25</v>
      </c>
      <c r="L12" s="175">
        <v>1211128.0</v>
      </c>
      <c r="M12" s="174">
        <v>124.99</v>
      </c>
      <c r="N12" s="175">
        <v>181672.0</v>
      </c>
      <c r="O12" s="174">
        <v>0.0</v>
      </c>
      <c r="P12" s="175">
        <v>0.0</v>
      </c>
      <c r="Q12" s="176">
        <f t="shared" ref="Q12:R12" si="13">M12-O12</f>
        <v>124.99</v>
      </c>
      <c r="R12" s="177">
        <f t="shared" si="13"/>
        <v>181672</v>
      </c>
      <c r="S12" s="178">
        <v>1453.5</v>
      </c>
      <c r="T12" s="179">
        <v>15.0</v>
      </c>
      <c r="U12" s="180" t="s">
        <v>107</v>
      </c>
      <c r="V12" s="180"/>
      <c r="W12" s="167"/>
      <c r="X12" s="168">
        <f t="shared" si="3"/>
        <v>0.1500023119</v>
      </c>
      <c r="Y12" s="168">
        <f t="shared" si="4"/>
        <v>0</v>
      </c>
      <c r="Z12" s="169">
        <f t="shared" si="5"/>
        <v>0</v>
      </c>
    </row>
    <row r="13" ht="15.0" customHeight="1">
      <c r="A13" s="170">
        <v>6.0</v>
      </c>
      <c r="B13" s="171" t="s">
        <v>118</v>
      </c>
      <c r="C13" s="172" t="s">
        <v>119</v>
      </c>
      <c r="D13" s="172" t="s">
        <v>133</v>
      </c>
      <c r="E13" s="172" t="s">
        <v>134</v>
      </c>
      <c r="F13" s="172"/>
      <c r="G13" s="172" t="s">
        <v>135</v>
      </c>
      <c r="H13" s="172" t="s">
        <v>136</v>
      </c>
      <c r="I13" s="173" t="s">
        <v>105</v>
      </c>
      <c r="J13" s="172" t="s">
        <v>106</v>
      </c>
      <c r="K13" s="174">
        <v>1196.79</v>
      </c>
      <c r="L13" s="175">
        <v>1728045.0</v>
      </c>
      <c r="M13" s="174">
        <v>179.52</v>
      </c>
      <c r="N13" s="175">
        <v>259208.0</v>
      </c>
      <c r="O13" s="174">
        <v>0.0</v>
      </c>
      <c r="P13" s="175">
        <v>0.0</v>
      </c>
      <c r="Q13" s="176">
        <f t="shared" ref="Q13:R13" si="14">M13-O13</f>
        <v>179.52</v>
      </c>
      <c r="R13" s="177">
        <f t="shared" si="14"/>
        <v>259208</v>
      </c>
      <c r="S13" s="178">
        <v>1443.9</v>
      </c>
      <c r="T13" s="179">
        <v>15.0</v>
      </c>
      <c r="U13" s="180" t="s">
        <v>107</v>
      </c>
      <c r="V13" s="180"/>
      <c r="W13" s="167"/>
      <c r="X13" s="168">
        <f t="shared" si="3"/>
        <v>0.1500007234</v>
      </c>
      <c r="Y13" s="168">
        <f t="shared" si="4"/>
        <v>0</v>
      </c>
      <c r="Z13" s="169">
        <f t="shared" si="5"/>
        <v>0</v>
      </c>
    </row>
    <row r="14" ht="15.0" customHeight="1">
      <c r="A14" s="170">
        <v>7.0</v>
      </c>
      <c r="B14" s="171" t="s">
        <v>118</v>
      </c>
      <c r="C14" s="172" t="s">
        <v>119</v>
      </c>
      <c r="D14" s="172" t="s">
        <v>137</v>
      </c>
      <c r="E14" s="172" t="s">
        <v>138</v>
      </c>
      <c r="F14" s="172"/>
      <c r="G14" s="172" t="s">
        <v>139</v>
      </c>
      <c r="H14" s="172" t="s">
        <v>140</v>
      </c>
      <c r="I14" s="173" t="s">
        <v>105</v>
      </c>
      <c r="J14" s="172" t="s">
        <v>106</v>
      </c>
      <c r="K14" s="174">
        <v>468.66</v>
      </c>
      <c r="L14" s="175">
        <v>672105.0</v>
      </c>
      <c r="M14" s="174">
        <v>70.3</v>
      </c>
      <c r="N14" s="175">
        <v>100817.0</v>
      </c>
      <c r="O14" s="174">
        <v>0.0</v>
      </c>
      <c r="P14" s="175">
        <v>0.0</v>
      </c>
      <c r="Q14" s="176">
        <f t="shared" ref="Q14:R14" si="15">M14-O14</f>
        <v>70.3</v>
      </c>
      <c r="R14" s="177">
        <f t="shared" si="15"/>
        <v>100817</v>
      </c>
      <c r="S14" s="178">
        <v>1434.1</v>
      </c>
      <c r="T14" s="179">
        <v>15.0</v>
      </c>
      <c r="U14" s="180" t="s">
        <v>107</v>
      </c>
      <c r="V14" s="180"/>
      <c r="W14" s="167"/>
      <c r="X14" s="168">
        <f t="shared" si="3"/>
        <v>0.1500018598</v>
      </c>
      <c r="Y14" s="168">
        <f t="shared" si="4"/>
        <v>0</v>
      </c>
      <c r="Z14" s="169">
        <f t="shared" si="5"/>
        <v>0</v>
      </c>
    </row>
    <row r="15" ht="15.0" customHeight="1">
      <c r="A15" s="170">
        <v>8.0</v>
      </c>
      <c r="B15" s="171" t="s">
        <v>118</v>
      </c>
      <c r="C15" s="172" t="s">
        <v>119</v>
      </c>
      <c r="D15" s="172" t="s">
        <v>141</v>
      </c>
      <c r="E15" s="172" t="s">
        <v>142</v>
      </c>
      <c r="F15" s="172"/>
      <c r="G15" s="172" t="s">
        <v>143</v>
      </c>
      <c r="H15" s="172" t="s">
        <v>144</v>
      </c>
      <c r="I15" s="173" t="s">
        <v>105</v>
      </c>
      <c r="J15" s="172" t="s">
        <v>106</v>
      </c>
      <c r="K15" s="174">
        <v>20.02</v>
      </c>
      <c r="L15" s="175">
        <v>29203.0</v>
      </c>
      <c r="M15" s="174">
        <v>3.0</v>
      </c>
      <c r="N15" s="175">
        <v>4376.0</v>
      </c>
      <c r="O15" s="174">
        <v>0.0</v>
      </c>
      <c r="P15" s="175">
        <v>0.0</v>
      </c>
      <c r="Q15" s="176">
        <f t="shared" ref="Q15:R15" si="16">M15-O15</f>
        <v>3</v>
      </c>
      <c r="R15" s="177">
        <f t="shared" si="16"/>
        <v>4376</v>
      </c>
      <c r="S15" s="178">
        <v>1458.7</v>
      </c>
      <c r="T15" s="179">
        <v>15.0</v>
      </c>
      <c r="U15" s="180" t="s">
        <v>107</v>
      </c>
      <c r="V15" s="180"/>
      <c r="W15" s="167"/>
      <c r="X15" s="168">
        <f t="shared" si="3"/>
        <v>0.1498476184</v>
      </c>
      <c r="Y15" s="168">
        <f t="shared" si="4"/>
        <v>0</v>
      </c>
      <c r="Z15" s="169">
        <f t="shared" si="5"/>
        <v>0</v>
      </c>
    </row>
    <row r="16" ht="15.0" customHeight="1">
      <c r="A16" s="170">
        <v>9.0</v>
      </c>
      <c r="B16" s="171" t="s">
        <v>118</v>
      </c>
      <c r="C16" s="172" t="s">
        <v>119</v>
      </c>
      <c r="D16" s="172" t="s">
        <v>141</v>
      </c>
      <c r="E16" s="172" t="s">
        <v>142</v>
      </c>
      <c r="F16" s="172"/>
      <c r="G16" s="172" t="s">
        <v>127</v>
      </c>
      <c r="H16" s="172" t="s">
        <v>128</v>
      </c>
      <c r="I16" s="173" t="s">
        <v>105</v>
      </c>
      <c r="J16" s="172" t="s">
        <v>106</v>
      </c>
      <c r="K16" s="174">
        <v>77.36</v>
      </c>
      <c r="L16" s="175">
        <v>112845.0</v>
      </c>
      <c r="M16" s="174">
        <v>11.6</v>
      </c>
      <c r="N16" s="175">
        <v>16920.0</v>
      </c>
      <c r="O16" s="174">
        <v>0.0</v>
      </c>
      <c r="P16" s="175">
        <v>0.0</v>
      </c>
      <c r="Q16" s="176">
        <f t="shared" ref="Q16:R16" si="17">M16-O16</f>
        <v>11.6</v>
      </c>
      <c r="R16" s="177">
        <f t="shared" si="17"/>
        <v>16920</v>
      </c>
      <c r="S16" s="178">
        <v>1458.7</v>
      </c>
      <c r="T16" s="179">
        <v>15.0</v>
      </c>
      <c r="U16" s="180" t="s">
        <v>107</v>
      </c>
      <c r="V16" s="180"/>
      <c r="W16" s="167"/>
      <c r="X16" s="168">
        <f t="shared" si="3"/>
        <v>0.1499401834</v>
      </c>
      <c r="Y16" s="168">
        <f t="shared" si="4"/>
        <v>0</v>
      </c>
      <c r="Z16" s="169">
        <f t="shared" si="5"/>
        <v>0</v>
      </c>
    </row>
    <row r="17" ht="15.0" customHeight="1">
      <c r="A17" s="170">
        <v>10.0</v>
      </c>
      <c r="B17" s="171" t="s">
        <v>118</v>
      </c>
      <c r="C17" s="172" t="s">
        <v>119</v>
      </c>
      <c r="D17" s="172" t="s">
        <v>145</v>
      </c>
      <c r="E17" s="172" t="s">
        <v>145</v>
      </c>
      <c r="F17" s="172"/>
      <c r="G17" s="172" t="s">
        <v>116</v>
      </c>
      <c r="H17" s="172" t="s">
        <v>117</v>
      </c>
      <c r="I17" s="173" t="s">
        <v>105</v>
      </c>
      <c r="J17" s="172" t="s">
        <v>106</v>
      </c>
      <c r="K17" s="174">
        <v>486.89</v>
      </c>
      <c r="L17" s="175">
        <v>701900.0</v>
      </c>
      <c r="M17" s="174">
        <v>73.03</v>
      </c>
      <c r="N17" s="175">
        <v>105280.0</v>
      </c>
      <c r="O17" s="174">
        <v>0.0</v>
      </c>
      <c r="P17" s="175">
        <v>0.0</v>
      </c>
      <c r="Q17" s="176">
        <f t="shared" ref="Q17:R17" si="18">M17-O17</f>
        <v>73.03</v>
      </c>
      <c r="R17" s="177">
        <f t="shared" si="18"/>
        <v>105280</v>
      </c>
      <c r="S17" s="178">
        <v>1441.6</v>
      </c>
      <c r="T17" s="179">
        <v>15.0</v>
      </c>
      <c r="U17" s="180" t="s">
        <v>107</v>
      </c>
      <c r="V17" s="180"/>
      <c r="W17" s="167"/>
      <c r="X17" s="168">
        <f t="shared" si="3"/>
        <v>0.1499928765</v>
      </c>
      <c r="Y17" s="168">
        <f t="shared" si="4"/>
        <v>0</v>
      </c>
      <c r="Z17" s="169">
        <f t="shared" si="5"/>
        <v>0</v>
      </c>
    </row>
    <row r="18" ht="15.0" customHeight="1">
      <c r="A18" s="170">
        <v>11.0</v>
      </c>
      <c r="B18" s="171" t="s">
        <v>118</v>
      </c>
      <c r="C18" s="172" t="s">
        <v>119</v>
      </c>
      <c r="D18" s="172" t="s">
        <v>146</v>
      </c>
      <c r="E18" s="172" t="s">
        <v>145</v>
      </c>
      <c r="F18" s="172"/>
      <c r="G18" s="172" t="s">
        <v>131</v>
      </c>
      <c r="H18" s="172" t="s">
        <v>132</v>
      </c>
      <c r="I18" s="173" t="s">
        <v>105</v>
      </c>
      <c r="J18" s="172" t="s">
        <v>106</v>
      </c>
      <c r="K18" s="174">
        <v>476.73</v>
      </c>
      <c r="L18" s="175">
        <v>691973.0</v>
      </c>
      <c r="M18" s="174">
        <v>71.51</v>
      </c>
      <c r="N18" s="175">
        <v>103796.0</v>
      </c>
      <c r="O18" s="174">
        <v>0.0</v>
      </c>
      <c r="P18" s="175">
        <v>0.0</v>
      </c>
      <c r="Q18" s="176">
        <f t="shared" ref="Q18:R18" si="19">M18-O18</f>
        <v>71.51</v>
      </c>
      <c r="R18" s="177">
        <f t="shared" si="19"/>
        <v>103796</v>
      </c>
      <c r="S18" s="178">
        <v>1451.5</v>
      </c>
      <c r="T18" s="179">
        <v>15.0</v>
      </c>
      <c r="U18" s="180" t="s">
        <v>107</v>
      </c>
      <c r="V18" s="180"/>
      <c r="W18" s="167"/>
      <c r="X18" s="168">
        <f t="shared" si="3"/>
        <v>0.1500000723</v>
      </c>
      <c r="Y18" s="168">
        <f t="shared" si="4"/>
        <v>0</v>
      </c>
      <c r="Z18" s="169">
        <f t="shared" si="5"/>
        <v>0</v>
      </c>
    </row>
    <row r="19" ht="15.0" customHeight="1">
      <c r="A19" s="170">
        <v>12.0</v>
      </c>
      <c r="B19" s="171" t="s">
        <v>118</v>
      </c>
      <c r="C19" s="172" t="s">
        <v>119</v>
      </c>
      <c r="D19" s="172" t="s">
        <v>147</v>
      </c>
      <c r="E19" s="172"/>
      <c r="F19" s="172"/>
      <c r="G19" s="172" t="s">
        <v>148</v>
      </c>
      <c r="H19" s="172" t="s">
        <v>149</v>
      </c>
      <c r="I19" s="173" t="s">
        <v>105</v>
      </c>
      <c r="J19" s="172" t="s">
        <v>150</v>
      </c>
      <c r="K19" s="174">
        <v>0.0</v>
      </c>
      <c r="L19" s="175">
        <v>0.0</v>
      </c>
      <c r="M19" s="174">
        <v>0.0</v>
      </c>
      <c r="N19" s="175">
        <v>1.0</v>
      </c>
      <c r="O19" s="174">
        <v>0.0</v>
      </c>
      <c r="P19" s="175">
        <v>0.0</v>
      </c>
      <c r="Q19" s="176">
        <f t="shared" ref="Q19:R19" si="20">M19-O19</f>
        <v>0</v>
      </c>
      <c r="R19" s="177">
        <f t="shared" si="20"/>
        <v>1</v>
      </c>
      <c r="S19" s="178">
        <v>1.0</v>
      </c>
      <c r="T19" s="179">
        <v>0.0</v>
      </c>
      <c r="U19" s="180" t="s">
        <v>151</v>
      </c>
      <c r="V19" s="180"/>
      <c r="W19" s="167"/>
      <c r="X19" s="168">
        <f t="shared" si="3"/>
        <v>0</v>
      </c>
      <c r="Y19" s="168">
        <f t="shared" si="4"/>
        <v>0.14</v>
      </c>
      <c r="Z19" s="169">
        <f t="shared" si="5"/>
        <v>0</v>
      </c>
    </row>
    <row r="20" ht="15.0" customHeight="1">
      <c r="A20" s="170">
        <v>13.0</v>
      </c>
      <c r="B20" s="171" t="s">
        <v>118</v>
      </c>
      <c r="C20" s="172" t="s">
        <v>119</v>
      </c>
      <c r="D20" s="172" t="s">
        <v>152</v>
      </c>
      <c r="E20" s="172" t="s">
        <v>153</v>
      </c>
      <c r="F20" s="172"/>
      <c r="G20" s="172" t="s">
        <v>135</v>
      </c>
      <c r="H20" s="172" t="s">
        <v>136</v>
      </c>
      <c r="I20" s="173" t="s">
        <v>105</v>
      </c>
      <c r="J20" s="172" t="s">
        <v>106</v>
      </c>
      <c r="K20" s="174">
        <v>815.48</v>
      </c>
      <c r="L20" s="175">
        <v>1180815.0</v>
      </c>
      <c r="M20" s="174">
        <v>122.32</v>
      </c>
      <c r="N20" s="175">
        <v>177119.0</v>
      </c>
      <c r="O20" s="174">
        <v>0.0</v>
      </c>
      <c r="P20" s="175">
        <v>0.0</v>
      </c>
      <c r="Q20" s="176">
        <f t="shared" ref="Q20:R20" si="21">M20-O20</f>
        <v>122.32</v>
      </c>
      <c r="R20" s="177">
        <f t="shared" si="21"/>
        <v>177119</v>
      </c>
      <c r="S20" s="178">
        <v>1448.0</v>
      </c>
      <c r="T20" s="179">
        <v>15.0</v>
      </c>
      <c r="U20" s="180" t="s">
        <v>107</v>
      </c>
      <c r="V20" s="180"/>
      <c r="W20" s="167"/>
      <c r="X20" s="168">
        <f t="shared" si="3"/>
        <v>0.1499972477</v>
      </c>
      <c r="Y20" s="168">
        <f t="shared" si="4"/>
        <v>0</v>
      </c>
      <c r="Z20" s="169">
        <f t="shared" si="5"/>
        <v>0</v>
      </c>
    </row>
    <row r="21" ht="15.0" customHeight="1">
      <c r="A21" s="170">
        <v>14.0</v>
      </c>
      <c r="B21" s="171" t="s">
        <v>118</v>
      </c>
      <c r="C21" s="172" t="s">
        <v>119</v>
      </c>
      <c r="D21" s="172" t="s">
        <v>152</v>
      </c>
      <c r="E21" s="172"/>
      <c r="F21" s="172"/>
      <c r="G21" s="172" t="s">
        <v>148</v>
      </c>
      <c r="H21" s="172" t="s">
        <v>154</v>
      </c>
      <c r="I21" s="173" t="s">
        <v>105</v>
      </c>
      <c r="J21" s="172" t="s">
        <v>150</v>
      </c>
      <c r="K21" s="174">
        <v>0.0</v>
      </c>
      <c r="L21" s="175">
        <v>0.0</v>
      </c>
      <c r="M21" s="174">
        <v>0.0</v>
      </c>
      <c r="N21" s="175">
        <v>0.0</v>
      </c>
      <c r="O21" s="174">
        <v>0.0</v>
      </c>
      <c r="P21" s="175">
        <v>0.0</v>
      </c>
      <c r="Q21" s="176">
        <f t="shared" ref="Q21:R21" si="22">M21-O21</f>
        <v>0</v>
      </c>
      <c r="R21" s="177">
        <f t="shared" si="22"/>
        <v>0</v>
      </c>
      <c r="S21" s="178">
        <v>1.0</v>
      </c>
      <c r="T21" s="179">
        <v>0.0</v>
      </c>
      <c r="U21" s="180" t="s">
        <v>151</v>
      </c>
      <c r="V21" s="180"/>
      <c r="W21" s="167"/>
      <c r="X21" s="168">
        <f t="shared" si="3"/>
        <v>0</v>
      </c>
      <c r="Y21" s="168">
        <f t="shared" si="4"/>
        <v>0.14</v>
      </c>
      <c r="Z21" s="169">
        <f t="shared" si="5"/>
        <v>0</v>
      </c>
    </row>
    <row r="22" ht="15.0" customHeight="1">
      <c r="A22" s="170">
        <v>15.0</v>
      </c>
      <c r="B22" s="171" t="s">
        <v>118</v>
      </c>
      <c r="C22" s="172" t="s">
        <v>119</v>
      </c>
      <c r="D22" s="172" t="s">
        <v>155</v>
      </c>
      <c r="E22" s="172" t="s">
        <v>156</v>
      </c>
      <c r="F22" s="172"/>
      <c r="G22" s="172" t="s">
        <v>139</v>
      </c>
      <c r="H22" s="172" t="s">
        <v>157</v>
      </c>
      <c r="I22" s="173" t="s">
        <v>105</v>
      </c>
      <c r="J22" s="172" t="s">
        <v>106</v>
      </c>
      <c r="K22" s="174">
        <v>375.21</v>
      </c>
      <c r="L22" s="175">
        <v>550395.0</v>
      </c>
      <c r="M22" s="174">
        <v>56.28</v>
      </c>
      <c r="N22" s="175">
        <v>82557.0</v>
      </c>
      <c r="O22" s="174">
        <v>0.0</v>
      </c>
      <c r="P22" s="175">
        <v>0.0</v>
      </c>
      <c r="Q22" s="176">
        <f t="shared" ref="Q22:R22" si="23">M22-O22</f>
        <v>56.28</v>
      </c>
      <c r="R22" s="177">
        <f t="shared" si="23"/>
        <v>82557</v>
      </c>
      <c r="S22" s="178">
        <v>1466.9</v>
      </c>
      <c r="T22" s="179">
        <v>15.0</v>
      </c>
      <c r="U22" s="180" t="s">
        <v>107</v>
      </c>
      <c r="V22" s="180"/>
      <c r="W22" s="167"/>
      <c r="X22" s="168">
        <f t="shared" si="3"/>
        <v>0.149995912</v>
      </c>
      <c r="Y22" s="168">
        <f t="shared" si="4"/>
        <v>0</v>
      </c>
      <c r="Z22" s="169">
        <f t="shared" si="5"/>
        <v>0</v>
      </c>
    </row>
    <row r="23" ht="15.0" customHeight="1">
      <c r="A23" s="170">
        <v>16.0</v>
      </c>
      <c r="B23" s="171" t="s">
        <v>118</v>
      </c>
      <c r="C23" s="172" t="s">
        <v>119</v>
      </c>
      <c r="D23" s="172" t="s">
        <v>158</v>
      </c>
      <c r="E23" s="172" t="s">
        <v>159</v>
      </c>
      <c r="F23" s="172"/>
      <c r="G23" s="172" t="s">
        <v>143</v>
      </c>
      <c r="H23" s="172" t="s">
        <v>160</v>
      </c>
      <c r="I23" s="173" t="s">
        <v>105</v>
      </c>
      <c r="J23" s="172" t="s">
        <v>106</v>
      </c>
      <c r="K23" s="174">
        <v>23.13</v>
      </c>
      <c r="L23" s="175">
        <v>33920.0</v>
      </c>
      <c r="M23" s="174">
        <v>3.47</v>
      </c>
      <c r="N23" s="175">
        <v>5088.0</v>
      </c>
      <c r="O23" s="174">
        <v>0.0</v>
      </c>
      <c r="P23" s="175">
        <v>0.0</v>
      </c>
      <c r="Q23" s="176">
        <f t="shared" ref="Q23:R23" si="24">M23-O23</f>
        <v>3.47</v>
      </c>
      <c r="R23" s="177">
        <f t="shared" si="24"/>
        <v>5088</v>
      </c>
      <c r="S23" s="178">
        <v>1466.5</v>
      </c>
      <c r="T23" s="179">
        <v>15.0</v>
      </c>
      <c r="U23" s="180" t="s">
        <v>107</v>
      </c>
      <c r="V23" s="180"/>
      <c r="W23" s="167"/>
      <c r="X23" s="168">
        <f t="shared" si="3"/>
        <v>0.15</v>
      </c>
      <c r="Y23" s="168">
        <f t="shared" si="4"/>
        <v>0</v>
      </c>
      <c r="Z23" s="169">
        <f t="shared" si="5"/>
        <v>0</v>
      </c>
    </row>
    <row r="24" ht="15.0" customHeight="1">
      <c r="A24" s="170">
        <v>17.0</v>
      </c>
      <c r="B24" s="171" t="s">
        <v>118</v>
      </c>
      <c r="C24" s="172" t="s">
        <v>119</v>
      </c>
      <c r="D24" s="172" t="s">
        <v>158</v>
      </c>
      <c r="E24" s="172" t="s">
        <v>159</v>
      </c>
      <c r="F24" s="172"/>
      <c r="G24" s="172" t="s">
        <v>127</v>
      </c>
      <c r="H24" s="172" t="s">
        <v>128</v>
      </c>
      <c r="I24" s="173" t="s">
        <v>105</v>
      </c>
      <c r="J24" s="172" t="s">
        <v>106</v>
      </c>
      <c r="K24" s="174">
        <v>37.8</v>
      </c>
      <c r="L24" s="175">
        <v>55433.0</v>
      </c>
      <c r="M24" s="174">
        <v>5.67</v>
      </c>
      <c r="N24" s="175">
        <v>8315.0</v>
      </c>
      <c r="O24" s="174">
        <v>0.0</v>
      </c>
      <c r="P24" s="175">
        <v>0.0</v>
      </c>
      <c r="Q24" s="176">
        <f t="shared" ref="Q24:R24" si="25">M24-O24</f>
        <v>5.67</v>
      </c>
      <c r="R24" s="177">
        <f t="shared" si="25"/>
        <v>8315</v>
      </c>
      <c r="S24" s="178">
        <v>1466.5</v>
      </c>
      <c r="T24" s="179">
        <v>15.0</v>
      </c>
      <c r="U24" s="180" t="s">
        <v>107</v>
      </c>
      <c r="V24" s="180"/>
      <c r="W24" s="167"/>
      <c r="X24" s="168">
        <f t="shared" si="3"/>
        <v>0.150000902</v>
      </c>
      <c r="Y24" s="168">
        <f t="shared" si="4"/>
        <v>0</v>
      </c>
      <c r="Z24" s="169">
        <f t="shared" si="5"/>
        <v>0</v>
      </c>
    </row>
    <row r="25" ht="15.0" customHeight="1">
      <c r="A25" s="170">
        <v>18.0</v>
      </c>
      <c r="B25" s="171" t="s">
        <v>118</v>
      </c>
      <c r="C25" s="172" t="s">
        <v>119</v>
      </c>
      <c r="D25" s="172" t="s">
        <v>161</v>
      </c>
      <c r="E25" s="172"/>
      <c r="F25" s="172"/>
      <c r="G25" s="172" t="s">
        <v>148</v>
      </c>
      <c r="H25" s="172" t="s">
        <v>162</v>
      </c>
      <c r="I25" s="173" t="s">
        <v>105</v>
      </c>
      <c r="J25" s="172" t="s">
        <v>150</v>
      </c>
      <c r="K25" s="174">
        <v>0.0</v>
      </c>
      <c r="L25" s="175">
        <v>0.0</v>
      </c>
      <c r="M25" s="174">
        <v>0.0</v>
      </c>
      <c r="N25" s="175">
        <v>27.0</v>
      </c>
      <c r="O25" s="174">
        <v>0.0</v>
      </c>
      <c r="P25" s="175">
        <v>0.0</v>
      </c>
      <c r="Q25" s="176">
        <f t="shared" ref="Q25:R25" si="26">M25-O25</f>
        <v>0</v>
      </c>
      <c r="R25" s="177">
        <f t="shared" si="26"/>
        <v>27</v>
      </c>
      <c r="S25" s="178">
        <v>1.0</v>
      </c>
      <c r="T25" s="179">
        <v>0.0</v>
      </c>
      <c r="U25" s="180" t="s">
        <v>151</v>
      </c>
      <c r="V25" s="180"/>
      <c r="W25" s="167"/>
      <c r="X25" s="168">
        <f t="shared" si="3"/>
        <v>0</v>
      </c>
      <c r="Y25" s="168">
        <f t="shared" si="4"/>
        <v>0.14</v>
      </c>
      <c r="Z25" s="169">
        <f t="shared" si="5"/>
        <v>0</v>
      </c>
    </row>
    <row r="26" ht="15.0" customHeight="1">
      <c r="A26" s="170">
        <v>19.0</v>
      </c>
      <c r="B26" s="171" t="s">
        <v>118</v>
      </c>
      <c r="C26" s="172" t="s">
        <v>119</v>
      </c>
      <c r="D26" s="172" t="s">
        <v>163</v>
      </c>
      <c r="E26" s="172"/>
      <c r="F26" s="172"/>
      <c r="G26" s="172" t="s">
        <v>148</v>
      </c>
      <c r="H26" s="172" t="s">
        <v>164</v>
      </c>
      <c r="I26" s="173" t="s">
        <v>105</v>
      </c>
      <c r="J26" s="172" t="s">
        <v>150</v>
      </c>
      <c r="K26" s="174">
        <v>0.0</v>
      </c>
      <c r="L26" s="175">
        <v>0.0</v>
      </c>
      <c r="M26" s="174">
        <v>0.0</v>
      </c>
      <c r="N26" s="175">
        <v>18.0</v>
      </c>
      <c r="O26" s="174">
        <v>0.0</v>
      </c>
      <c r="P26" s="175">
        <v>0.0</v>
      </c>
      <c r="Q26" s="176">
        <f t="shared" ref="Q26:R26" si="27">M26-O26</f>
        <v>0</v>
      </c>
      <c r="R26" s="177">
        <f t="shared" si="27"/>
        <v>18</v>
      </c>
      <c r="S26" s="178">
        <v>1.0</v>
      </c>
      <c r="T26" s="179">
        <v>0.0</v>
      </c>
      <c r="U26" s="180" t="s">
        <v>151</v>
      </c>
      <c r="V26" s="180"/>
      <c r="W26" s="167"/>
      <c r="X26" s="168">
        <f t="shared" si="3"/>
        <v>0</v>
      </c>
      <c r="Y26" s="168">
        <f t="shared" si="4"/>
        <v>0.14</v>
      </c>
      <c r="Z26" s="169">
        <f t="shared" si="5"/>
        <v>0</v>
      </c>
    </row>
    <row r="27" ht="15.0" customHeight="1">
      <c r="A27" s="170">
        <v>20.0</v>
      </c>
      <c r="B27" s="171" t="s">
        <v>118</v>
      </c>
      <c r="C27" s="172" t="s">
        <v>119</v>
      </c>
      <c r="D27" s="172" t="s">
        <v>165</v>
      </c>
      <c r="E27" s="172" t="s">
        <v>166</v>
      </c>
      <c r="F27" s="172"/>
      <c r="G27" s="172" t="s">
        <v>131</v>
      </c>
      <c r="H27" s="172" t="s">
        <v>167</v>
      </c>
      <c r="I27" s="173" t="s">
        <v>105</v>
      </c>
      <c r="J27" s="172" t="s">
        <v>106</v>
      </c>
      <c r="K27" s="174">
        <v>348.73</v>
      </c>
      <c r="L27" s="175">
        <v>511203.0</v>
      </c>
      <c r="M27" s="174">
        <v>52.31</v>
      </c>
      <c r="N27" s="175">
        <v>76681.0</v>
      </c>
      <c r="O27" s="174">
        <v>0.0</v>
      </c>
      <c r="P27" s="175">
        <v>0.0</v>
      </c>
      <c r="Q27" s="176">
        <f t="shared" ref="Q27:R27" si="28">M27-O27</f>
        <v>52.31</v>
      </c>
      <c r="R27" s="177">
        <f t="shared" si="28"/>
        <v>76681</v>
      </c>
      <c r="S27" s="178">
        <v>1465.9</v>
      </c>
      <c r="T27" s="179">
        <v>15.0</v>
      </c>
      <c r="U27" s="180" t="s">
        <v>107</v>
      </c>
      <c r="V27" s="180"/>
      <c r="W27" s="167"/>
      <c r="X27" s="168">
        <f t="shared" si="3"/>
        <v>0.1500010759</v>
      </c>
      <c r="Y27" s="168">
        <f t="shared" si="4"/>
        <v>0</v>
      </c>
      <c r="Z27" s="169">
        <f t="shared" si="5"/>
        <v>0</v>
      </c>
    </row>
    <row r="28" ht="15.0" customHeight="1">
      <c r="A28" s="170">
        <v>21.0</v>
      </c>
      <c r="B28" s="171" t="s">
        <v>118</v>
      </c>
      <c r="C28" s="172" t="s">
        <v>119</v>
      </c>
      <c r="D28" s="172" t="s">
        <v>168</v>
      </c>
      <c r="E28" s="172" t="s">
        <v>169</v>
      </c>
      <c r="F28" s="172"/>
      <c r="G28" s="172" t="s">
        <v>116</v>
      </c>
      <c r="H28" s="172" t="s">
        <v>117</v>
      </c>
      <c r="I28" s="173" t="s">
        <v>105</v>
      </c>
      <c r="J28" s="172" t="s">
        <v>106</v>
      </c>
      <c r="K28" s="174">
        <v>244.04</v>
      </c>
      <c r="L28" s="175">
        <v>358787.0</v>
      </c>
      <c r="M28" s="174">
        <v>36.61</v>
      </c>
      <c r="N28" s="175">
        <v>53824.0</v>
      </c>
      <c r="O28" s="174">
        <v>0.0</v>
      </c>
      <c r="P28" s="175">
        <v>0.0</v>
      </c>
      <c r="Q28" s="176">
        <f t="shared" ref="Q28:R28" si="29">M28-O28</f>
        <v>36.61</v>
      </c>
      <c r="R28" s="177">
        <f t="shared" si="29"/>
        <v>53824</v>
      </c>
      <c r="S28" s="178">
        <v>1470.2</v>
      </c>
      <c r="T28" s="179">
        <v>15.0</v>
      </c>
      <c r="U28" s="180" t="s">
        <v>107</v>
      </c>
      <c r="V28" s="180"/>
      <c r="W28" s="167"/>
      <c r="X28" s="168">
        <f t="shared" si="3"/>
        <v>0.1500165837</v>
      </c>
      <c r="Y28" s="168">
        <f t="shared" si="4"/>
        <v>0</v>
      </c>
      <c r="Z28" s="169">
        <f t="shared" si="5"/>
        <v>0</v>
      </c>
    </row>
    <row r="29" ht="15.0" customHeight="1">
      <c r="A29" s="170">
        <v>22.0</v>
      </c>
      <c r="B29" s="171" t="s">
        <v>118</v>
      </c>
      <c r="C29" s="172" t="s">
        <v>119</v>
      </c>
      <c r="D29" s="172" t="s">
        <v>170</v>
      </c>
      <c r="E29" s="172" t="s">
        <v>171</v>
      </c>
      <c r="F29" s="172"/>
      <c r="G29" s="172" t="s">
        <v>135</v>
      </c>
      <c r="H29" s="172" t="s">
        <v>172</v>
      </c>
      <c r="I29" s="173" t="s">
        <v>105</v>
      </c>
      <c r="J29" s="172" t="s">
        <v>106</v>
      </c>
      <c r="K29" s="174">
        <v>790.67</v>
      </c>
      <c r="L29" s="175">
        <v>1128602.0</v>
      </c>
      <c r="M29" s="174">
        <v>118.6</v>
      </c>
      <c r="N29" s="175">
        <v>169289.0</v>
      </c>
      <c r="O29" s="174">
        <v>0.0</v>
      </c>
      <c r="P29" s="175">
        <v>0.0</v>
      </c>
      <c r="Q29" s="176">
        <f t="shared" ref="Q29:R29" si="30">M29-O29</f>
        <v>118.6</v>
      </c>
      <c r="R29" s="177">
        <f t="shared" si="30"/>
        <v>169289</v>
      </c>
      <c r="S29" s="178">
        <v>1427.4</v>
      </c>
      <c r="T29" s="179">
        <v>15.0</v>
      </c>
      <c r="U29" s="180" t="s">
        <v>107</v>
      </c>
      <c r="V29" s="180"/>
      <c r="W29" s="167"/>
      <c r="X29" s="168">
        <f t="shared" si="3"/>
        <v>0.1499988481</v>
      </c>
      <c r="Y29" s="168">
        <f t="shared" si="4"/>
        <v>0</v>
      </c>
      <c r="Z29" s="169">
        <f t="shared" si="5"/>
        <v>0</v>
      </c>
    </row>
    <row r="30" ht="15.0" customHeight="1">
      <c r="A30" s="170">
        <v>23.0</v>
      </c>
      <c r="B30" s="171" t="s">
        <v>118</v>
      </c>
      <c r="C30" s="172" t="s">
        <v>119</v>
      </c>
      <c r="D30" s="172" t="s">
        <v>170</v>
      </c>
      <c r="E30" s="172" t="s">
        <v>170</v>
      </c>
      <c r="F30" s="172"/>
      <c r="G30" s="172" t="s">
        <v>173</v>
      </c>
      <c r="H30" s="173" t="s">
        <v>174</v>
      </c>
      <c r="I30" s="173" t="s">
        <v>105</v>
      </c>
      <c r="J30" s="172" t="s">
        <v>106</v>
      </c>
      <c r="K30" s="174">
        <v>0.5</v>
      </c>
      <c r="L30" s="175">
        <v>713.0</v>
      </c>
      <c r="M30" s="174">
        <v>0.08</v>
      </c>
      <c r="N30" s="175">
        <v>114.0</v>
      </c>
      <c r="O30" s="174">
        <v>0.0</v>
      </c>
      <c r="P30" s="175">
        <v>0.0</v>
      </c>
      <c r="Q30" s="176">
        <f t="shared" ref="Q30:R30" si="31">M30-O30</f>
        <v>0.08</v>
      </c>
      <c r="R30" s="177">
        <f t="shared" si="31"/>
        <v>114</v>
      </c>
      <c r="S30" s="178">
        <v>1427.4</v>
      </c>
      <c r="T30" s="179">
        <v>15.0</v>
      </c>
      <c r="U30" s="180" t="s">
        <v>107</v>
      </c>
      <c r="V30" s="180"/>
      <c r="W30" s="167"/>
      <c r="X30" s="168">
        <f t="shared" si="3"/>
        <v>0.159887798</v>
      </c>
      <c r="Y30" s="168">
        <f t="shared" si="4"/>
        <v>0</v>
      </c>
      <c r="Z30" s="169">
        <f t="shared" si="5"/>
        <v>0</v>
      </c>
    </row>
    <row r="31" ht="15.0" customHeight="1">
      <c r="A31" s="181">
        <v>24.0</v>
      </c>
      <c r="B31" s="182" t="s">
        <v>118</v>
      </c>
      <c r="C31" s="183" t="s">
        <v>119</v>
      </c>
      <c r="D31" s="183" t="s">
        <v>175</v>
      </c>
      <c r="E31" s="183" t="s">
        <v>120</v>
      </c>
      <c r="F31" s="183"/>
      <c r="G31" s="183" t="s">
        <v>116</v>
      </c>
      <c r="H31" s="183" t="s">
        <v>117</v>
      </c>
      <c r="I31" s="184" t="s">
        <v>105</v>
      </c>
      <c r="J31" s="183" t="s">
        <v>106</v>
      </c>
      <c r="K31" s="185">
        <v>0.0</v>
      </c>
      <c r="L31" s="186">
        <v>0.0</v>
      </c>
      <c r="M31" s="185">
        <v>0.0</v>
      </c>
      <c r="N31" s="186">
        <v>0.0</v>
      </c>
      <c r="O31" s="185">
        <v>8.91</v>
      </c>
      <c r="P31" s="186">
        <v>13097.0</v>
      </c>
      <c r="Q31" s="187">
        <f t="shared" ref="Q31:R31" si="32">M31-O31</f>
        <v>-8.91</v>
      </c>
      <c r="R31" s="188">
        <f t="shared" si="32"/>
        <v>-13097</v>
      </c>
      <c r="S31" s="189">
        <v>1470.0</v>
      </c>
      <c r="T31" s="190">
        <v>14.0</v>
      </c>
      <c r="U31" s="191" t="s">
        <v>107</v>
      </c>
      <c r="V31" s="191" t="s">
        <v>176</v>
      </c>
      <c r="W31" s="167"/>
      <c r="X31" s="168">
        <f t="shared" si="3"/>
        <v>0</v>
      </c>
      <c r="Y31" s="168">
        <f t="shared" si="4"/>
        <v>0.14</v>
      </c>
      <c r="Z31" s="169">
        <f t="shared" si="5"/>
        <v>0</v>
      </c>
    </row>
    <row r="32" ht="15.0" customHeight="1">
      <c r="A32" s="170">
        <v>25.0</v>
      </c>
      <c r="B32" s="171" t="s">
        <v>118</v>
      </c>
      <c r="C32" s="172" t="s">
        <v>119</v>
      </c>
      <c r="D32" s="172" t="s">
        <v>175</v>
      </c>
      <c r="E32" s="172"/>
      <c r="F32" s="172"/>
      <c r="G32" s="172" t="s">
        <v>148</v>
      </c>
      <c r="H32" s="172" t="s">
        <v>177</v>
      </c>
      <c r="I32" s="173" t="s">
        <v>105</v>
      </c>
      <c r="J32" s="172" t="s">
        <v>150</v>
      </c>
      <c r="K32" s="174">
        <v>0.0</v>
      </c>
      <c r="L32" s="175">
        <v>0.0</v>
      </c>
      <c r="M32" s="174">
        <v>0.0</v>
      </c>
      <c r="N32" s="175">
        <v>8.0</v>
      </c>
      <c r="O32" s="174">
        <v>0.0</v>
      </c>
      <c r="P32" s="175">
        <v>0.0</v>
      </c>
      <c r="Q32" s="176">
        <f t="shared" ref="Q32:R32" si="33">M32-O32</f>
        <v>0</v>
      </c>
      <c r="R32" s="177">
        <f t="shared" si="33"/>
        <v>8</v>
      </c>
      <c r="S32" s="178">
        <v>1.0</v>
      </c>
      <c r="T32" s="179">
        <v>0.0</v>
      </c>
      <c r="U32" s="180" t="s">
        <v>151</v>
      </c>
      <c r="V32" s="180"/>
      <c r="W32" s="167"/>
      <c r="X32" s="168">
        <f t="shared" si="3"/>
        <v>0</v>
      </c>
      <c r="Y32" s="168">
        <f t="shared" si="4"/>
        <v>0.14</v>
      </c>
      <c r="Z32" s="169">
        <f t="shared" si="5"/>
        <v>0</v>
      </c>
    </row>
    <row r="33" ht="15.0" customHeight="1">
      <c r="A33" s="170">
        <v>26.0</v>
      </c>
      <c r="B33" s="171" t="s">
        <v>118</v>
      </c>
      <c r="C33" s="172" t="s">
        <v>119</v>
      </c>
      <c r="D33" s="172" t="s">
        <v>178</v>
      </c>
      <c r="E33" s="172" t="s">
        <v>179</v>
      </c>
      <c r="F33" s="172"/>
      <c r="G33" s="172" t="s">
        <v>139</v>
      </c>
      <c r="H33" s="172" t="s">
        <v>180</v>
      </c>
      <c r="I33" s="173" t="s">
        <v>105</v>
      </c>
      <c r="J33" s="172" t="s">
        <v>106</v>
      </c>
      <c r="K33" s="174">
        <v>533.78</v>
      </c>
      <c r="L33" s="175">
        <v>759355.0</v>
      </c>
      <c r="M33" s="174">
        <v>80.07</v>
      </c>
      <c r="N33" s="175">
        <v>113907.0</v>
      </c>
      <c r="O33" s="174">
        <v>0.0</v>
      </c>
      <c r="P33" s="175">
        <v>0.0</v>
      </c>
      <c r="Q33" s="176">
        <f t="shared" ref="Q33:R33" si="34">M33-O33</f>
        <v>80.07</v>
      </c>
      <c r="R33" s="177">
        <f t="shared" si="34"/>
        <v>113907</v>
      </c>
      <c r="S33" s="178">
        <v>1422.6</v>
      </c>
      <c r="T33" s="179">
        <v>15.0</v>
      </c>
      <c r="U33" s="180" t="s">
        <v>107</v>
      </c>
      <c r="V33" s="180"/>
      <c r="W33" s="167"/>
      <c r="X33" s="168">
        <f t="shared" si="3"/>
        <v>0.1500049384</v>
      </c>
      <c r="Y33" s="168">
        <f t="shared" si="4"/>
        <v>0</v>
      </c>
      <c r="Z33" s="169">
        <f t="shared" si="5"/>
        <v>0</v>
      </c>
    </row>
    <row r="34" ht="15.0" customHeight="1">
      <c r="A34" s="170">
        <v>27.0</v>
      </c>
      <c r="B34" s="171" t="s">
        <v>118</v>
      </c>
      <c r="C34" s="172" t="s">
        <v>119</v>
      </c>
      <c r="D34" s="172" t="s">
        <v>181</v>
      </c>
      <c r="E34" s="172" t="s">
        <v>182</v>
      </c>
      <c r="F34" s="172"/>
      <c r="G34" s="172" t="s">
        <v>183</v>
      </c>
      <c r="H34" s="173" t="s">
        <v>184</v>
      </c>
      <c r="I34" s="173" t="s">
        <v>105</v>
      </c>
      <c r="J34" s="172" t="s">
        <v>106</v>
      </c>
      <c r="K34" s="174">
        <v>0.83</v>
      </c>
      <c r="L34" s="175">
        <v>1187.0</v>
      </c>
      <c r="M34" s="174">
        <v>0.12</v>
      </c>
      <c r="N34" s="175">
        <v>171.0</v>
      </c>
      <c r="O34" s="174">
        <v>0.0</v>
      </c>
      <c r="P34" s="175">
        <v>0.0</v>
      </c>
      <c r="Q34" s="176">
        <f t="shared" ref="Q34:R34" si="35">M34-O34</f>
        <v>0.12</v>
      </c>
      <c r="R34" s="177">
        <f t="shared" si="35"/>
        <v>171</v>
      </c>
      <c r="S34" s="178">
        <v>1430.2</v>
      </c>
      <c r="T34" s="179">
        <v>15.0</v>
      </c>
      <c r="U34" s="180" t="s">
        <v>107</v>
      </c>
      <c r="V34" s="180"/>
      <c r="W34" s="167"/>
      <c r="X34" s="168">
        <f t="shared" si="3"/>
        <v>0.1440606571</v>
      </c>
      <c r="Y34" s="168">
        <f t="shared" si="4"/>
        <v>0</v>
      </c>
      <c r="Z34" s="169">
        <f t="shared" si="5"/>
        <v>0</v>
      </c>
    </row>
    <row r="35" ht="15.0" customHeight="1">
      <c r="A35" s="170">
        <v>28.0</v>
      </c>
      <c r="B35" s="171" t="s">
        <v>118</v>
      </c>
      <c r="C35" s="172" t="s">
        <v>119</v>
      </c>
      <c r="D35" s="172" t="s">
        <v>185</v>
      </c>
      <c r="E35" s="172" t="s">
        <v>181</v>
      </c>
      <c r="F35" s="172"/>
      <c r="G35" s="172" t="s">
        <v>143</v>
      </c>
      <c r="H35" s="172" t="s">
        <v>160</v>
      </c>
      <c r="I35" s="173" t="s">
        <v>105</v>
      </c>
      <c r="J35" s="172" t="s">
        <v>106</v>
      </c>
      <c r="K35" s="174">
        <v>21.91</v>
      </c>
      <c r="L35" s="175">
        <v>31535.0</v>
      </c>
      <c r="M35" s="174">
        <v>3.29</v>
      </c>
      <c r="N35" s="175">
        <v>4735.0</v>
      </c>
      <c r="O35" s="174">
        <v>0.0</v>
      </c>
      <c r="P35" s="175">
        <v>0.0</v>
      </c>
      <c r="Q35" s="176">
        <f t="shared" ref="Q35:R35" si="36">M35-O35</f>
        <v>3.29</v>
      </c>
      <c r="R35" s="177">
        <f t="shared" si="36"/>
        <v>4735</v>
      </c>
      <c r="S35" s="178">
        <v>1439.3</v>
      </c>
      <c r="T35" s="179">
        <v>15.0</v>
      </c>
      <c r="U35" s="180" t="s">
        <v>107</v>
      </c>
      <c r="V35" s="180"/>
      <c r="W35" s="167"/>
      <c r="X35" s="168">
        <f t="shared" si="3"/>
        <v>0.1501506263</v>
      </c>
      <c r="Y35" s="168">
        <f t="shared" si="4"/>
        <v>0</v>
      </c>
      <c r="Z35" s="169">
        <f t="shared" si="5"/>
        <v>0</v>
      </c>
    </row>
    <row r="36" ht="15.0" customHeight="1">
      <c r="A36" s="170">
        <v>29.0</v>
      </c>
      <c r="B36" s="171" t="s">
        <v>118</v>
      </c>
      <c r="C36" s="172" t="s">
        <v>119</v>
      </c>
      <c r="D36" s="172" t="s">
        <v>185</v>
      </c>
      <c r="E36" s="172" t="s">
        <v>181</v>
      </c>
      <c r="F36" s="172"/>
      <c r="G36" s="172" t="s">
        <v>127</v>
      </c>
      <c r="H36" s="172" t="s">
        <v>186</v>
      </c>
      <c r="I36" s="173" t="s">
        <v>105</v>
      </c>
      <c r="J36" s="172" t="s">
        <v>106</v>
      </c>
      <c r="K36" s="174">
        <v>32.32</v>
      </c>
      <c r="L36" s="175">
        <v>46518.0</v>
      </c>
      <c r="M36" s="174">
        <v>4.85</v>
      </c>
      <c r="N36" s="175">
        <v>6980.0</v>
      </c>
      <c r="O36" s="174">
        <v>0.0</v>
      </c>
      <c r="P36" s="175">
        <v>0.0</v>
      </c>
      <c r="Q36" s="176">
        <f t="shared" ref="Q36:R36" si="37">M36-O36</f>
        <v>4.85</v>
      </c>
      <c r="R36" s="177">
        <f t="shared" si="37"/>
        <v>6980</v>
      </c>
      <c r="S36" s="178">
        <v>1439.3</v>
      </c>
      <c r="T36" s="179">
        <v>15.0</v>
      </c>
      <c r="U36" s="180" t="s">
        <v>107</v>
      </c>
      <c r="V36" s="180"/>
      <c r="W36" s="167"/>
      <c r="X36" s="168">
        <f t="shared" si="3"/>
        <v>0.1500494432</v>
      </c>
      <c r="Y36" s="168">
        <f t="shared" si="4"/>
        <v>0</v>
      </c>
      <c r="Z36" s="169">
        <f t="shared" si="5"/>
        <v>0</v>
      </c>
    </row>
    <row r="37" ht="15.0" customHeight="1">
      <c r="A37" s="170">
        <v>30.0</v>
      </c>
      <c r="B37" s="171" t="s">
        <v>118</v>
      </c>
      <c r="C37" s="172" t="s">
        <v>119</v>
      </c>
      <c r="D37" s="172" t="s">
        <v>187</v>
      </c>
      <c r="E37" s="172" t="s">
        <v>187</v>
      </c>
      <c r="F37" s="172"/>
      <c r="G37" s="172" t="s">
        <v>116</v>
      </c>
      <c r="H37" s="172" t="s">
        <v>117</v>
      </c>
      <c r="I37" s="173" t="s">
        <v>105</v>
      </c>
      <c r="J37" s="172" t="s">
        <v>106</v>
      </c>
      <c r="K37" s="174">
        <v>368.25</v>
      </c>
      <c r="L37" s="175">
        <v>525345.0</v>
      </c>
      <c r="M37" s="174">
        <v>55.24</v>
      </c>
      <c r="N37" s="175">
        <v>78805.0</v>
      </c>
      <c r="O37" s="174">
        <v>0.0</v>
      </c>
      <c r="P37" s="175">
        <v>0.0</v>
      </c>
      <c r="Q37" s="176">
        <f t="shared" ref="Q37:R37" si="38">M37-O37</f>
        <v>55.24</v>
      </c>
      <c r="R37" s="177">
        <f t="shared" si="38"/>
        <v>78805</v>
      </c>
      <c r="S37" s="178">
        <v>1426.6</v>
      </c>
      <c r="T37" s="179">
        <v>15.0</v>
      </c>
      <c r="U37" s="180" t="s">
        <v>107</v>
      </c>
      <c r="V37" s="180"/>
      <c r="W37" s="167"/>
      <c r="X37" s="168">
        <f t="shared" si="3"/>
        <v>0.1500061864</v>
      </c>
      <c r="Y37" s="168">
        <f t="shared" si="4"/>
        <v>0</v>
      </c>
      <c r="Z37" s="169">
        <f t="shared" si="5"/>
        <v>0</v>
      </c>
    </row>
    <row r="38" ht="15.0" customHeight="1">
      <c r="A38" s="170">
        <v>31.0</v>
      </c>
      <c r="B38" s="171" t="s">
        <v>118</v>
      </c>
      <c r="C38" s="172" t="s">
        <v>119</v>
      </c>
      <c r="D38" s="172" t="s">
        <v>187</v>
      </c>
      <c r="E38" s="172" t="s">
        <v>188</v>
      </c>
      <c r="F38" s="172"/>
      <c r="G38" s="172" t="s">
        <v>131</v>
      </c>
      <c r="H38" s="172" t="s">
        <v>167</v>
      </c>
      <c r="I38" s="173" t="s">
        <v>105</v>
      </c>
      <c r="J38" s="172" t="s">
        <v>106</v>
      </c>
      <c r="K38" s="174">
        <v>518.2</v>
      </c>
      <c r="L38" s="175">
        <v>739264.0</v>
      </c>
      <c r="M38" s="174">
        <v>77.73</v>
      </c>
      <c r="N38" s="175">
        <v>110889.0</v>
      </c>
      <c r="O38" s="174">
        <v>0.0</v>
      </c>
      <c r="P38" s="175">
        <v>0.0</v>
      </c>
      <c r="Q38" s="176">
        <f t="shared" ref="Q38:R38" si="39">M38-O38</f>
        <v>77.73</v>
      </c>
      <c r="R38" s="177">
        <f t="shared" si="39"/>
        <v>110889</v>
      </c>
      <c r="S38" s="178">
        <v>1426.6</v>
      </c>
      <c r="T38" s="179">
        <v>15.0</v>
      </c>
      <c r="U38" s="180" t="s">
        <v>107</v>
      </c>
      <c r="V38" s="180"/>
      <c r="W38" s="167"/>
      <c r="X38" s="168">
        <f t="shared" si="3"/>
        <v>0.1499991884</v>
      </c>
      <c r="Y38" s="168">
        <f t="shared" si="4"/>
        <v>0</v>
      </c>
      <c r="Z38" s="169">
        <f t="shared" si="5"/>
        <v>0</v>
      </c>
    </row>
    <row r="39" ht="15.0" customHeight="1">
      <c r="A39" s="170">
        <v>32.0</v>
      </c>
      <c r="B39" s="171" t="s">
        <v>118</v>
      </c>
      <c r="C39" s="172" t="s">
        <v>119</v>
      </c>
      <c r="D39" s="172" t="s">
        <v>189</v>
      </c>
      <c r="E39" s="172" t="s">
        <v>190</v>
      </c>
      <c r="F39" s="172"/>
      <c r="G39" s="172" t="s">
        <v>135</v>
      </c>
      <c r="H39" s="172" t="s">
        <v>172</v>
      </c>
      <c r="I39" s="173" t="s">
        <v>105</v>
      </c>
      <c r="J39" s="172" t="s">
        <v>106</v>
      </c>
      <c r="K39" s="174">
        <v>1405.05</v>
      </c>
      <c r="L39" s="175">
        <v>1974938.0</v>
      </c>
      <c r="M39" s="174">
        <v>210.76</v>
      </c>
      <c r="N39" s="175">
        <v>296244.0</v>
      </c>
      <c r="O39" s="174">
        <v>0.0</v>
      </c>
      <c r="P39" s="175">
        <v>0.0</v>
      </c>
      <c r="Q39" s="176">
        <f t="shared" ref="Q39:R39" si="40">M39-O39</f>
        <v>210.76</v>
      </c>
      <c r="R39" s="177">
        <f t="shared" si="40"/>
        <v>296244</v>
      </c>
      <c r="S39" s="178">
        <v>1405.6</v>
      </c>
      <c r="T39" s="179">
        <v>15.0</v>
      </c>
      <c r="U39" s="180" t="s">
        <v>107</v>
      </c>
      <c r="V39" s="180"/>
      <c r="W39" s="167"/>
      <c r="X39" s="168">
        <f t="shared" si="3"/>
        <v>0.1500016709</v>
      </c>
      <c r="Y39" s="168">
        <f t="shared" si="4"/>
        <v>0</v>
      </c>
      <c r="Z39" s="169">
        <f t="shared" si="5"/>
        <v>0</v>
      </c>
    </row>
    <row r="40" ht="15.0" customHeight="1">
      <c r="A40" s="170">
        <v>33.0</v>
      </c>
      <c r="B40" s="171" t="s">
        <v>118</v>
      </c>
      <c r="C40" s="172" t="s">
        <v>119</v>
      </c>
      <c r="D40" s="172" t="s">
        <v>191</v>
      </c>
      <c r="E40" s="172"/>
      <c r="F40" s="172"/>
      <c r="G40" s="172" t="s">
        <v>148</v>
      </c>
      <c r="H40" s="172" t="s">
        <v>192</v>
      </c>
      <c r="I40" s="173" t="s">
        <v>105</v>
      </c>
      <c r="J40" s="172" t="s">
        <v>150</v>
      </c>
      <c r="K40" s="174">
        <v>0.0</v>
      </c>
      <c r="L40" s="175">
        <v>0.0</v>
      </c>
      <c r="M40" s="174">
        <v>0.0</v>
      </c>
      <c r="N40" s="175">
        <v>27.0</v>
      </c>
      <c r="O40" s="174">
        <v>0.0</v>
      </c>
      <c r="P40" s="175">
        <v>0.0</v>
      </c>
      <c r="Q40" s="176">
        <f t="shared" ref="Q40:R40" si="41">M40-O40</f>
        <v>0</v>
      </c>
      <c r="R40" s="177">
        <f t="shared" si="41"/>
        <v>27</v>
      </c>
      <c r="S40" s="178">
        <v>1.0</v>
      </c>
      <c r="T40" s="179">
        <v>0.0</v>
      </c>
      <c r="U40" s="180" t="s">
        <v>151</v>
      </c>
      <c r="V40" s="180"/>
      <c r="W40" s="167"/>
      <c r="X40" s="168">
        <f t="shared" si="3"/>
        <v>0</v>
      </c>
      <c r="Y40" s="168">
        <f t="shared" si="4"/>
        <v>0.14</v>
      </c>
      <c r="Z40" s="169">
        <f t="shared" si="5"/>
        <v>0</v>
      </c>
    </row>
    <row r="41" ht="15.0" customHeight="1">
      <c r="A41" s="170">
        <v>34.0</v>
      </c>
      <c r="B41" s="171" t="s">
        <v>118</v>
      </c>
      <c r="C41" s="172" t="s">
        <v>119</v>
      </c>
      <c r="D41" s="172" t="s">
        <v>193</v>
      </c>
      <c r="E41" s="172"/>
      <c r="F41" s="172"/>
      <c r="G41" s="172" t="s">
        <v>148</v>
      </c>
      <c r="H41" s="172" t="s">
        <v>194</v>
      </c>
      <c r="I41" s="173" t="s">
        <v>105</v>
      </c>
      <c r="J41" s="172" t="s">
        <v>150</v>
      </c>
      <c r="K41" s="174">
        <v>0.0</v>
      </c>
      <c r="L41" s="175">
        <v>0.0</v>
      </c>
      <c r="M41" s="174">
        <v>0.0</v>
      </c>
      <c r="N41" s="175">
        <v>20.0</v>
      </c>
      <c r="O41" s="174">
        <v>0.0</v>
      </c>
      <c r="P41" s="175">
        <v>0.0</v>
      </c>
      <c r="Q41" s="176">
        <f t="shared" ref="Q41:R41" si="42">M41-O41</f>
        <v>0</v>
      </c>
      <c r="R41" s="177">
        <f t="shared" si="42"/>
        <v>20</v>
      </c>
      <c r="S41" s="178">
        <v>1.0</v>
      </c>
      <c r="T41" s="179">
        <v>0.0</v>
      </c>
      <c r="U41" s="180" t="s">
        <v>151</v>
      </c>
      <c r="V41" s="180"/>
      <c r="W41" s="167"/>
      <c r="X41" s="168">
        <f t="shared" si="3"/>
        <v>0</v>
      </c>
      <c r="Y41" s="168">
        <f t="shared" si="4"/>
        <v>0.14</v>
      </c>
      <c r="Z41" s="169">
        <f t="shared" si="5"/>
        <v>0</v>
      </c>
    </row>
    <row r="42" ht="15.0" customHeight="1">
      <c r="A42" s="170">
        <v>35.0</v>
      </c>
      <c r="B42" s="171" t="s">
        <v>118</v>
      </c>
      <c r="C42" s="172" t="s">
        <v>119</v>
      </c>
      <c r="D42" s="172" t="s">
        <v>195</v>
      </c>
      <c r="E42" s="172" t="s">
        <v>196</v>
      </c>
      <c r="F42" s="172"/>
      <c r="G42" s="172" t="s">
        <v>139</v>
      </c>
      <c r="H42" s="172" t="s">
        <v>180</v>
      </c>
      <c r="I42" s="173" t="s">
        <v>105</v>
      </c>
      <c r="J42" s="172" t="s">
        <v>106</v>
      </c>
      <c r="K42" s="174">
        <v>614.84</v>
      </c>
      <c r="L42" s="175">
        <v>859546.0</v>
      </c>
      <c r="M42" s="174">
        <v>92.23</v>
      </c>
      <c r="N42" s="175">
        <v>128937.0</v>
      </c>
      <c r="O42" s="174">
        <v>0.0</v>
      </c>
      <c r="P42" s="175">
        <v>0.0</v>
      </c>
      <c r="Q42" s="176">
        <f t="shared" ref="Q42:R42" si="43">M42-O42</f>
        <v>92.23</v>
      </c>
      <c r="R42" s="177">
        <f t="shared" si="43"/>
        <v>128937</v>
      </c>
      <c r="S42" s="178">
        <v>1398.0</v>
      </c>
      <c r="T42" s="179">
        <v>15.0</v>
      </c>
      <c r="U42" s="180" t="s">
        <v>107</v>
      </c>
      <c r="V42" s="180"/>
      <c r="W42" s="167"/>
      <c r="X42" s="168">
        <f t="shared" si="3"/>
        <v>0.1500059334</v>
      </c>
      <c r="Y42" s="168">
        <f t="shared" si="4"/>
        <v>0</v>
      </c>
      <c r="Z42" s="169">
        <f t="shared" si="5"/>
        <v>0</v>
      </c>
    </row>
    <row r="43" ht="15.0" customHeight="1">
      <c r="A43" s="170">
        <v>36.0</v>
      </c>
      <c r="B43" s="171" t="s">
        <v>118</v>
      </c>
      <c r="C43" s="172" t="s">
        <v>119</v>
      </c>
      <c r="D43" s="172" t="s">
        <v>197</v>
      </c>
      <c r="E43" s="172" t="s">
        <v>197</v>
      </c>
      <c r="F43" s="172"/>
      <c r="G43" s="172" t="s">
        <v>143</v>
      </c>
      <c r="H43" s="172" t="s">
        <v>160</v>
      </c>
      <c r="I43" s="173" t="s">
        <v>105</v>
      </c>
      <c r="J43" s="172" t="s">
        <v>106</v>
      </c>
      <c r="K43" s="174">
        <v>26.75</v>
      </c>
      <c r="L43" s="175">
        <v>36872.0</v>
      </c>
      <c r="M43" s="174">
        <v>4.01</v>
      </c>
      <c r="N43" s="175">
        <v>5527.0</v>
      </c>
      <c r="O43" s="174">
        <v>0.0</v>
      </c>
      <c r="P43" s="175">
        <v>0.0</v>
      </c>
      <c r="Q43" s="176">
        <f t="shared" ref="Q43:R43" si="44">M43-O43</f>
        <v>4.01</v>
      </c>
      <c r="R43" s="177">
        <f t="shared" si="44"/>
        <v>5527</v>
      </c>
      <c r="S43" s="178">
        <v>1378.4</v>
      </c>
      <c r="T43" s="179">
        <v>15.0</v>
      </c>
      <c r="U43" s="180" t="s">
        <v>107</v>
      </c>
      <c r="V43" s="180"/>
      <c r="W43" s="167"/>
      <c r="X43" s="168">
        <f t="shared" si="3"/>
        <v>0.1498969408</v>
      </c>
      <c r="Y43" s="168">
        <f t="shared" si="4"/>
        <v>0</v>
      </c>
      <c r="Z43" s="169">
        <f t="shared" si="5"/>
        <v>0</v>
      </c>
    </row>
    <row r="44" ht="15.0" customHeight="1">
      <c r="A44" s="170">
        <v>37.0</v>
      </c>
      <c r="B44" s="171" t="s">
        <v>118</v>
      </c>
      <c r="C44" s="172" t="s">
        <v>119</v>
      </c>
      <c r="D44" s="172" t="s">
        <v>198</v>
      </c>
      <c r="E44" s="172" t="s">
        <v>197</v>
      </c>
      <c r="F44" s="172"/>
      <c r="G44" s="172" t="s">
        <v>127</v>
      </c>
      <c r="H44" s="172" t="s">
        <v>186</v>
      </c>
      <c r="I44" s="173" t="s">
        <v>105</v>
      </c>
      <c r="J44" s="172" t="s">
        <v>106</v>
      </c>
      <c r="K44" s="174">
        <v>78.13</v>
      </c>
      <c r="L44" s="175">
        <v>107577.0</v>
      </c>
      <c r="M44" s="174">
        <v>11.72</v>
      </c>
      <c r="N44" s="175">
        <v>16137.0</v>
      </c>
      <c r="O44" s="174">
        <v>0.0</v>
      </c>
      <c r="P44" s="175">
        <v>0.0</v>
      </c>
      <c r="Q44" s="176">
        <f t="shared" ref="Q44:R44" si="45">M44-O44</f>
        <v>11.72</v>
      </c>
      <c r="R44" s="177">
        <f t="shared" si="45"/>
        <v>16137</v>
      </c>
      <c r="S44" s="178">
        <v>1376.9</v>
      </c>
      <c r="T44" s="179">
        <v>15.0</v>
      </c>
      <c r="U44" s="180" t="s">
        <v>107</v>
      </c>
      <c r="V44" s="180"/>
      <c r="W44" s="167"/>
      <c r="X44" s="168">
        <f t="shared" si="3"/>
        <v>0.1500041831</v>
      </c>
      <c r="Y44" s="168">
        <f t="shared" si="4"/>
        <v>0</v>
      </c>
      <c r="Z44" s="169">
        <f t="shared" si="5"/>
        <v>0</v>
      </c>
    </row>
    <row r="45" ht="15.0" customHeight="1">
      <c r="A45" s="170">
        <v>38.0</v>
      </c>
      <c r="B45" s="171" t="s">
        <v>118</v>
      </c>
      <c r="C45" s="172" t="s">
        <v>119</v>
      </c>
      <c r="D45" s="172" t="s">
        <v>199</v>
      </c>
      <c r="E45" s="172" t="s">
        <v>200</v>
      </c>
      <c r="F45" s="172"/>
      <c r="G45" s="172" t="s">
        <v>131</v>
      </c>
      <c r="H45" s="172" t="s">
        <v>167</v>
      </c>
      <c r="I45" s="173" t="s">
        <v>105</v>
      </c>
      <c r="J45" s="172" t="s">
        <v>106</v>
      </c>
      <c r="K45" s="174">
        <v>585.14</v>
      </c>
      <c r="L45" s="175">
        <v>805679.0</v>
      </c>
      <c r="M45" s="174">
        <v>87.77</v>
      </c>
      <c r="N45" s="175">
        <v>120850.0</v>
      </c>
      <c r="O45" s="174">
        <v>0.0</v>
      </c>
      <c r="P45" s="175">
        <v>0.0</v>
      </c>
      <c r="Q45" s="176">
        <f t="shared" ref="Q45:R45" si="46">M45-O45</f>
        <v>87.77</v>
      </c>
      <c r="R45" s="177">
        <f t="shared" si="46"/>
        <v>120850</v>
      </c>
      <c r="S45" s="178">
        <v>1376.9</v>
      </c>
      <c r="T45" s="179">
        <v>15.0</v>
      </c>
      <c r="U45" s="180" t="s">
        <v>107</v>
      </c>
      <c r="V45" s="180"/>
      <c r="W45" s="167"/>
      <c r="X45" s="168">
        <f t="shared" si="3"/>
        <v>0.1499977038</v>
      </c>
      <c r="Y45" s="168">
        <f t="shared" si="4"/>
        <v>0</v>
      </c>
      <c r="Z45" s="169">
        <f t="shared" si="5"/>
        <v>0</v>
      </c>
    </row>
    <row r="46" ht="15.0" customHeight="1">
      <c r="A46" s="170">
        <v>39.0</v>
      </c>
      <c r="B46" s="171" t="s">
        <v>118</v>
      </c>
      <c r="C46" s="172" t="s">
        <v>119</v>
      </c>
      <c r="D46" s="172" t="s">
        <v>201</v>
      </c>
      <c r="E46" s="172" t="s">
        <v>202</v>
      </c>
      <c r="F46" s="172"/>
      <c r="G46" s="172" t="s">
        <v>135</v>
      </c>
      <c r="H46" s="172" t="s">
        <v>172</v>
      </c>
      <c r="I46" s="173" t="s">
        <v>105</v>
      </c>
      <c r="J46" s="172" t="s">
        <v>106</v>
      </c>
      <c r="K46" s="174">
        <v>870.66</v>
      </c>
      <c r="L46" s="175">
        <v>1183139.0</v>
      </c>
      <c r="M46" s="174">
        <v>130.6</v>
      </c>
      <c r="N46" s="175">
        <v>177472.0</v>
      </c>
      <c r="O46" s="174">
        <v>0.0</v>
      </c>
      <c r="P46" s="175">
        <v>0.0</v>
      </c>
      <c r="Q46" s="176">
        <f t="shared" ref="Q46:R46" si="47">M46-O46</f>
        <v>130.6</v>
      </c>
      <c r="R46" s="177">
        <f t="shared" si="47"/>
        <v>177472</v>
      </c>
      <c r="S46" s="178">
        <v>1358.9</v>
      </c>
      <c r="T46" s="179">
        <v>15.0</v>
      </c>
      <c r="U46" s="180" t="s">
        <v>107</v>
      </c>
      <c r="V46" s="180"/>
      <c r="W46" s="167"/>
      <c r="X46" s="168">
        <f t="shared" si="3"/>
        <v>0.150000972</v>
      </c>
      <c r="Y46" s="168">
        <f t="shared" si="4"/>
        <v>0</v>
      </c>
      <c r="Z46" s="169">
        <f t="shared" si="5"/>
        <v>0</v>
      </c>
    </row>
    <row r="47" ht="15.0" customHeight="1">
      <c r="A47" s="170">
        <v>40.0</v>
      </c>
      <c r="B47" s="171" t="s">
        <v>118</v>
      </c>
      <c r="C47" s="172" t="s">
        <v>119</v>
      </c>
      <c r="D47" s="172" t="s">
        <v>201</v>
      </c>
      <c r="E47" s="172" t="s">
        <v>202</v>
      </c>
      <c r="F47" s="172"/>
      <c r="G47" s="172" t="s">
        <v>116</v>
      </c>
      <c r="H47" s="172" t="s">
        <v>117</v>
      </c>
      <c r="I47" s="173" t="s">
        <v>105</v>
      </c>
      <c r="J47" s="172" t="s">
        <v>106</v>
      </c>
      <c r="K47" s="174">
        <v>674.13</v>
      </c>
      <c r="L47" s="175">
        <v>916075.0</v>
      </c>
      <c r="M47" s="174">
        <v>101.12</v>
      </c>
      <c r="N47" s="175">
        <v>137411.0</v>
      </c>
      <c r="O47" s="174">
        <v>0.0</v>
      </c>
      <c r="P47" s="175">
        <v>0.0</v>
      </c>
      <c r="Q47" s="176">
        <f t="shared" ref="Q47:R47" si="48">M47-O47</f>
        <v>101.12</v>
      </c>
      <c r="R47" s="177">
        <f t="shared" si="48"/>
        <v>137411</v>
      </c>
      <c r="S47" s="178">
        <v>1358.9</v>
      </c>
      <c r="T47" s="179">
        <v>15.0</v>
      </c>
      <c r="U47" s="180" t="s">
        <v>107</v>
      </c>
      <c r="V47" s="180"/>
      <c r="W47" s="167"/>
      <c r="X47" s="168">
        <f t="shared" si="3"/>
        <v>0.1499997271</v>
      </c>
      <c r="Y47" s="168">
        <f t="shared" si="4"/>
        <v>0</v>
      </c>
      <c r="Z47" s="169">
        <f t="shared" si="5"/>
        <v>0</v>
      </c>
    </row>
    <row r="48" ht="15.0" customHeight="1">
      <c r="A48" s="170">
        <v>41.0</v>
      </c>
      <c r="B48" s="171" t="s">
        <v>118</v>
      </c>
      <c r="C48" s="172" t="s">
        <v>119</v>
      </c>
      <c r="D48" s="172" t="s">
        <v>201</v>
      </c>
      <c r="E48" s="172"/>
      <c r="F48" s="172"/>
      <c r="G48" s="172" t="s">
        <v>148</v>
      </c>
      <c r="H48" s="172" t="s">
        <v>203</v>
      </c>
      <c r="I48" s="173" t="s">
        <v>105</v>
      </c>
      <c r="J48" s="172" t="s">
        <v>150</v>
      </c>
      <c r="K48" s="174">
        <v>0.0</v>
      </c>
      <c r="L48" s="175">
        <v>0.0</v>
      </c>
      <c r="M48" s="174">
        <v>0.0</v>
      </c>
      <c r="N48" s="175">
        <v>6.0</v>
      </c>
      <c r="O48" s="174">
        <v>0.0</v>
      </c>
      <c r="P48" s="175">
        <v>0.0</v>
      </c>
      <c r="Q48" s="176">
        <f t="shared" ref="Q48:R48" si="49">M48-O48</f>
        <v>0</v>
      </c>
      <c r="R48" s="177">
        <f t="shared" si="49"/>
        <v>6</v>
      </c>
      <c r="S48" s="178">
        <v>1.0</v>
      </c>
      <c r="T48" s="179">
        <v>0.0</v>
      </c>
      <c r="U48" s="180" t="s">
        <v>151</v>
      </c>
      <c r="V48" s="180"/>
      <c r="W48" s="167"/>
      <c r="X48" s="168">
        <f t="shared" si="3"/>
        <v>0</v>
      </c>
      <c r="Y48" s="168">
        <f t="shared" si="4"/>
        <v>0.14</v>
      </c>
      <c r="Z48" s="169">
        <f t="shared" si="5"/>
        <v>0</v>
      </c>
    </row>
    <row r="49" ht="15.0" customHeight="1">
      <c r="A49" s="170">
        <v>42.0</v>
      </c>
      <c r="B49" s="171" t="s">
        <v>118</v>
      </c>
      <c r="C49" s="172" t="s">
        <v>119</v>
      </c>
      <c r="D49" s="172" t="s">
        <v>204</v>
      </c>
      <c r="E49" s="172"/>
      <c r="F49" s="172"/>
      <c r="G49" s="172" t="s">
        <v>148</v>
      </c>
      <c r="H49" s="172" t="s">
        <v>205</v>
      </c>
      <c r="I49" s="173" t="s">
        <v>105</v>
      </c>
      <c r="J49" s="172" t="s">
        <v>150</v>
      </c>
      <c r="K49" s="174">
        <v>0.0</v>
      </c>
      <c r="L49" s="175">
        <v>0.0</v>
      </c>
      <c r="M49" s="174">
        <v>0.0</v>
      </c>
      <c r="N49" s="175">
        <v>60.0</v>
      </c>
      <c r="O49" s="174">
        <v>0.0</v>
      </c>
      <c r="P49" s="175">
        <v>0.0</v>
      </c>
      <c r="Q49" s="176">
        <f t="shared" ref="Q49:R49" si="50">M49-O49</f>
        <v>0</v>
      </c>
      <c r="R49" s="177">
        <f t="shared" si="50"/>
        <v>60</v>
      </c>
      <c r="S49" s="178">
        <v>1.0</v>
      </c>
      <c r="T49" s="179">
        <v>0.0</v>
      </c>
      <c r="U49" s="180" t="s">
        <v>151</v>
      </c>
      <c r="V49" s="180"/>
      <c r="W49" s="167"/>
      <c r="X49" s="168">
        <f t="shared" si="3"/>
        <v>0</v>
      </c>
      <c r="Y49" s="168">
        <f t="shared" si="4"/>
        <v>0.14</v>
      </c>
      <c r="Z49" s="169">
        <f t="shared" si="5"/>
        <v>0</v>
      </c>
    </row>
    <row r="50" ht="15.0" customHeight="1">
      <c r="A50" s="170">
        <v>43.0</v>
      </c>
      <c r="B50" s="171" t="s">
        <v>118</v>
      </c>
      <c r="C50" s="172" t="s">
        <v>119</v>
      </c>
      <c r="D50" s="172" t="s">
        <v>206</v>
      </c>
      <c r="E50" s="172" t="s">
        <v>207</v>
      </c>
      <c r="F50" s="172"/>
      <c r="G50" s="172" t="s">
        <v>208</v>
      </c>
      <c r="H50" s="173" t="s">
        <v>209</v>
      </c>
      <c r="I50" s="173" t="s">
        <v>105</v>
      </c>
      <c r="J50" s="172" t="s">
        <v>106</v>
      </c>
      <c r="K50" s="174">
        <v>2.58</v>
      </c>
      <c r="L50" s="175">
        <v>3526.0</v>
      </c>
      <c r="M50" s="174">
        <v>0.39</v>
      </c>
      <c r="N50" s="175">
        <v>533.0</v>
      </c>
      <c r="O50" s="174">
        <v>0.0</v>
      </c>
      <c r="P50" s="175">
        <v>0.0</v>
      </c>
      <c r="Q50" s="176">
        <f t="shared" ref="Q50:R50" si="51">M50-O50</f>
        <v>0.39</v>
      </c>
      <c r="R50" s="177">
        <f t="shared" si="51"/>
        <v>533</v>
      </c>
      <c r="S50" s="178">
        <v>1366.8</v>
      </c>
      <c r="T50" s="179">
        <v>15.0</v>
      </c>
      <c r="U50" s="180" t="s">
        <v>107</v>
      </c>
      <c r="V50" s="180"/>
      <c r="W50" s="117"/>
      <c r="X50" s="168">
        <f t="shared" si="3"/>
        <v>0.1511627907</v>
      </c>
      <c r="Y50" s="168">
        <f t="shared" si="4"/>
        <v>0</v>
      </c>
      <c r="Z50" s="169">
        <f t="shared" si="5"/>
        <v>0</v>
      </c>
    </row>
    <row r="51" ht="15.0" customHeight="1">
      <c r="A51" s="170">
        <v>44.0</v>
      </c>
      <c r="B51" s="171" t="s">
        <v>118</v>
      </c>
      <c r="C51" s="172" t="s">
        <v>119</v>
      </c>
      <c r="D51" s="172" t="s">
        <v>206</v>
      </c>
      <c r="E51" s="172" t="s">
        <v>206</v>
      </c>
      <c r="F51" s="172"/>
      <c r="G51" s="172" t="s">
        <v>210</v>
      </c>
      <c r="H51" s="173" t="s">
        <v>211</v>
      </c>
      <c r="I51" s="173" t="s">
        <v>105</v>
      </c>
      <c r="J51" s="172" t="s">
        <v>106</v>
      </c>
      <c r="K51" s="174">
        <v>0.2</v>
      </c>
      <c r="L51" s="175">
        <v>273.0</v>
      </c>
      <c r="M51" s="174">
        <v>0.03</v>
      </c>
      <c r="N51" s="175">
        <v>41.0</v>
      </c>
      <c r="O51" s="174">
        <v>0.0</v>
      </c>
      <c r="P51" s="175">
        <v>0.0</v>
      </c>
      <c r="Q51" s="176">
        <f t="shared" ref="Q51:R51" si="52">M51-O51</f>
        <v>0.03</v>
      </c>
      <c r="R51" s="177">
        <f t="shared" si="52"/>
        <v>41</v>
      </c>
      <c r="S51" s="178">
        <v>1366.8</v>
      </c>
      <c r="T51" s="179">
        <v>15.0</v>
      </c>
      <c r="U51" s="180" t="s">
        <v>107</v>
      </c>
      <c r="V51" s="180"/>
      <c r="W51" s="119"/>
      <c r="X51" s="168">
        <f t="shared" si="3"/>
        <v>0.1501831502</v>
      </c>
      <c r="Y51" s="168">
        <f t="shared" si="4"/>
        <v>0</v>
      </c>
      <c r="Z51" s="169">
        <f t="shared" si="5"/>
        <v>0</v>
      </c>
    </row>
    <row r="52" ht="15.0" customHeight="1">
      <c r="A52" s="170">
        <v>45.0</v>
      </c>
      <c r="B52" s="171" t="s">
        <v>118</v>
      </c>
      <c r="C52" s="172" t="s">
        <v>119</v>
      </c>
      <c r="D52" s="172" t="s">
        <v>212</v>
      </c>
      <c r="E52" s="172" t="s">
        <v>207</v>
      </c>
      <c r="F52" s="172"/>
      <c r="G52" s="172" t="s">
        <v>139</v>
      </c>
      <c r="H52" s="172" t="s">
        <v>180</v>
      </c>
      <c r="I52" s="173" t="s">
        <v>105</v>
      </c>
      <c r="J52" s="172" t="s">
        <v>106</v>
      </c>
      <c r="K52" s="174">
        <v>325.87</v>
      </c>
      <c r="L52" s="175">
        <v>444356.0</v>
      </c>
      <c r="M52" s="174">
        <v>48.88</v>
      </c>
      <c r="N52" s="175">
        <v>66652.0</v>
      </c>
      <c r="O52" s="174">
        <v>0.0</v>
      </c>
      <c r="P52" s="175">
        <v>0.0</v>
      </c>
      <c r="Q52" s="176">
        <f t="shared" ref="Q52:R52" si="53">M52-O52</f>
        <v>48.88</v>
      </c>
      <c r="R52" s="177">
        <f t="shared" si="53"/>
        <v>66652</v>
      </c>
      <c r="S52" s="178">
        <v>1363.6</v>
      </c>
      <c r="T52" s="179">
        <v>15.0</v>
      </c>
      <c r="U52" s="180" t="s">
        <v>107</v>
      </c>
      <c r="V52" s="180"/>
      <c r="W52" s="121"/>
      <c r="X52" s="168">
        <f t="shared" si="3"/>
        <v>0.1499968494</v>
      </c>
      <c r="Y52" s="168">
        <f t="shared" si="4"/>
        <v>0</v>
      </c>
      <c r="Z52" s="169">
        <f t="shared" si="5"/>
        <v>0</v>
      </c>
    </row>
    <row r="53" ht="15.0" customHeight="1">
      <c r="A53" s="170">
        <v>46.0</v>
      </c>
      <c r="B53" s="171" t="s">
        <v>118</v>
      </c>
      <c r="C53" s="172" t="s">
        <v>119</v>
      </c>
      <c r="D53" s="172" t="s">
        <v>213</v>
      </c>
      <c r="E53" s="172" t="s">
        <v>213</v>
      </c>
      <c r="F53" s="172"/>
      <c r="G53" s="172" t="s">
        <v>127</v>
      </c>
      <c r="H53" s="172" t="s">
        <v>186</v>
      </c>
      <c r="I53" s="173" t="s">
        <v>105</v>
      </c>
      <c r="J53" s="172" t="s">
        <v>106</v>
      </c>
      <c r="K53" s="174">
        <v>32.26</v>
      </c>
      <c r="L53" s="175">
        <v>44176.0</v>
      </c>
      <c r="M53" s="174">
        <v>4.84</v>
      </c>
      <c r="N53" s="175">
        <v>6627.0</v>
      </c>
      <c r="O53" s="174">
        <v>0.0</v>
      </c>
      <c r="P53" s="175">
        <v>0.0</v>
      </c>
      <c r="Q53" s="176">
        <f t="shared" ref="Q53:R53" si="54">M53-O53</f>
        <v>4.84</v>
      </c>
      <c r="R53" s="177">
        <f t="shared" si="54"/>
        <v>6627</v>
      </c>
      <c r="S53" s="178">
        <v>1369.4</v>
      </c>
      <c r="T53" s="179">
        <v>15.0</v>
      </c>
      <c r="U53" s="180" t="s">
        <v>107</v>
      </c>
      <c r="V53" s="180"/>
      <c r="W53" s="192"/>
      <c r="X53" s="168">
        <f t="shared" si="3"/>
        <v>0.150013582</v>
      </c>
      <c r="Y53" s="168">
        <f t="shared" si="4"/>
        <v>0</v>
      </c>
      <c r="Z53" s="169">
        <f t="shared" si="5"/>
        <v>0</v>
      </c>
    </row>
    <row r="54" ht="15.0" customHeight="1">
      <c r="A54" s="170">
        <v>47.0</v>
      </c>
      <c r="B54" s="171" t="s">
        <v>118</v>
      </c>
      <c r="C54" s="172" t="s">
        <v>119</v>
      </c>
      <c r="D54" s="172" t="s">
        <v>214</v>
      </c>
      <c r="E54" s="172" t="s">
        <v>213</v>
      </c>
      <c r="F54" s="172"/>
      <c r="G54" s="172" t="s">
        <v>143</v>
      </c>
      <c r="H54" s="172" t="s">
        <v>160</v>
      </c>
      <c r="I54" s="173" t="s">
        <v>105</v>
      </c>
      <c r="J54" s="172" t="s">
        <v>106</v>
      </c>
      <c r="K54" s="174">
        <v>22.53</v>
      </c>
      <c r="L54" s="175">
        <v>30753.0</v>
      </c>
      <c r="M54" s="174">
        <v>3.38</v>
      </c>
      <c r="N54" s="175">
        <v>4613.0</v>
      </c>
      <c r="O54" s="174">
        <v>0.0</v>
      </c>
      <c r="P54" s="175">
        <v>0.0</v>
      </c>
      <c r="Q54" s="176">
        <f t="shared" ref="Q54:R54" si="55">M54-O54</f>
        <v>3.38</v>
      </c>
      <c r="R54" s="177">
        <f t="shared" si="55"/>
        <v>4613</v>
      </c>
      <c r="S54" s="178">
        <v>1365.0</v>
      </c>
      <c r="T54" s="179">
        <v>15.0</v>
      </c>
      <c r="U54" s="180" t="s">
        <v>107</v>
      </c>
      <c r="V54" s="180"/>
      <c r="W54" s="167"/>
      <c r="X54" s="168">
        <f t="shared" si="3"/>
        <v>0.1500016259</v>
      </c>
      <c r="Y54" s="168">
        <f t="shared" si="4"/>
        <v>0</v>
      </c>
      <c r="Z54" s="169">
        <f t="shared" si="5"/>
        <v>0</v>
      </c>
    </row>
    <row r="55" ht="15.0" customHeight="1">
      <c r="A55" s="170">
        <v>48.0</v>
      </c>
      <c r="B55" s="171" t="s">
        <v>118</v>
      </c>
      <c r="C55" s="172" t="s">
        <v>119</v>
      </c>
      <c r="D55" s="172" t="s">
        <v>214</v>
      </c>
      <c r="E55" s="172" t="s">
        <v>215</v>
      </c>
      <c r="F55" s="172"/>
      <c r="G55" s="172" t="s">
        <v>216</v>
      </c>
      <c r="H55" s="173" t="s">
        <v>217</v>
      </c>
      <c r="I55" s="173" t="s">
        <v>105</v>
      </c>
      <c r="J55" s="172" t="s">
        <v>106</v>
      </c>
      <c r="K55" s="174">
        <v>8.84</v>
      </c>
      <c r="L55" s="175">
        <v>12066.0</v>
      </c>
      <c r="M55" s="174">
        <v>1.33</v>
      </c>
      <c r="N55" s="175">
        <v>1815.0</v>
      </c>
      <c r="O55" s="174">
        <v>0.0</v>
      </c>
      <c r="P55" s="175">
        <v>0.0</v>
      </c>
      <c r="Q55" s="176">
        <f t="shared" ref="Q55:R55" si="56">M55-O55</f>
        <v>1.33</v>
      </c>
      <c r="R55" s="177">
        <f t="shared" si="56"/>
        <v>1815</v>
      </c>
      <c r="S55" s="178">
        <v>1365.0</v>
      </c>
      <c r="T55" s="179">
        <v>15.0</v>
      </c>
      <c r="U55" s="180" t="s">
        <v>107</v>
      </c>
      <c r="V55" s="180"/>
      <c r="W55" s="167"/>
      <c r="X55" s="168">
        <f t="shared" si="3"/>
        <v>0.1504226753</v>
      </c>
      <c r="Y55" s="168">
        <f t="shared" si="4"/>
        <v>0</v>
      </c>
      <c r="Z55" s="169">
        <f t="shared" si="5"/>
        <v>0</v>
      </c>
    </row>
    <row r="56" ht="15.0" customHeight="1">
      <c r="A56" s="170">
        <v>49.0</v>
      </c>
      <c r="B56" s="171" t="s">
        <v>118</v>
      </c>
      <c r="C56" s="172" t="s">
        <v>119</v>
      </c>
      <c r="D56" s="172" t="s">
        <v>218</v>
      </c>
      <c r="E56" s="172" t="s">
        <v>219</v>
      </c>
      <c r="F56" s="172"/>
      <c r="G56" s="172" t="s">
        <v>131</v>
      </c>
      <c r="H56" s="172" t="s">
        <v>167</v>
      </c>
      <c r="I56" s="173" t="s">
        <v>105</v>
      </c>
      <c r="J56" s="172" t="s">
        <v>106</v>
      </c>
      <c r="K56" s="174">
        <v>426.18</v>
      </c>
      <c r="L56" s="175">
        <v>576877.0</v>
      </c>
      <c r="M56" s="174">
        <v>63.93</v>
      </c>
      <c r="N56" s="175">
        <v>86535.0</v>
      </c>
      <c r="O56" s="174">
        <v>0.0</v>
      </c>
      <c r="P56" s="175">
        <v>0.0</v>
      </c>
      <c r="Q56" s="176">
        <f t="shared" ref="Q56:R56" si="57">M56-O56</f>
        <v>63.93</v>
      </c>
      <c r="R56" s="177">
        <f t="shared" si="57"/>
        <v>86535</v>
      </c>
      <c r="S56" s="178">
        <v>1353.6</v>
      </c>
      <c r="T56" s="179">
        <v>15.0</v>
      </c>
      <c r="U56" s="180" t="s">
        <v>107</v>
      </c>
      <c r="V56" s="180"/>
      <c r="W56" s="167"/>
      <c r="X56" s="168">
        <f t="shared" si="3"/>
        <v>0.1500059805</v>
      </c>
      <c r="Y56" s="168">
        <f t="shared" si="4"/>
        <v>0</v>
      </c>
      <c r="Z56" s="169">
        <f t="shared" si="5"/>
        <v>0</v>
      </c>
    </row>
    <row r="57" ht="15.0" customHeight="1">
      <c r="A57" s="170">
        <v>50.0</v>
      </c>
      <c r="B57" s="171" t="s">
        <v>118</v>
      </c>
      <c r="C57" s="172" t="s">
        <v>119</v>
      </c>
      <c r="D57" s="172" t="s">
        <v>218</v>
      </c>
      <c r="E57" s="172"/>
      <c r="F57" s="172"/>
      <c r="G57" s="172" t="s">
        <v>148</v>
      </c>
      <c r="H57" s="172" t="s">
        <v>220</v>
      </c>
      <c r="I57" s="173" t="s">
        <v>105</v>
      </c>
      <c r="J57" s="172" t="s">
        <v>150</v>
      </c>
      <c r="K57" s="174">
        <v>0.0</v>
      </c>
      <c r="L57" s="175">
        <v>693.0</v>
      </c>
      <c r="M57" s="174">
        <v>0.0</v>
      </c>
      <c r="N57" s="175">
        <v>122.0</v>
      </c>
      <c r="O57" s="174">
        <v>0.0</v>
      </c>
      <c r="P57" s="175">
        <v>0.0</v>
      </c>
      <c r="Q57" s="176">
        <f t="shared" ref="Q57:R57" si="58">M57-O57</f>
        <v>0</v>
      </c>
      <c r="R57" s="177">
        <f t="shared" si="58"/>
        <v>122</v>
      </c>
      <c r="S57" s="178">
        <v>1.0</v>
      </c>
      <c r="T57" s="179">
        <v>14.0</v>
      </c>
      <c r="U57" s="180" t="s">
        <v>151</v>
      </c>
      <c r="V57" s="180"/>
      <c r="W57" s="167"/>
      <c r="X57" s="168">
        <f t="shared" si="3"/>
        <v>0.176046176</v>
      </c>
      <c r="Y57" s="168">
        <f t="shared" si="4"/>
        <v>0</v>
      </c>
      <c r="Z57" s="169">
        <f t="shared" si="5"/>
        <v>0</v>
      </c>
    </row>
    <row r="58" ht="15.0" customHeight="1">
      <c r="A58" s="170">
        <v>51.0</v>
      </c>
      <c r="B58" s="171" t="s">
        <v>118</v>
      </c>
      <c r="C58" s="172" t="s">
        <v>119</v>
      </c>
      <c r="D58" s="172" t="s">
        <v>221</v>
      </c>
      <c r="E58" s="172"/>
      <c r="F58" s="172"/>
      <c r="G58" s="172" t="s">
        <v>148</v>
      </c>
      <c r="H58" s="172" t="s">
        <v>222</v>
      </c>
      <c r="I58" s="173" t="s">
        <v>105</v>
      </c>
      <c r="J58" s="172" t="s">
        <v>150</v>
      </c>
      <c r="K58" s="174">
        <v>0.0</v>
      </c>
      <c r="L58" s="175">
        <v>552.0</v>
      </c>
      <c r="M58" s="174">
        <v>0.0</v>
      </c>
      <c r="N58" s="175">
        <v>97.0</v>
      </c>
      <c r="O58" s="174">
        <v>0.0</v>
      </c>
      <c r="P58" s="175">
        <v>0.0</v>
      </c>
      <c r="Q58" s="176">
        <f t="shared" ref="Q58:R58" si="59">M58-O58</f>
        <v>0</v>
      </c>
      <c r="R58" s="177">
        <f t="shared" si="59"/>
        <v>97</v>
      </c>
      <c r="S58" s="178">
        <v>1.0</v>
      </c>
      <c r="T58" s="179">
        <v>14.0</v>
      </c>
      <c r="U58" s="180" t="s">
        <v>151</v>
      </c>
      <c r="V58" s="180"/>
      <c r="W58" s="167"/>
      <c r="X58" s="168">
        <f t="shared" si="3"/>
        <v>0.1757246377</v>
      </c>
      <c r="Y58" s="168">
        <f t="shared" si="4"/>
        <v>0</v>
      </c>
      <c r="Z58" s="169">
        <f t="shared" si="5"/>
        <v>0</v>
      </c>
    </row>
    <row r="59" ht="15.0" customHeight="1">
      <c r="A59" s="170">
        <v>52.0</v>
      </c>
      <c r="B59" s="171" t="s">
        <v>118</v>
      </c>
      <c r="C59" s="172" t="s">
        <v>119</v>
      </c>
      <c r="D59" s="172" t="s">
        <v>223</v>
      </c>
      <c r="E59" s="172" t="s">
        <v>223</v>
      </c>
      <c r="F59" s="172"/>
      <c r="G59" s="172" t="s">
        <v>224</v>
      </c>
      <c r="H59" s="172" t="s">
        <v>225</v>
      </c>
      <c r="I59" s="173" t="s">
        <v>105</v>
      </c>
      <c r="J59" s="172" t="s">
        <v>106</v>
      </c>
      <c r="K59" s="174">
        <v>96.61</v>
      </c>
      <c r="L59" s="175">
        <v>131795.0</v>
      </c>
      <c r="M59" s="174">
        <v>14.49</v>
      </c>
      <c r="N59" s="175">
        <v>19767.0</v>
      </c>
      <c r="O59" s="174">
        <v>0.0</v>
      </c>
      <c r="P59" s="175">
        <v>0.0</v>
      </c>
      <c r="Q59" s="176">
        <f t="shared" ref="Q59:R59" si="60">M59-O59</f>
        <v>14.49</v>
      </c>
      <c r="R59" s="177">
        <f t="shared" si="60"/>
        <v>19767</v>
      </c>
      <c r="S59" s="178">
        <v>1364.2</v>
      </c>
      <c r="T59" s="179">
        <v>15.0</v>
      </c>
      <c r="U59" s="180" t="s">
        <v>107</v>
      </c>
      <c r="V59" s="180"/>
      <c r="W59" s="167"/>
      <c r="X59" s="168">
        <f t="shared" si="3"/>
        <v>0.149982928</v>
      </c>
      <c r="Y59" s="168">
        <f t="shared" si="4"/>
        <v>0</v>
      </c>
      <c r="Z59" s="169">
        <f t="shared" si="5"/>
        <v>0</v>
      </c>
    </row>
    <row r="60" ht="15.0" customHeight="1">
      <c r="A60" s="170">
        <v>53.0</v>
      </c>
      <c r="B60" s="171" t="s">
        <v>118</v>
      </c>
      <c r="C60" s="172" t="s">
        <v>119</v>
      </c>
      <c r="D60" s="172" t="s">
        <v>226</v>
      </c>
      <c r="E60" s="172" t="s">
        <v>223</v>
      </c>
      <c r="F60" s="172"/>
      <c r="G60" s="172" t="s">
        <v>135</v>
      </c>
      <c r="H60" s="172" t="s">
        <v>172</v>
      </c>
      <c r="I60" s="173" t="s">
        <v>105</v>
      </c>
      <c r="J60" s="172" t="s">
        <v>106</v>
      </c>
      <c r="K60" s="174">
        <v>733.01</v>
      </c>
      <c r="L60" s="175">
        <v>1001731.0</v>
      </c>
      <c r="M60" s="174">
        <v>109.95</v>
      </c>
      <c r="N60" s="175">
        <v>150257.0</v>
      </c>
      <c r="O60" s="174">
        <v>0.0</v>
      </c>
      <c r="P60" s="175">
        <v>0.0</v>
      </c>
      <c r="Q60" s="176">
        <f t="shared" ref="Q60:R60" si="61">M60-O60</f>
        <v>109.95</v>
      </c>
      <c r="R60" s="177">
        <f t="shared" si="61"/>
        <v>150257</v>
      </c>
      <c r="S60" s="178">
        <v>1366.6</v>
      </c>
      <c r="T60" s="179">
        <v>15.0</v>
      </c>
      <c r="U60" s="180" t="s">
        <v>107</v>
      </c>
      <c r="V60" s="180"/>
      <c r="W60" s="167"/>
      <c r="X60" s="168">
        <f t="shared" si="3"/>
        <v>0.1499973546</v>
      </c>
      <c r="Y60" s="168">
        <f t="shared" si="4"/>
        <v>0</v>
      </c>
      <c r="Z60" s="169">
        <f t="shared" si="5"/>
        <v>0</v>
      </c>
    </row>
    <row r="61" ht="15.0" customHeight="1">
      <c r="A61" s="170">
        <v>54.0</v>
      </c>
      <c r="B61" s="171" t="s">
        <v>118</v>
      </c>
      <c r="C61" s="172" t="s">
        <v>119</v>
      </c>
      <c r="D61" s="172" t="s">
        <v>227</v>
      </c>
      <c r="E61" s="172" t="s">
        <v>226</v>
      </c>
      <c r="F61" s="172"/>
      <c r="G61" s="172" t="s">
        <v>116</v>
      </c>
      <c r="H61" s="172" t="s">
        <v>117</v>
      </c>
      <c r="I61" s="173" t="s">
        <v>105</v>
      </c>
      <c r="J61" s="172" t="s">
        <v>106</v>
      </c>
      <c r="K61" s="174">
        <v>524.97</v>
      </c>
      <c r="L61" s="175">
        <v>718158.0</v>
      </c>
      <c r="M61" s="174">
        <v>78.74</v>
      </c>
      <c r="N61" s="175">
        <v>107716.0</v>
      </c>
      <c r="O61" s="174">
        <v>0.0</v>
      </c>
      <c r="P61" s="175">
        <v>0.0</v>
      </c>
      <c r="Q61" s="176">
        <f t="shared" ref="Q61:R61" si="62">M61-O61</f>
        <v>78.74</v>
      </c>
      <c r="R61" s="177">
        <f t="shared" si="62"/>
        <v>107716</v>
      </c>
      <c r="S61" s="178">
        <v>1368.0</v>
      </c>
      <c r="T61" s="179">
        <v>15.0</v>
      </c>
      <c r="U61" s="180" t="s">
        <v>107</v>
      </c>
      <c r="V61" s="180"/>
      <c r="W61" s="167"/>
      <c r="X61" s="168">
        <f t="shared" si="3"/>
        <v>0.1499892781</v>
      </c>
      <c r="Y61" s="168">
        <f t="shared" si="4"/>
        <v>0</v>
      </c>
      <c r="Z61" s="169">
        <f t="shared" si="5"/>
        <v>0</v>
      </c>
    </row>
    <row r="62" ht="15.0" customHeight="1">
      <c r="A62" s="170">
        <v>55.0</v>
      </c>
      <c r="B62" s="171" t="s">
        <v>118</v>
      </c>
      <c r="C62" s="172" t="s">
        <v>119</v>
      </c>
      <c r="D62" s="172" t="s">
        <v>227</v>
      </c>
      <c r="E62" s="172" t="s">
        <v>226</v>
      </c>
      <c r="F62" s="172"/>
      <c r="G62" s="172" t="s">
        <v>228</v>
      </c>
      <c r="H62" s="173" t="s">
        <v>229</v>
      </c>
      <c r="I62" s="173" t="s">
        <v>105</v>
      </c>
      <c r="J62" s="172" t="s">
        <v>106</v>
      </c>
      <c r="K62" s="174">
        <v>8.91</v>
      </c>
      <c r="L62" s="175">
        <v>12188.0</v>
      </c>
      <c r="M62" s="174">
        <v>1.34</v>
      </c>
      <c r="N62" s="175">
        <v>1833.0</v>
      </c>
      <c r="O62" s="174">
        <v>0.0</v>
      </c>
      <c r="P62" s="175">
        <v>0.0</v>
      </c>
      <c r="Q62" s="176">
        <f t="shared" ref="Q62:R62" si="63">M62-O62</f>
        <v>1.34</v>
      </c>
      <c r="R62" s="177">
        <f t="shared" si="63"/>
        <v>1833</v>
      </c>
      <c r="S62" s="178">
        <v>1368.0</v>
      </c>
      <c r="T62" s="179">
        <v>15.0</v>
      </c>
      <c r="U62" s="180" t="s">
        <v>107</v>
      </c>
      <c r="V62" s="180"/>
      <c r="W62" s="167"/>
      <c r="X62" s="168">
        <f t="shared" si="3"/>
        <v>0.15039383</v>
      </c>
      <c r="Y62" s="168">
        <f t="shared" si="4"/>
        <v>0</v>
      </c>
      <c r="Z62" s="169">
        <f t="shared" si="5"/>
        <v>0</v>
      </c>
    </row>
    <row r="63" ht="15.0" customHeight="1">
      <c r="A63" s="170">
        <v>56.0</v>
      </c>
      <c r="B63" s="171" t="s">
        <v>118</v>
      </c>
      <c r="C63" s="172" t="s">
        <v>119</v>
      </c>
      <c r="D63" s="172" t="s">
        <v>230</v>
      </c>
      <c r="E63" s="172" t="s">
        <v>231</v>
      </c>
      <c r="F63" s="172"/>
      <c r="G63" s="172" t="s">
        <v>183</v>
      </c>
      <c r="H63" s="173" t="s">
        <v>184</v>
      </c>
      <c r="I63" s="173" t="s">
        <v>105</v>
      </c>
      <c r="J63" s="172" t="s">
        <v>106</v>
      </c>
      <c r="K63" s="174">
        <v>0.83</v>
      </c>
      <c r="L63" s="175">
        <v>1139.0</v>
      </c>
      <c r="M63" s="174">
        <v>0.12</v>
      </c>
      <c r="N63" s="175">
        <v>164.0</v>
      </c>
      <c r="O63" s="174">
        <v>0.0</v>
      </c>
      <c r="P63" s="175">
        <v>0.0</v>
      </c>
      <c r="Q63" s="176">
        <f t="shared" ref="Q63:R63" si="64">M63-O63</f>
        <v>0.12</v>
      </c>
      <c r="R63" s="177">
        <f t="shared" si="64"/>
        <v>164</v>
      </c>
      <c r="S63" s="178">
        <v>1373.0</v>
      </c>
      <c r="T63" s="179">
        <v>15.0</v>
      </c>
      <c r="U63" s="180" t="s">
        <v>107</v>
      </c>
      <c r="V63" s="180"/>
      <c r="W63" s="167"/>
      <c r="X63" s="168">
        <f t="shared" si="3"/>
        <v>0.1439859526</v>
      </c>
      <c r="Y63" s="168">
        <f t="shared" si="4"/>
        <v>0</v>
      </c>
      <c r="Z63" s="169">
        <f t="shared" si="5"/>
        <v>0</v>
      </c>
    </row>
    <row r="64" ht="15.0" customHeight="1">
      <c r="A64" s="170">
        <v>57.0</v>
      </c>
      <c r="B64" s="171" t="s">
        <v>118</v>
      </c>
      <c r="C64" s="172" t="s">
        <v>119</v>
      </c>
      <c r="D64" s="172" t="s">
        <v>232</v>
      </c>
      <c r="E64" s="172" t="s">
        <v>230</v>
      </c>
      <c r="F64" s="172"/>
      <c r="G64" s="172" t="s">
        <v>139</v>
      </c>
      <c r="H64" s="172" t="s">
        <v>180</v>
      </c>
      <c r="I64" s="173" t="s">
        <v>105</v>
      </c>
      <c r="J64" s="172" t="s">
        <v>106</v>
      </c>
      <c r="K64" s="174">
        <v>387.3</v>
      </c>
      <c r="L64" s="175">
        <v>532421.0</v>
      </c>
      <c r="M64" s="174">
        <v>58.1</v>
      </c>
      <c r="N64" s="175">
        <v>79870.0</v>
      </c>
      <c r="O64" s="174">
        <v>0.0</v>
      </c>
      <c r="P64" s="175">
        <v>0.0</v>
      </c>
      <c r="Q64" s="176">
        <f t="shared" ref="Q64:R64" si="65">M64-O64</f>
        <v>58.1</v>
      </c>
      <c r="R64" s="177">
        <f t="shared" si="65"/>
        <v>79870</v>
      </c>
      <c r="S64" s="178">
        <v>1374.7</v>
      </c>
      <c r="T64" s="179">
        <v>15.0</v>
      </c>
      <c r="U64" s="180" t="s">
        <v>107</v>
      </c>
      <c r="V64" s="180"/>
      <c r="W64" s="167"/>
      <c r="X64" s="168">
        <f t="shared" si="3"/>
        <v>0.1500128658</v>
      </c>
      <c r="Y64" s="168">
        <f t="shared" si="4"/>
        <v>0</v>
      </c>
      <c r="Z64" s="169">
        <f t="shared" si="5"/>
        <v>0</v>
      </c>
    </row>
    <row r="65" ht="15.0" customHeight="1">
      <c r="A65" s="170">
        <v>58.0</v>
      </c>
      <c r="B65" s="171" t="s">
        <v>118</v>
      </c>
      <c r="C65" s="172" t="s">
        <v>119</v>
      </c>
      <c r="D65" s="172" t="s">
        <v>233</v>
      </c>
      <c r="E65" s="172" t="s">
        <v>234</v>
      </c>
      <c r="F65" s="172"/>
      <c r="G65" s="172" t="s">
        <v>173</v>
      </c>
      <c r="H65" s="173" t="s">
        <v>174</v>
      </c>
      <c r="I65" s="173" t="s">
        <v>105</v>
      </c>
      <c r="J65" s="172" t="s">
        <v>106</v>
      </c>
      <c r="K65" s="174">
        <v>0.5</v>
      </c>
      <c r="L65" s="175">
        <v>691.0</v>
      </c>
      <c r="M65" s="174">
        <v>0.08</v>
      </c>
      <c r="N65" s="175">
        <v>110.0</v>
      </c>
      <c r="O65" s="174">
        <v>0.0</v>
      </c>
      <c r="P65" s="175">
        <v>0.0</v>
      </c>
      <c r="Q65" s="176">
        <f t="shared" ref="Q65:R65" si="66">M65-O65</f>
        <v>0.08</v>
      </c>
      <c r="R65" s="177">
        <f t="shared" si="66"/>
        <v>110</v>
      </c>
      <c r="S65" s="178">
        <v>1382.7</v>
      </c>
      <c r="T65" s="179">
        <v>15.0</v>
      </c>
      <c r="U65" s="180" t="s">
        <v>107</v>
      </c>
      <c r="V65" s="180"/>
      <c r="W65" s="167"/>
      <c r="X65" s="168">
        <f t="shared" si="3"/>
        <v>0.1591895803</v>
      </c>
      <c r="Y65" s="168">
        <f t="shared" si="4"/>
        <v>0</v>
      </c>
      <c r="Z65" s="169">
        <f t="shared" si="5"/>
        <v>0</v>
      </c>
    </row>
    <row r="66" ht="15.0" customHeight="1">
      <c r="A66" s="170">
        <v>59.0</v>
      </c>
      <c r="B66" s="171" t="s">
        <v>118</v>
      </c>
      <c r="C66" s="172" t="s">
        <v>119</v>
      </c>
      <c r="D66" s="172" t="s">
        <v>235</v>
      </c>
      <c r="E66" s="172"/>
      <c r="F66" s="172"/>
      <c r="G66" s="172" t="s">
        <v>148</v>
      </c>
      <c r="H66" s="172" t="s">
        <v>236</v>
      </c>
      <c r="I66" s="173" t="s">
        <v>105</v>
      </c>
      <c r="J66" s="172" t="s">
        <v>150</v>
      </c>
      <c r="K66" s="174">
        <v>0.0</v>
      </c>
      <c r="L66" s="175">
        <v>193.0</v>
      </c>
      <c r="M66" s="174">
        <v>0.0</v>
      </c>
      <c r="N66" s="175">
        <v>34.0</v>
      </c>
      <c r="O66" s="174">
        <v>0.0</v>
      </c>
      <c r="P66" s="175">
        <v>0.0</v>
      </c>
      <c r="Q66" s="176">
        <f t="shared" ref="Q66:R66" si="67">M66-O66</f>
        <v>0</v>
      </c>
      <c r="R66" s="177">
        <f t="shared" si="67"/>
        <v>34</v>
      </c>
      <c r="S66" s="178">
        <v>1.0</v>
      </c>
      <c r="T66" s="179">
        <v>14.0</v>
      </c>
      <c r="U66" s="180" t="s">
        <v>151</v>
      </c>
      <c r="V66" s="180"/>
      <c r="W66" s="167"/>
      <c r="X66" s="168">
        <f t="shared" si="3"/>
        <v>0.1761658031</v>
      </c>
      <c r="Y66" s="168">
        <f t="shared" si="4"/>
        <v>0</v>
      </c>
      <c r="Z66" s="169">
        <f t="shared" si="5"/>
        <v>0</v>
      </c>
    </row>
    <row r="67" ht="15.0" customHeight="1">
      <c r="A67" s="170">
        <v>60.0</v>
      </c>
      <c r="B67" s="171" t="s">
        <v>118</v>
      </c>
      <c r="C67" s="172" t="s">
        <v>119</v>
      </c>
      <c r="D67" s="172" t="s">
        <v>237</v>
      </c>
      <c r="E67" s="172" t="s">
        <v>238</v>
      </c>
      <c r="F67" s="172"/>
      <c r="G67" s="172" t="s">
        <v>103</v>
      </c>
      <c r="H67" s="172" t="s">
        <v>239</v>
      </c>
      <c r="I67" s="173" t="s">
        <v>105</v>
      </c>
      <c r="J67" s="172" t="s">
        <v>106</v>
      </c>
      <c r="K67" s="174">
        <v>103.5</v>
      </c>
      <c r="L67" s="175">
        <v>144061.0</v>
      </c>
      <c r="M67" s="174">
        <v>15.52</v>
      </c>
      <c r="N67" s="175">
        <v>21602.0</v>
      </c>
      <c r="O67" s="174">
        <v>0.0</v>
      </c>
      <c r="P67" s="175">
        <v>0.0</v>
      </c>
      <c r="Q67" s="176">
        <f t="shared" ref="Q67:R67" si="68">M67-O67</f>
        <v>15.52</v>
      </c>
      <c r="R67" s="177">
        <f t="shared" si="68"/>
        <v>21602</v>
      </c>
      <c r="S67" s="178">
        <v>1391.9</v>
      </c>
      <c r="T67" s="179">
        <v>15.0</v>
      </c>
      <c r="U67" s="180" t="s">
        <v>107</v>
      </c>
      <c r="V67" s="180"/>
      <c r="W67" s="167"/>
      <c r="X67" s="168">
        <f t="shared" si="3"/>
        <v>0.1499503682</v>
      </c>
      <c r="Y67" s="168">
        <f t="shared" si="4"/>
        <v>0</v>
      </c>
      <c r="Z67" s="169">
        <f t="shared" si="5"/>
        <v>0</v>
      </c>
    </row>
    <row r="68" ht="15.0" customHeight="1">
      <c r="A68" s="170">
        <v>61.0</v>
      </c>
      <c r="B68" s="171" t="s">
        <v>118</v>
      </c>
      <c r="C68" s="172" t="s">
        <v>119</v>
      </c>
      <c r="D68" s="172" t="s">
        <v>237</v>
      </c>
      <c r="E68" s="172" t="s">
        <v>238</v>
      </c>
      <c r="F68" s="172"/>
      <c r="G68" s="172" t="s">
        <v>127</v>
      </c>
      <c r="H68" s="172" t="s">
        <v>186</v>
      </c>
      <c r="I68" s="173" t="s">
        <v>105</v>
      </c>
      <c r="J68" s="172" t="s">
        <v>106</v>
      </c>
      <c r="K68" s="174">
        <v>1028.5</v>
      </c>
      <c r="L68" s="175">
        <v>1431569.0</v>
      </c>
      <c r="M68" s="174">
        <v>154.28</v>
      </c>
      <c r="N68" s="175">
        <v>214742.0</v>
      </c>
      <c r="O68" s="174">
        <v>0.0</v>
      </c>
      <c r="P68" s="175">
        <v>0.0</v>
      </c>
      <c r="Q68" s="176">
        <f t="shared" ref="Q68:R68" si="69">M68-O68</f>
        <v>154.28</v>
      </c>
      <c r="R68" s="177">
        <f t="shared" si="69"/>
        <v>214742</v>
      </c>
      <c r="S68" s="178">
        <v>1391.9</v>
      </c>
      <c r="T68" s="179">
        <v>15.0</v>
      </c>
      <c r="U68" s="180" t="s">
        <v>107</v>
      </c>
      <c r="V68" s="180"/>
      <c r="W68" s="167"/>
      <c r="X68" s="168">
        <f t="shared" si="3"/>
        <v>0.1500046453</v>
      </c>
      <c r="Y68" s="168">
        <f t="shared" si="4"/>
        <v>0</v>
      </c>
      <c r="Z68" s="169">
        <f t="shared" si="5"/>
        <v>0</v>
      </c>
    </row>
    <row r="69" ht="15.0" customHeight="1">
      <c r="A69" s="170">
        <v>62.0</v>
      </c>
      <c r="B69" s="171" t="s">
        <v>118</v>
      </c>
      <c r="C69" s="172" t="s">
        <v>119</v>
      </c>
      <c r="D69" s="172" t="s">
        <v>240</v>
      </c>
      <c r="E69" s="172" t="s">
        <v>241</v>
      </c>
      <c r="F69" s="172"/>
      <c r="G69" s="172" t="s">
        <v>103</v>
      </c>
      <c r="H69" s="172" t="s">
        <v>239</v>
      </c>
      <c r="I69" s="173" t="s">
        <v>105</v>
      </c>
      <c r="J69" s="172" t="s">
        <v>106</v>
      </c>
      <c r="K69" s="174">
        <v>236.67</v>
      </c>
      <c r="L69" s="175">
        <v>325657.0</v>
      </c>
      <c r="M69" s="174">
        <v>35.5</v>
      </c>
      <c r="N69" s="175">
        <v>48848.0</v>
      </c>
      <c r="O69" s="174">
        <v>0.0</v>
      </c>
      <c r="P69" s="175">
        <v>0.0</v>
      </c>
      <c r="Q69" s="176">
        <f t="shared" ref="Q69:R69" si="70">M69-O69</f>
        <v>35.5</v>
      </c>
      <c r="R69" s="177">
        <f t="shared" si="70"/>
        <v>48848</v>
      </c>
      <c r="S69" s="178">
        <v>1376.0</v>
      </c>
      <c r="T69" s="179">
        <v>15.0</v>
      </c>
      <c r="U69" s="180" t="s">
        <v>107</v>
      </c>
      <c r="V69" s="180"/>
      <c r="W69" s="167"/>
      <c r="X69" s="168">
        <f t="shared" si="3"/>
        <v>0.1499983111</v>
      </c>
      <c r="Y69" s="168">
        <f t="shared" si="4"/>
        <v>0</v>
      </c>
      <c r="Z69" s="169">
        <f t="shared" si="5"/>
        <v>0</v>
      </c>
    </row>
    <row r="70" ht="15.0" customHeight="1">
      <c r="A70" s="170">
        <v>63.0</v>
      </c>
      <c r="B70" s="171" t="s">
        <v>118</v>
      </c>
      <c r="C70" s="172" t="s">
        <v>119</v>
      </c>
      <c r="D70" s="172" t="s">
        <v>101</v>
      </c>
      <c r="E70" s="172" t="s">
        <v>241</v>
      </c>
      <c r="F70" s="172"/>
      <c r="G70" s="172" t="s">
        <v>131</v>
      </c>
      <c r="H70" s="172" t="s">
        <v>167</v>
      </c>
      <c r="I70" s="173" t="s">
        <v>105</v>
      </c>
      <c r="J70" s="172" t="s">
        <v>106</v>
      </c>
      <c r="K70" s="174">
        <v>795.1</v>
      </c>
      <c r="L70" s="175">
        <v>1096919.0</v>
      </c>
      <c r="M70" s="174">
        <v>119.26</v>
      </c>
      <c r="N70" s="175">
        <v>164531.0</v>
      </c>
      <c r="O70" s="174">
        <v>0.0</v>
      </c>
      <c r="P70" s="175">
        <v>0.0</v>
      </c>
      <c r="Q70" s="176">
        <f t="shared" ref="Q70:R70" si="71">M70-O70</f>
        <v>119.26</v>
      </c>
      <c r="R70" s="177">
        <f t="shared" si="71"/>
        <v>164531</v>
      </c>
      <c r="S70" s="178">
        <v>1379.6</v>
      </c>
      <c r="T70" s="179">
        <v>15.0</v>
      </c>
      <c r="U70" s="180" t="s">
        <v>107</v>
      </c>
      <c r="V70" s="180"/>
      <c r="W70" s="167"/>
      <c r="X70" s="168">
        <f t="shared" si="3"/>
        <v>0.1499937552</v>
      </c>
      <c r="Y70" s="168">
        <f t="shared" si="4"/>
        <v>0</v>
      </c>
      <c r="Z70" s="169">
        <f t="shared" si="5"/>
        <v>0</v>
      </c>
    </row>
    <row r="71" ht="15.0" customHeight="1">
      <c r="A71" s="170">
        <v>64.0</v>
      </c>
      <c r="B71" s="171" t="s">
        <v>118</v>
      </c>
      <c r="C71" s="172" t="s">
        <v>119</v>
      </c>
      <c r="D71" s="172" t="s">
        <v>108</v>
      </c>
      <c r="E71" s="172" t="s">
        <v>242</v>
      </c>
      <c r="F71" s="172"/>
      <c r="G71" s="172" t="s">
        <v>103</v>
      </c>
      <c r="H71" s="172" t="s">
        <v>239</v>
      </c>
      <c r="I71" s="173" t="s">
        <v>105</v>
      </c>
      <c r="J71" s="172" t="s">
        <v>106</v>
      </c>
      <c r="K71" s="174">
        <v>231.84</v>
      </c>
      <c r="L71" s="175">
        <v>321075.0</v>
      </c>
      <c r="M71" s="174">
        <v>34.78</v>
      </c>
      <c r="N71" s="175">
        <v>48166.0</v>
      </c>
      <c r="O71" s="174">
        <v>0.0</v>
      </c>
      <c r="P71" s="175">
        <v>0.0</v>
      </c>
      <c r="Q71" s="176">
        <f t="shared" ref="Q71:R71" si="72">M71-O71</f>
        <v>34.78</v>
      </c>
      <c r="R71" s="177">
        <f t="shared" si="72"/>
        <v>48166</v>
      </c>
      <c r="S71" s="178">
        <v>1384.9</v>
      </c>
      <c r="T71" s="179">
        <v>15.0</v>
      </c>
      <c r="U71" s="180" t="s">
        <v>107</v>
      </c>
      <c r="V71" s="180"/>
      <c r="W71" s="167"/>
      <c r="X71" s="168">
        <f t="shared" si="3"/>
        <v>0.1500147941</v>
      </c>
      <c r="Y71" s="168">
        <f t="shared" si="4"/>
        <v>0</v>
      </c>
      <c r="Z71" s="169">
        <f t="shared" si="5"/>
        <v>0</v>
      </c>
    </row>
    <row r="72" ht="15.0" customHeight="1">
      <c r="A72" s="170">
        <v>65.0</v>
      </c>
      <c r="B72" s="171" t="s">
        <v>118</v>
      </c>
      <c r="C72" s="172" t="s">
        <v>119</v>
      </c>
      <c r="D72" s="172" t="s">
        <v>108</v>
      </c>
      <c r="E72" s="172" t="s">
        <v>242</v>
      </c>
      <c r="F72" s="172"/>
      <c r="G72" s="172" t="s">
        <v>135</v>
      </c>
      <c r="H72" s="172" t="s">
        <v>172</v>
      </c>
      <c r="I72" s="173" t="s">
        <v>105</v>
      </c>
      <c r="J72" s="172" t="s">
        <v>106</v>
      </c>
      <c r="K72" s="174">
        <v>1183.5</v>
      </c>
      <c r="L72" s="175">
        <v>1639029.0</v>
      </c>
      <c r="M72" s="174">
        <v>177.53</v>
      </c>
      <c r="N72" s="175">
        <v>245861.0</v>
      </c>
      <c r="O72" s="174">
        <v>0.0</v>
      </c>
      <c r="P72" s="175">
        <v>0.0</v>
      </c>
      <c r="Q72" s="176">
        <f t="shared" ref="Q72:R72" si="73">M72-O72</f>
        <v>177.53</v>
      </c>
      <c r="R72" s="177">
        <f t="shared" si="73"/>
        <v>245861</v>
      </c>
      <c r="S72" s="178">
        <v>1384.9</v>
      </c>
      <c r="T72" s="179">
        <v>15.0</v>
      </c>
      <c r="U72" s="180" t="s">
        <v>107</v>
      </c>
      <c r="V72" s="180"/>
      <c r="W72" s="167"/>
      <c r="X72" s="168">
        <f t="shared" si="3"/>
        <v>0.1500040573</v>
      </c>
      <c r="Y72" s="168">
        <f t="shared" si="4"/>
        <v>0</v>
      </c>
      <c r="Z72" s="169">
        <f t="shared" si="5"/>
        <v>0</v>
      </c>
    </row>
    <row r="73" ht="15.0" customHeight="1">
      <c r="A73" s="170">
        <v>66.0</v>
      </c>
      <c r="B73" s="171" t="s">
        <v>118</v>
      </c>
      <c r="C73" s="172" t="s">
        <v>119</v>
      </c>
      <c r="D73" s="172" t="s">
        <v>110</v>
      </c>
      <c r="E73" s="172" t="s">
        <v>243</v>
      </c>
      <c r="F73" s="172"/>
      <c r="G73" s="172" t="s">
        <v>103</v>
      </c>
      <c r="H73" s="172" t="s">
        <v>239</v>
      </c>
      <c r="I73" s="173" t="s">
        <v>105</v>
      </c>
      <c r="J73" s="172" t="s">
        <v>106</v>
      </c>
      <c r="K73" s="174">
        <v>230.69</v>
      </c>
      <c r="L73" s="175">
        <v>319736.0</v>
      </c>
      <c r="M73" s="174">
        <v>34.6</v>
      </c>
      <c r="N73" s="175">
        <v>47955.0</v>
      </c>
      <c r="O73" s="174">
        <v>0.0</v>
      </c>
      <c r="P73" s="175">
        <v>0.0</v>
      </c>
      <c r="Q73" s="176">
        <f t="shared" ref="Q73:R73" si="74">M73-O73</f>
        <v>34.6</v>
      </c>
      <c r="R73" s="177">
        <f t="shared" si="74"/>
        <v>47955</v>
      </c>
      <c r="S73" s="178">
        <v>1386.0</v>
      </c>
      <c r="T73" s="179">
        <v>15.0</v>
      </c>
      <c r="U73" s="180" t="s">
        <v>107</v>
      </c>
      <c r="V73" s="180"/>
      <c r="W73" s="167"/>
      <c r="X73" s="168">
        <f t="shared" si="3"/>
        <v>0.1499831111</v>
      </c>
      <c r="Y73" s="168">
        <f t="shared" si="4"/>
        <v>0</v>
      </c>
      <c r="Z73" s="169">
        <f t="shared" si="5"/>
        <v>0</v>
      </c>
    </row>
    <row r="74" ht="15.0" customHeight="1">
      <c r="A74" s="170">
        <v>67.0</v>
      </c>
      <c r="B74" s="171" t="s">
        <v>118</v>
      </c>
      <c r="C74" s="172" t="s">
        <v>119</v>
      </c>
      <c r="D74" s="172" t="s">
        <v>110</v>
      </c>
      <c r="E74" s="172" t="s">
        <v>243</v>
      </c>
      <c r="F74" s="172"/>
      <c r="G74" s="172" t="s">
        <v>139</v>
      </c>
      <c r="H74" s="172" t="s">
        <v>180</v>
      </c>
      <c r="I74" s="173" t="s">
        <v>105</v>
      </c>
      <c r="J74" s="172" t="s">
        <v>106</v>
      </c>
      <c r="K74" s="174">
        <v>300.5</v>
      </c>
      <c r="L74" s="175">
        <v>416493.0</v>
      </c>
      <c r="M74" s="174">
        <v>45.07</v>
      </c>
      <c r="N74" s="175">
        <v>62467.0</v>
      </c>
      <c r="O74" s="174">
        <v>0.0</v>
      </c>
      <c r="P74" s="175">
        <v>0.0</v>
      </c>
      <c r="Q74" s="176">
        <f t="shared" ref="Q74:R74" si="75">M74-O74</f>
        <v>45.07</v>
      </c>
      <c r="R74" s="177">
        <f t="shared" si="75"/>
        <v>62467</v>
      </c>
      <c r="S74" s="178">
        <v>1386.0</v>
      </c>
      <c r="T74" s="179">
        <v>15.0</v>
      </c>
      <c r="U74" s="180" t="s">
        <v>107</v>
      </c>
      <c r="V74" s="180"/>
      <c r="W74" s="167"/>
      <c r="X74" s="168">
        <f t="shared" si="3"/>
        <v>0.149983313</v>
      </c>
      <c r="Y74" s="168">
        <f t="shared" si="4"/>
        <v>0</v>
      </c>
      <c r="Z74" s="169">
        <f t="shared" si="5"/>
        <v>0</v>
      </c>
    </row>
    <row r="75" ht="15.0" customHeight="1">
      <c r="A75" s="170">
        <v>68.0</v>
      </c>
      <c r="B75" s="171" t="s">
        <v>118</v>
      </c>
      <c r="C75" s="172" t="s">
        <v>119</v>
      </c>
      <c r="D75" s="172" t="s">
        <v>112</v>
      </c>
      <c r="E75" s="172" t="s">
        <v>244</v>
      </c>
      <c r="F75" s="172"/>
      <c r="G75" s="172" t="s">
        <v>127</v>
      </c>
      <c r="H75" s="172" t="s">
        <v>186</v>
      </c>
      <c r="I75" s="173" t="s">
        <v>105</v>
      </c>
      <c r="J75" s="172" t="s">
        <v>106</v>
      </c>
      <c r="K75" s="174">
        <v>839.7</v>
      </c>
      <c r="L75" s="175">
        <v>1160633.0</v>
      </c>
      <c r="M75" s="174">
        <v>125.95</v>
      </c>
      <c r="N75" s="175">
        <v>174088.0</v>
      </c>
      <c r="O75" s="174">
        <v>0.0</v>
      </c>
      <c r="P75" s="175">
        <v>0.0</v>
      </c>
      <c r="Q75" s="176">
        <f t="shared" ref="Q75:R75" si="76">M75-O75</f>
        <v>125.95</v>
      </c>
      <c r="R75" s="177">
        <f t="shared" si="76"/>
        <v>174088</v>
      </c>
      <c r="S75" s="178">
        <v>1382.2</v>
      </c>
      <c r="T75" s="179">
        <v>15.0</v>
      </c>
      <c r="U75" s="180" t="s">
        <v>107</v>
      </c>
      <c r="V75" s="180"/>
      <c r="W75" s="167"/>
      <c r="X75" s="168">
        <f t="shared" si="3"/>
        <v>0.1499940119</v>
      </c>
      <c r="Y75" s="168">
        <f t="shared" si="4"/>
        <v>0</v>
      </c>
      <c r="Z75" s="169">
        <f t="shared" si="5"/>
        <v>0</v>
      </c>
    </row>
    <row r="76" ht="15.0" customHeight="1">
      <c r="A76" s="170">
        <v>69.0</v>
      </c>
      <c r="B76" s="171" t="s">
        <v>118</v>
      </c>
      <c r="C76" s="172" t="s">
        <v>119</v>
      </c>
      <c r="D76" s="172" t="s">
        <v>112</v>
      </c>
      <c r="E76" s="172" t="s">
        <v>244</v>
      </c>
      <c r="F76" s="172"/>
      <c r="G76" s="172" t="s">
        <v>103</v>
      </c>
      <c r="H76" s="172" t="s">
        <v>239</v>
      </c>
      <c r="I76" s="173" t="s">
        <v>105</v>
      </c>
      <c r="J76" s="172" t="s">
        <v>106</v>
      </c>
      <c r="K76" s="174">
        <v>231.38</v>
      </c>
      <c r="L76" s="175">
        <v>319813.0</v>
      </c>
      <c r="M76" s="174">
        <v>34.71</v>
      </c>
      <c r="N76" s="175">
        <v>47976.0</v>
      </c>
      <c r="O76" s="174">
        <v>0.0</v>
      </c>
      <c r="P76" s="175">
        <v>0.0</v>
      </c>
      <c r="Q76" s="176">
        <f t="shared" ref="Q76:R76" si="77">M76-O76</f>
        <v>34.71</v>
      </c>
      <c r="R76" s="177">
        <f t="shared" si="77"/>
        <v>47976</v>
      </c>
      <c r="S76" s="178">
        <v>1382.2</v>
      </c>
      <c r="T76" s="179">
        <v>15.0</v>
      </c>
      <c r="U76" s="180" t="s">
        <v>107</v>
      </c>
      <c r="V76" s="180"/>
      <c r="W76" s="167"/>
      <c r="X76" s="168">
        <f t="shared" si="3"/>
        <v>0.1500126637</v>
      </c>
      <c r="Y76" s="168">
        <f t="shared" si="4"/>
        <v>0</v>
      </c>
      <c r="Z76" s="169">
        <f t="shared" si="5"/>
        <v>0</v>
      </c>
    </row>
    <row r="77" ht="15.0" customHeight="1">
      <c r="A77" s="170">
        <v>70.0</v>
      </c>
      <c r="B77" s="171" t="s">
        <v>118</v>
      </c>
      <c r="C77" s="172" t="s">
        <v>119</v>
      </c>
      <c r="D77" s="172" t="s">
        <v>245</v>
      </c>
      <c r="E77" s="172" t="s">
        <v>246</v>
      </c>
      <c r="F77" s="172"/>
      <c r="G77" s="172" t="s">
        <v>103</v>
      </c>
      <c r="H77" s="172" t="s">
        <v>239</v>
      </c>
      <c r="I77" s="173" t="s">
        <v>105</v>
      </c>
      <c r="J77" s="172" t="s">
        <v>106</v>
      </c>
      <c r="K77" s="174">
        <v>100.0</v>
      </c>
      <c r="L77" s="175">
        <v>138630.0</v>
      </c>
      <c r="M77" s="174">
        <v>14.99</v>
      </c>
      <c r="N77" s="175">
        <v>20780.0</v>
      </c>
      <c r="O77" s="174">
        <v>0.0</v>
      </c>
      <c r="P77" s="175">
        <v>0.0</v>
      </c>
      <c r="Q77" s="176">
        <f t="shared" ref="Q77:R77" si="78">M77-O77</f>
        <v>14.99</v>
      </c>
      <c r="R77" s="177">
        <f t="shared" si="78"/>
        <v>20780</v>
      </c>
      <c r="S77" s="178">
        <v>1386.3</v>
      </c>
      <c r="T77" s="179">
        <v>15.0</v>
      </c>
      <c r="U77" s="180" t="s">
        <v>107</v>
      </c>
      <c r="V77" s="180"/>
      <c r="W77" s="167"/>
      <c r="X77" s="168">
        <f t="shared" si="3"/>
        <v>0.149895405</v>
      </c>
      <c r="Y77" s="168">
        <f t="shared" si="4"/>
        <v>0</v>
      </c>
      <c r="Z77" s="169">
        <f t="shared" si="5"/>
        <v>0</v>
      </c>
    </row>
    <row r="78" ht="15.0" customHeight="1">
      <c r="A78" s="170">
        <v>71.0</v>
      </c>
      <c r="B78" s="171" t="s">
        <v>118</v>
      </c>
      <c r="C78" s="172" t="s">
        <v>119</v>
      </c>
      <c r="D78" s="172" t="s">
        <v>247</v>
      </c>
      <c r="E78" s="172" t="s">
        <v>248</v>
      </c>
      <c r="F78" s="172"/>
      <c r="G78" s="172" t="s">
        <v>103</v>
      </c>
      <c r="H78" s="172" t="s">
        <v>239</v>
      </c>
      <c r="I78" s="173" t="s">
        <v>105</v>
      </c>
      <c r="J78" s="172" t="s">
        <v>106</v>
      </c>
      <c r="K78" s="174">
        <v>94.89</v>
      </c>
      <c r="L78" s="175">
        <v>131678.0</v>
      </c>
      <c r="M78" s="174">
        <v>14.23</v>
      </c>
      <c r="N78" s="175">
        <v>19746.0</v>
      </c>
      <c r="O78" s="174">
        <v>0.0</v>
      </c>
      <c r="P78" s="175">
        <v>0.0</v>
      </c>
      <c r="Q78" s="176">
        <f t="shared" ref="Q78:R78" si="79">M78-O78</f>
        <v>14.23</v>
      </c>
      <c r="R78" s="177">
        <f t="shared" si="79"/>
        <v>19746</v>
      </c>
      <c r="S78" s="178">
        <v>1387.7</v>
      </c>
      <c r="T78" s="179">
        <v>15.0</v>
      </c>
      <c r="U78" s="180" t="s">
        <v>107</v>
      </c>
      <c r="V78" s="180"/>
      <c r="W78" s="167"/>
      <c r="X78" s="168">
        <f t="shared" si="3"/>
        <v>0.1499567126</v>
      </c>
      <c r="Y78" s="168">
        <f t="shared" si="4"/>
        <v>0</v>
      </c>
      <c r="Z78" s="169">
        <f t="shared" si="5"/>
        <v>0</v>
      </c>
    </row>
    <row r="79" ht="15.0" customHeight="1">
      <c r="A79" s="170">
        <v>72.0</v>
      </c>
      <c r="B79" s="171" t="s">
        <v>118</v>
      </c>
      <c r="C79" s="172" t="s">
        <v>119</v>
      </c>
      <c r="D79" s="172" t="s">
        <v>114</v>
      </c>
      <c r="E79" s="172" t="s">
        <v>249</v>
      </c>
      <c r="F79" s="172"/>
      <c r="G79" s="172" t="s">
        <v>103</v>
      </c>
      <c r="H79" s="172" t="s">
        <v>239</v>
      </c>
      <c r="I79" s="173" t="s">
        <v>105</v>
      </c>
      <c r="J79" s="172" t="s">
        <v>106</v>
      </c>
      <c r="K79" s="174">
        <v>90.0</v>
      </c>
      <c r="L79" s="175">
        <v>125262.0</v>
      </c>
      <c r="M79" s="174">
        <v>13.5</v>
      </c>
      <c r="N79" s="175">
        <v>18789.0</v>
      </c>
      <c r="O79" s="174">
        <v>0.0</v>
      </c>
      <c r="P79" s="175">
        <v>0.0</v>
      </c>
      <c r="Q79" s="176">
        <f t="shared" ref="Q79:R79" si="80">M79-O79</f>
        <v>13.5</v>
      </c>
      <c r="R79" s="177">
        <f t="shared" si="80"/>
        <v>18789</v>
      </c>
      <c r="S79" s="178">
        <v>1391.8</v>
      </c>
      <c r="T79" s="179">
        <v>15.0</v>
      </c>
      <c r="U79" s="180" t="s">
        <v>107</v>
      </c>
      <c r="V79" s="180"/>
      <c r="W79" s="167"/>
      <c r="X79" s="168">
        <f t="shared" si="3"/>
        <v>0.149997605</v>
      </c>
      <c r="Y79" s="168">
        <f t="shared" si="4"/>
        <v>0</v>
      </c>
      <c r="Z79" s="169">
        <f t="shared" si="5"/>
        <v>0</v>
      </c>
    </row>
    <row r="80" ht="15.0" customHeight="1">
      <c r="A80" s="170">
        <v>73.0</v>
      </c>
      <c r="B80" s="171" t="s">
        <v>118</v>
      </c>
      <c r="C80" s="172" t="s">
        <v>119</v>
      </c>
      <c r="D80" s="172" t="s">
        <v>114</v>
      </c>
      <c r="E80" s="172" t="s">
        <v>114</v>
      </c>
      <c r="F80" s="172"/>
      <c r="G80" s="172" t="s">
        <v>116</v>
      </c>
      <c r="H80" s="172" t="s">
        <v>117</v>
      </c>
      <c r="I80" s="173" t="s">
        <v>105</v>
      </c>
      <c r="J80" s="172" t="s">
        <v>106</v>
      </c>
      <c r="K80" s="174">
        <v>861.12</v>
      </c>
      <c r="L80" s="175">
        <v>1198506.0</v>
      </c>
      <c r="M80" s="174">
        <v>129.17</v>
      </c>
      <c r="N80" s="175">
        <v>179778.0</v>
      </c>
      <c r="O80" s="174">
        <v>0.0</v>
      </c>
      <c r="P80" s="175">
        <v>0.0</v>
      </c>
      <c r="Q80" s="176">
        <f t="shared" ref="Q80:R80" si="81">M80-O80</f>
        <v>129.17</v>
      </c>
      <c r="R80" s="177">
        <f t="shared" si="81"/>
        <v>179778</v>
      </c>
      <c r="S80" s="178">
        <v>1391.8</v>
      </c>
      <c r="T80" s="179">
        <v>15.0</v>
      </c>
      <c r="U80" s="180" t="s">
        <v>107</v>
      </c>
      <c r="V80" s="180"/>
      <c r="W80" s="167"/>
      <c r="X80" s="168">
        <f t="shared" si="3"/>
        <v>0.1500017522</v>
      </c>
      <c r="Y80" s="168">
        <f t="shared" si="4"/>
        <v>0</v>
      </c>
      <c r="Z80" s="169">
        <f t="shared" si="5"/>
        <v>0</v>
      </c>
    </row>
    <row r="81" ht="15.0" customHeight="1">
      <c r="A81" s="170">
        <v>74.0</v>
      </c>
      <c r="B81" s="171" t="s">
        <v>118</v>
      </c>
      <c r="C81" s="172" t="s">
        <v>119</v>
      </c>
      <c r="D81" s="172" t="s">
        <v>250</v>
      </c>
      <c r="E81" s="172" t="s">
        <v>250</v>
      </c>
      <c r="F81" s="172"/>
      <c r="G81" s="172" t="s">
        <v>251</v>
      </c>
      <c r="H81" s="173" t="s">
        <v>252</v>
      </c>
      <c r="I81" s="173" t="s">
        <v>105</v>
      </c>
      <c r="J81" s="172" t="s">
        <v>106</v>
      </c>
      <c r="K81" s="174">
        <v>1.66</v>
      </c>
      <c r="L81" s="175">
        <v>2303.0</v>
      </c>
      <c r="M81" s="174">
        <v>0.25</v>
      </c>
      <c r="N81" s="175">
        <v>346.0</v>
      </c>
      <c r="O81" s="174">
        <v>0.0</v>
      </c>
      <c r="P81" s="175">
        <v>0.0</v>
      </c>
      <c r="Q81" s="176">
        <f t="shared" ref="Q81:R81" si="82">M81-O81</f>
        <v>0.25</v>
      </c>
      <c r="R81" s="177">
        <f t="shared" si="82"/>
        <v>346</v>
      </c>
      <c r="S81" s="178">
        <v>1387.6</v>
      </c>
      <c r="T81" s="179">
        <v>15.0</v>
      </c>
      <c r="U81" s="180" t="s">
        <v>107</v>
      </c>
      <c r="V81" s="180"/>
      <c r="W81" s="167"/>
      <c r="X81" s="168">
        <f t="shared" si="3"/>
        <v>0.1502388189</v>
      </c>
      <c r="Y81" s="168">
        <f t="shared" si="4"/>
        <v>0</v>
      </c>
      <c r="Z81" s="169">
        <f t="shared" si="5"/>
        <v>0</v>
      </c>
    </row>
    <row r="82" ht="15.0" customHeight="1">
      <c r="A82" s="170">
        <v>75.0</v>
      </c>
      <c r="B82" s="171" t="s">
        <v>118</v>
      </c>
      <c r="C82" s="172" t="s">
        <v>119</v>
      </c>
      <c r="D82" s="172" t="s">
        <v>253</v>
      </c>
      <c r="E82" s="172" t="s">
        <v>254</v>
      </c>
      <c r="F82" s="172"/>
      <c r="G82" s="172" t="s">
        <v>103</v>
      </c>
      <c r="H82" s="172" t="s">
        <v>239</v>
      </c>
      <c r="I82" s="173" t="s">
        <v>105</v>
      </c>
      <c r="J82" s="172" t="s">
        <v>106</v>
      </c>
      <c r="K82" s="174">
        <v>92.8</v>
      </c>
      <c r="L82" s="175">
        <v>128871.0</v>
      </c>
      <c r="M82" s="174">
        <v>13.92</v>
      </c>
      <c r="N82" s="175">
        <v>19330.0</v>
      </c>
      <c r="O82" s="174">
        <v>0.0</v>
      </c>
      <c r="P82" s="175">
        <v>0.0</v>
      </c>
      <c r="Q82" s="176">
        <f t="shared" ref="Q82:R82" si="83">M82-O82</f>
        <v>13.92</v>
      </c>
      <c r="R82" s="177">
        <f t="shared" si="83"/>
        <v>19330</v>
      </c>
      <c r="S82" s="178">
        <v>1388.7</v>
      </c>
      <c r="T82" s="179">
        <v>15.0</v>
      </c>
      <c r="U82" s="180" t="s">
        <v>107</v>
      </c>
      <c r="V82" s="180"/>
      <c r="W82" s="167"/>
      <c r="X82" s="168">
        <f t="shared" si="3"/>
        <v>0.1499949562</v>
      </c>
      <c r="Y82" s="168">
        <f t="shared" si="4"/>
        <v>0</v>
      </c>
      <c r="Z82" s="169">
        <f t="shared" si="5"/>
        <v>0</v>
      </c>
    </row>
    <row r="83" ht="15.0" customHeight="1">
      <c r="A83" s="170">
        <v>76.0</v>
      </c>
      <c r="B83" s="171" t="s">
        <v>118</v>
      </c>
      <c r="C83" s="172" t="s">
        <v>119</v>
      </c>
      <c r="D83" s="172" t="s">
        <v>255</v>
      </c>
      <c r="E83" s="172" t="s">
        <v>256</v>
      </c>
      <c r="F83" s="172"/>
      <c r="G83" s="172" t="s">
        <v>103</v>
      </c>
      <c r="H83" s="172" t="s">
        <v>239</v>
      </c>
      <c r="I83" s="173" t="s">
        <v>105</v>
      </c>
      <c r="J83" s="172" t="s">
        <v>106</v>
      </c>
      <c r="K83" s="174">
        <v>92.6</v>
      </c>
      <c r="L83" s="175">
        <v>129084.0</v>
      </c>
      <c r="M83" s="174">
        <v>13.89</v>
      </c>
      <c r="N83" s="175">
        <v>19362.0</v>
      </c>
      <c r="O83" s="174">
        <v>0.0</v>
      </c>
      <c r="P83" s="175">
        <v>0.0</v>
      </c>
      <c r="Q83" s="176">
        <f t="shared" ref="Q83:R83" si="84">M83-O83</f>
        <v>13.89</v>
      </c>
      <c r="R83" s="177">
        <f t="shared" si="84"/>
        <v>19362</v>
      </c>
      <c r="S83" s="178">
        <v>1394.0</v>
      </c>
      <c r="T83" s="179">
        <v>15.0</v>
      </c>
      <c r="U83" s="180" t="s">
        <v>107</v>
      </c>
      <c r="V83" s="180"/>
      <c r="W83" s="167"/>
      <c r="X83" s="168">
        <f t="shared" si="3"/>
        <v>0.1499953519</v>
      </c>
      <c r="Y83" s="168">
        <f t="shared" si="4"/>
        <v>0</v>
      </c>
      <c r="Z83" s="169">
        <f t="shared" si="5"/>
        <v>0</v>
      </c>
    </row>
    <row r="84" ht="15.0" customHeight="1">
      <c r="A84" s="170">
        <v>77.0</v>
      </c>
      <c r="B84" s="171" t="s">
        <v>118</v>
      </c>
      <c r="C84" s="172" t="s">
        <v>119</v>
      </c>
      <c r="D84" s="172" t="s">
        <v>257</v>
      </c>
      <c r="E84" s="172" t="s">
        <v>255</v>
      </c>
      <c r="F84" s="172"/>
      <c r="G84" s="172" t="s">
        <v>216</v>
      </c>
      <c r="H84" s="173" t="s">
        <v>217</v>
      </c>
      <c r="I84" s="173" t="s">
        <v>105</v>
      </c>
      <c r="J84" s="172" t="s">
        <v>106</v>
      </c>
      <c r="K84" s="174">
        <v>37.57</v>
      </c>
      <c r="L84" s="175">
        <v>52406.0</v>
      </c>
      <c r="M84" s="174">
        <v>5.64</v>
      </c>
      <c r="N84" s="175">
        <v>7867.0</v>
      </c>
      <c r="O84" s="174">
        <v>0.0</v>
      </c>
      <c r="P84" s="175">
        <v>0.0</v>
      </c>
      <c r="Q84" s="176">
        <f t="shared" ref="Q84:R84" si="85">M84-O84</f>
        <v>5.64</v>
      </c>
      <c r="R84" s="177">
        <f t="shared" si="85"/>
        <v>7867</v>
      </c>
      <c r="S84" s="178">
        <v>1394.9</v>
      </c>
      <c r="T84" s="179">
        <v>15.0</v>
      </c>
      <c r="U84" s="180" t="s">
        <v>107</v>
      </c>
      <c r="V84" s="180"/>
      <c r="W84" s="167"/>
      <c r="X84" s="168">
        <f t="shared" si="3"/>
        <v>0.1501163989</v>
      </c>
      <c r="Y84" s="168">
        <f t="shared" si="4"/>
        <v>0</v>
      </c>
      <c r="Z84" s="169">
        <f t="shared" si="5"/>
        <v>0</v>
      </c>
    </row>
    <row r="85" ht="15.0" customHeight="1">
      <c r="A85" s="170">
        <v>78.0</v>
      </c>
      <c r="B85" s="171" t="s">
        <v>118</v>
      </c>
      <c r="C85" s="172" t="s">
        <v>119</v>
      </c>
      <c r="D85" s="172" t="s">
        <v>258</v>
      </c>
      <c r="E85" s="172" t="s">
        <v>259</v>
      </c>
      <c r="F85" s="172"/>
      <c r="G85" s="172" t="s">
        <v>103</v>
      </c>
      <c r="H85" s="172" t="s">
        <v>239</v>
      </c>
      <c r="I85" s="173" t="s">
        <v>105</v>
      </c>
      <c r="J85" s="172" t="s">
        <v>106</v>
      </c>
      <c r="K85" s="174">
        <v>92.1</v>
      </c>
      <c r="L85" s="175">
        <v>130008.0</v>
      </c>
      <c r="M85" s="174">
        <v>13.82</v>
      </c>
      <c r="N85" s="175">
        <v>19508.0</v>
      </c>
      <c r="O85" s="174">
        <v>0.0</v>
      </c>
      <c r="P85" s="175">
        <v>0.0</v>
      </c>
      <c r="Q85" s="176">
        <f t="shared" ref="Q85:R85" si="86">M85-O85</f>
        <v>13.82</v>
      </c>
      <c r="R85" s="177">
        <f t="shared" si="86"/>
        <v>19508</v>
      </c>
      <c r="S85" s="178">
        <v>1411.6</v>
      </c>
      <c r="T85" s="179">
        <v>15.0</v>
      </c>
      <c r="U85" s="180" t="s">
        <v>107</v>
      </c>
      <c r="V85" s="180"/>
      <c r="W85" s="167"/>
      <c r="X85" s="168">
        <f t="shared" si="3"/>
        <v>0.1500523045</v>
      </c>
      <c r="Y85" s="168">
        <f t="shared" si="4"/>
        <v>0</v>
      </c>
      <c r="Z85" s="169">
        <f t="shared" si="5"/>
        <v>0</v>
      </c>
    </row>
    <row r="86" ht="15.0" customHeight="1">
      <c r="A86" s="170">
        <v>79.0</v>
      </c>
      <c r="B86" s="171" t="s">
        <v>118</v>
      </c>
      <c r="C86" s="172" t="s">
        <v>119</v>
      </c>
      <c r="D86" s="172" t="s">
        <v>260</v>
      </c>
      <c r="E86" s="172" t="s">
        <v>261</v>
      </c>
      <c r="F86" s="172"/>
      <c r="G86" s="172" t="s">
        <v>262</v>
      </c>
      <c r="H86" s="173" t="s">
        <v>263</v>
      </c>
      <c r="I86" s="173" t="s">
        <v>105</v>
      </c>
      <c r="J86" s="172" t="s">
        <v>106</v>
      </c>
      <c r="K86" s="174">
        <v>0.04</v>
      </c>
      <c r="L86" s="175">
        <v>56.0</v>
      </c>
      <c r="M86" s="174">
        <v>0.01</v>
      </c>
      <c r="N86" s="175">
        <v>14.0</v>
      </c>
      <c r="O86" s="174">
        <v>0.0</v>
      </c>
      <c r="P86" s="175">
        <v>0.0</v>
      </c>
      <c r="Q86" s="176">
        <f t="shared" ref="Q86:R86" si="87">M86-O86</f>
        <v>0.01</v>
      </c>
      <c r="R86" s="177">
        <f t="shared" si="87"/>
        <v>14</v>
      </c>
      <c r="S86" s="178">
        <v>1401.9</v>
      </c>
      <c r="T86" s="179">
        <v>15.0</v>
      </c>
      <c r="U86" s="180" t="s">
        <v>107</v>
      </c>
      <c r="V86" s="180"/>
      <c r="W86" s="167"/>
      <c r="X86" s="168">
        <f t="shared" si="3"/>
        <v>0.25</v>
      </c>
      <c r="Y86" s="168">
        <f t="shared" si="4"/>
        <v>0</v>
      </c>
      <c r="Z86" s="169">
        <f t="shared" si="5"/>
        <v>0</v>
      </c>
    </row>
    <row r="87" ht="15.0" customHeight="1">
      <c r="A87" s="170">
        <v>80.0</v>
      </c>
      <c r="B87" s="171" t="s">
        <v>118</v>
      </c>
      <c r="C87" s="172" t="s">
        <v>119</v>
      </c>
      <c r="D87" s="172" t="s">
        <v>264</v>
      </c>
      <c r="E87" s="172" t="s">
        <v>265</v>
      </c>
      <c r="F87" s="172"/>
      <c r="G87" s="172" t="s">
        <v>266</v>
      </c>
      <c r="H87" s="172" t="s">
        <v>267</v>
      </c>
      <c r="I87" s="173" t="s">
        <v>105</v>
      </c>
      <c r="J87" s="172" t="s">
        <v>106</v>
      </c>
      <c r="K87" s="174">
        <v>2.47</v>
      </c>
      <c r="L87" s="175">
        <v>3508.0</v>
      </c>
      <c r="M87" s="174">
        <v>0.52</v>
      </c>
      <c r="N87" s="175">
        <v>738.0</v>
      </c>
      <c r="O87" s="174">
        <v>0.0</v>
      </c>
      <c r="P87" s="175">
        <v>0.0</v>
      </c>
      <c r="Q87" s="176">
        <f t="shared" ref="Q87:R87" si="88">M87-O87</f>
        <v>0.52</v>
      </c>
      <c r="R87" s="177">
        <f t="shared" si="88"/>
        <v>738</v>
      </c>
      <c r="S87" s="178">
        <v>1420.5</v>
      </c>
      <c r="T87" s="179">
        <v>21.0</v>
      </c>
      <c r="U87" s="180" t="s">
        <v>107</v>
      </c>
      <c r="V87" s="180"/>
      <c r="W87" s="167"/>
      <c r="X87" s="168">
        <f t="shared" si="3"/>
        <v>0.2103762828</v>
      </c>
      <c r="Y87" s="168">
        <f t="shared" si="4"/>
        <v>0</v>
      </c>
      <c r="Z87" s="169">
        <f t="shared" si="5"/>
        <v>0</v>
      </c>
    </row>
    <row r="88" ht="15.0" customHeight="1">
      <c r="A88" s="170">
        <v>81.0</v>
      </c>
      <c r="B88" s="171" t="s">
        <v>118</v>
      </c>
      <c r="C88" s="172" t="s">
        <v>119</v>
      </c>
      <c r="D88" s="172" t="s">
        <v>268</v>
      </c>
      <c r="E88" s="172"/>
      <c r="F88" s="172"/>
      <c r="G88" s="172" t="s">
        <v>269</v>
      </c>
      <c r="H88" s="173" t="s">
        <v>270</v>
      </c>
      <c r="I88" s="173" t="s">
        <v>105</v>
      </c>
      <c r="J88" s="172" t="s">
        <v>150</v>
      </c>
      <c r="K88" s="174">
        <v>0.0</v>
      </c>
      <c r="L88" s="175">
        <v>3.0</v>
      </c>
      <c r="M88" s="174">
        <v>0.0</v>
      </c>
      <c r="N88" s="175">
        <v>0.0</v>
      </c>
      <c r="O88" s="174">
        <v>0.0</v>
      </c>
      <c r="P88" s="175">
        <v>0.0</v>
      </c>
      <c r="Q88" s="176">
        <f t="shared" ref="Q88:R88" si="89">M88-O88</f>
        <v>0</v>
      </c>
      <c r="R88" s="177">
        <f t="shared" si="89"/>
        <v>0</v>
      </c>
      <c r="S88" s="178">
        <v>1.0</v>
      </c>
      <c r="T88" s="179">
        <v>14.0</v>
      </c>
      <c r="U88" s="180" t="s">
        <v>151</v>
      </c>
      <c r="V88" s="180"/>
      <c r="W88" s="167"/>
      <c r="X88" s="168">
        <f t="shared" si="3"/>
        <v>0</v>
      </c>
      <c r="Y88" s="168">
        <f t="shared" si="4"/>
        <v>0.14</v>
      </c>
      <c r="Z88" s="169">
        <f t="shared" si="5"/>
        <v>0</v>
      </c>
    </row>
    <row r="89" ht="15.0" customHeight="1">
      <c r="A89" s="170">
        <v>82.0</v>
      </c>
      <c r="B89" s="171" t="s">
        <v>118</v>
      </c>
      <c r="C89" s="172" t="s">
        <v>119</v>
      </c>
      <c r="D89" s="172" t="s">
        <v>268</v>
      </c>
      <c r="E89" s="172"/>
      <c r="F89" s="172"/>
      <c r="G89" s="172" t="s">
        <v>271</v>
      </c>
      <c r="H89" s="173" t="s">
        <v>272</v>
      </c>
      <c r="I89" s="173" t="s">
        <v>105</v>
      </c>
      <c r="J89" s="172" t="s">
        <v>150</v>
      </c>
      <c r="K89" s="174">
        <v>0.0</v>
      </c>
      <c r="L89" s="175">
        <v>0.0</v>
      </c>
      <c r="M89" s="174">
        <v>0.0</v>
      </c>
      <c r="N89" s="175">
        <v>0.0</v>
      </c>
      <c r="O89" s="174">
        <v>0.0</v>
      </c>
      <c r="P89" s="175">
        <v>0.0</v>
      </c>
      <c r="Q89" s="176">
        <f t="shared" ref="Q89:R89" si="90">M89-O89</f>
        <v>0</v>
      </c>
      <c r="R89" s="177">
        <f t="shared" si="90"/>
        <v>0</v>
      </c>
      <c r="S89" s="178">
        <v>1.0</v>
      </c>
      <c r="T89" s="179">
        <v>14.0</v>
      </c>
      <c r="U89" s="180" t="s">
        <v>151</v>
      </c>
      <c r="V89" s="180"/>
      <c r="W89" s="167"/>
      <c r="X89" s="168">
        <f t="shared" si="3"/>
        <v>0</v>
      </c>
      <c r="Y89" s="168">
        <f t="shared" si="4"/>
        <v>0.14</v>
      </c>
      <c r="Z89" s="169">
        <f t="shared" si="5"/>
        <v>0</v>
      </c>
    </row>
    <row r="90" ht="15.0" customHeight="1">
      <c r="A90" s="170">
        <v>83.0</v>
      </c>
      <c r="B90" s="171" t="s">
        <v>118</v>
      </c>
      <c r="C90" s="172" t="s">
        <v>119</v>
      </c>
      <c r="D90" s="172" t="s">
        <v>273</v>
      </c>
      <c r="E90" s="172"/>
      <c r="F90" s="172"/>
      <c r="G90" s="172" t="s">
        <v>271</v>
      </c>
      <c r="H90" s="173" t="s">
        <v>274</v>
      </c>
      <c r="I90" s="173" t="s">
        <v>105</v>
      </c>
      <c r="J90" s="172" t="s">
        <v>150</v>
      </c>
      <c r="K90" s="174">
        <v>0.0</v>
      </c>
      <c r="L90" s="175">
        <v>0.0</v>
      </c>
      <c r="M90" s="174">
        <v>0.0</v>
      </c>
      <c r="N90" s="175">
        <v>0.0</v>
      </c>
      <c r="O90" s="174">
        <v>0.0</v>
      </c>
      <c r="P90" s="175">
        <v>0.0</v>
      </c>
      <c r="Q90" s="176">
        <f t="shared" ref="Q90:R90" si="91">M90-O90</f>
        <v>0</v>
      </c>
      <c r="R90" s="177">
        <f t="shared" si="91"/>
        <v>0</v>
      </c>
      <c r="S90" s="178">
        <v>1.0</v>
      </c>
      <c r="T90" s="179">
        <v>14.0</v>
      </c>
      <c r="U90" s="180" t="s">
        <v>151</v>
      </c>
      <c r="V90" s="180"/>
      <c r="W90" s="167"/>
      <c r="X90" s="168">
        <f t="shared" si="3"/>
        <v>0</v>
      </c>
      <c r="Y90" s="168">
        <f t="shared" si="4"/>
        <v>0.14</v>
      </c>
      <c r="Z90" s="169">
        <f t="shared" si="5"/>
        <v>0</v>
      </c>
    </row>
    <row r="91" ht="15.0" customHeight="1">
      <c r="A91" s="170">
        <v>84.0</v>
      </c>
      <c r="B91" s="171" t="s">
        <v>118</v>
      </c>
      <c r="C91" s="172" t="s">
        <v>119</v>
      </c>
      <c r="D91" s="172" t="s">
        <v>275</v>
      </c>
      <c r="E91" s="172" t="s">
        <v>276</v>
      </c>
      <c r="F91" s="172"/>
      <c r="G91" s="172" t="s">
        <v>116</v>
      </c>
      <c r="H91" s="172" t="s">
        <v>117</v>
      </c>
      <c r="I91" s="173" t="s">
        <v>105</v>
      </c>
      <c r="J91" s="172" t="s">
        <v>106</v>
      </c>
      <c r="K91" s="174">
        <v>989.11</v>
      </c>
      <c r="L91" s="175">
        <v>1438165.0</v>
      </c>
      <c r="M91" s="174">
        <v>148.37</v>
      </c>
      <c r="N91" s="175">
        <v>215729.0</v>
      </c>
      <c r="O91" s="174">
        <v>0.0</v>
      </c>
      <c r="P91" s="175">
        <v>0.0</v>
      </c>
      <c r="Q91" s="176">
        <f t="shared" ref="Q91:R91" si="92">M91-O91</f>
        <v>148.37</v>
      </c>
      <c r="R91" s="177">
        <f t="shared" si="92"/>
        <v>215729</v>
      </c>
      <c r="S91" s="178">
        <v>1454.0</v>
      </c>
      <c r="T91" s="179">
        <v>15.0</v>
      </c>
      <c r="U91" s="180" t="s">
        <v>107</v>
      </c>
      <c r="V91" s="180"/>
      <c r="W91" s="167"/>
      <c r="X91" s="168">
        <f t="shared" si="3"/>
        <v>0.1500029552</v>
      </c>
      <c r="Y91" s="168">
        <f t="shared" si="4"/>
        <v>0</v>
      </c>
      <c r="Z91" s="169">
        <f t="shared" si="5"/>
        <v>0</v>
      </c>
    </row>
    <row r="92" ht="15.0" customHeight="1">
      <c r="A92" s="170">
        <v>85.0</v>
      </c>
      <c r="B92" s="171" t="s">
        <v>118</v>
      </c>
      <c r="C92" s="172" t="s">
        <v>119</v>
      </c>
      <c r="D92" s="172" t="s">
        <v>277</v>
      </c>
      <c r="E92" s="172" t="s">
        <v>278</v>
      </c>
      <c r="F92" s="172"/>
      <c r="G92" s="172" t="s">
        <v>279</v>
      </c>
      <c r="H92" s="172" t="s">
        <v>280</v>
      </c>
      <c r="I92" s="173" t="s">
        <v>105</v>
      </c>
      <c r="J92" s="172" t="s">
        <v>106</v>
      </c>
      <c r="K92" s="174">
        <v>0.45</v>
      </c>
      <c r="L92" s="175">
        <v>661.0</v>
      </c>
      <c r="M92" s="174">
        <v>0.07</v>
      </c>
      <c r="N92" s="175">
        <v>102.0</v>
      </c>
      <c r="O92" s="174">
        <v>0.0</v>
      </c>
      <c r="P92" s="175">
        <v>0.0</v>
      </c>
      <c r="Q92" s="176">
        <f t="shared" ref="Q92:R92" si="93">M92-O92</f>
        <v>0.07</v>
      </c>
      <c r="R92" s="177">
        <f t="shared" si="93"/>
        <v>102</v>
      </c>
      <c r="S92" s="178">
        <v>1469.5</v>
      </c>
      <c r="T92" s="179">
        <v>15.0</v>
      </c>
      <c r="U92" s="180" t="s">
        <v>107</v>
      </c>
      <c r="V92" s="180"/>
      <c r="W92" s="167"/>
      <c r="X92" s="168">
        <f t="shared" si="3"/>
        <v>0.154311649</v>
      </c>
      <c r="Y92" s="168">
        <f t="shared" si="4"/>
        <v>0</v>
      </c>
      <c r="Z92" s="169">
        <f t="shared" si="5"/>
        <v>0</v>
      </c>
    </row>
    <row r="93" ht="15.0" customHeight="1">
      <c r="A93" s="170">
        <v>86.0</v>
      </c>
      <c r="B93" s="171" t="s">
        <v>118</v>
      </c>
      <c r="C93" s="172" t="s">
        <v>119</v>
      </c>
      <c r="D93" s="172" t="s">
        <v>277</v>
      </c>
      <c r="E93" s="172" t="s">
        <v>278</v>
      </c>
      <c r="F93" s="172"/>
      <c r="G93" s="172" t="s">
        <v>281</v>
      </c>
      <c r="H93" s="172" t="s">
        <v>282</v>
      </c>
      <c r="I93" s="173" t="s">
        <v>105</v>
      </c>
      <c r="J93" s="172" t="s">
        <v>106</v>
      </c>
      <c r="K93" s="174">
        <v>0.65</v>
      </c>
      <c r="L93" s="175">
        <v>955.0</v>
      </c>
      <c r="M93" s="174">
        <v>0.1</v>
      </c>
      <c r="N93" s="175">
        <v>146.0</v>
      </c>
      <c r="O93" s="174">
        <v>0.0</v>
      </c>
      <c r="P93" s="175">
        <v>0.0</v>
      </c>
      <c r="Q93" s="176">
        <f t="shared" ref="Q93:R93" si="94">M93-O93</f>
        <v>0.1</v>
      </c>
      <c r="R93" s="177">
        <f t="shared" si="94"/>
        <v>146</v>
      </c>
      <c r="S93" s="178">
        <v>1469.5</v>
      </c>
      <c r="T93" s="179">
        <v>15.0</v>
      </c>
      <c r="U93" s="180" t="s">
        <v>107</v>
      </c>
      <c r="V93" s="180"/>
      <c r="W93" s="167"/>
      <c r="X93" s="168">
        <f t="shared" si="3"/>
        <v>0.1528795812</v>
      </c>
      <c r="Y93" s="168">
        <f t="shared" si="4"/>
        <v>0</v>
      </c>
      <c r="Z93" s="169">
        <f t="shared" si="5"/>
        <v>0</v>
      </c>
    </row>
    <row r="94" ht="15.0" customHeight="1">
      <c r="A94" s="170">
        <v>87.0</v>
      </c>
      <c r="B94" s="171" t="s">
        <v>118</v>
      </c>
      <c r="C94" s="172" t="s">
        <v>119</v>
      </c>
      <c r="D94" s="172" t="s">
        <v>283</v>
      </c>
      <c r="E94" s="172" t="s">
        <v>277</v>
      </c>
      <c r="F94" s="172"/>
      <c r="G94" s="172" t="s">
        <v>284</v>
      </c>
      <c r="H94" s="172" t="s">
        <v>285</v>
      </c>
      <c r="I94" s="173" t="s">
        <v>105</v>
      </c>
      <c r="J94" s="172" t="s">
        <v>106</v>
      </c>
      <c r="K94" s="174">
        <v>1.84</v>
      </c>
      <c r="L94" s="175">
        <v>2683.0</v>
      </c>
      <c r="M94" s="174">
        <v>0.28</v>
      </c>
      <c r="N94" s="175">
        <v>408.0</v>
      </c>
      <c r="O94" s="174">
        <v>0.0</v>
      </c>
      <c r="P94" s="175">
        <v>0.0</v>
      </c>
      <c r="Q94" s="176">
        <f t="shared" ref="Q94:R94" si="95">M94-O94</f>
        <v>0.28</v>
      </c>
      <c r="R94" s="177">
        <f t="shared" si="95"/>
        <v>408</v>
      </c>
      <c r="S94" s="178">
        <v>1458.5</v>
      </c>
      <c r="T94" s="179">
        <v>15.0</v>
      </c>
      <c r="U94" s="180" t="s">
        <v>107</v>
      </c>
      <c r="V94" s="180"/>
      <c r="W94" s="167"/>
      <c r="X94" s="168">
        <f t="shared" si="3"/>
        <v>0.1520685799</v>
      </c>
      <c r="Y94" s="168">
        <f t="shared" si="4"/>
        <v>0</v>
      </c>
      <c r="Z94" s="169">
        <f t="shared" si="5"/>
        <v>0</v>
      </c>
    </row>
    <row r="95" ht="15.0" customHeight="1">
      <c r="A95" s="170">
        <v>88.0</v>
      </c>
      <c r="B95" s="171" t="s">
        <v>118</v>
      </c>
      <c r="C95" s="172" t="s">
        <v>119</v>
      </c>
      <c r="D95" s="172" t="s">
        <v>286</v>
      </c>
      <c r="E95" s="172" t="s">
        <v>287</v>
      </c>
      <c r="F95" s="172"/>
      <c r="G95" s="172" t="s">
        <v>288</v>
      </c>
      <c r="H95" s="172" t="s">
        <v>289</v>
      </c>
      <c r="I95" s="173" t="s">
        <v>105</v>
      </c>
      <c r="J95" s="172" t="s">
        <v>106</v>
      </c>
      <c r="K95" s="174">
        <v>28.46</v>
      </c>
      <c r="L95" s="175">
        <v>41628.0</v>
      </c>
      <c r="M95" s="174">
        <v>4.27</v>
      </c>
      <c r="N95" s="175">
        <v>6245.0</v>
      </c>
      <c r="O95" s="174">
        <v>0.0</v>
      </c>
      <c r="P95" s="175">
        <v>0.0</v>
      </c>
      <c r="Q95" s="176">
        <f t="shared" ref="Q95:R95" si="96">M95-O95</f>
        <v>4.27</v>
      </c>
      <c r="R95" s="177">
        <f t="shared" si="96"/>
        <v>6245</v>
      </c>
      <c r="S95" s="178">
        <v>1462.7</v>
      </c>
      <c r="T95" s="179">
        <v>15.0</v>
      </c>
      <c r="U95" s="180" t="s">
        <v>107</v>
      </c>
      <c r="V95" s="180"/>
      <c r="W95" s="167"/>
      <c r="X95" s="168">
        <f t="shared" si="3"/>
        <v>0.1500192178</v>
      </c>
      <c r="Y95" s="168">
        <f t="shared" si="4"/>
        <v>0</v>
      </c>
      <c r="Z95" s="169">
        <f t="shared" si="5"/>
        <v>0</v>
      </c>
    </row>
    <row r="96" ht="15.0" customHeight="1">
      <c r="A96" s="170">
        <v>89.0</v>
      </c>
      <c r="B96" s="171" t="s">
        <v>118</v>
      </c>
      <c r="C96" s="172" t="s">
        <v>119</v>
      </c>
      <c r="D96" s="172" t="s">
        <v>290</v>
      </c>
      <c r="E96" s="172" t="s">
        <v>291</v>
      </c>
      <c r="F96" s="172"/>
      <c r="G96" s="172" t="s">
        <v>116</v>
      </c>
      <c r="H96" s="172" t="s">
        <v>117</v>
      </c>
      <c r="I96" s="173" t="s">
        <v>105</v>
      </c>
      <c r="J96" s="172" t="s">
        <v>106</v>
      </c>
      <c r="K96" s="174">
        <v>310.35</v>
      </c>
      <c r="L96" s="175">
        <v>456866.0</v>
      </c>
      <c r="M96" s="174">
        <v>46.55</v>
      </c>
      <c r="N96" s="175">
        <v>68526.0</v>
      </c>
      <c r="O96" s="174">
        <v>0.0</v>
      </c>
      <c r="P96" s="175">
        <v>0.0</v>
      </c>
      <c r="Q96" s="176">
        <f t="shared" ref="Q96:R96" si="97">M96-O96</f>
        <v>46.55</v>
      </c>
      <c r="R96" s="177">
        <f t="shared" si="97"/>
        <v>68526</v>
      </c>
      <c r="S96" s="178">
        <v>1472.1</v>
      </c>
      <c r="T96" s="179">
        <v>15.0</v>
      </c>
      <c r="U96" s="180" t="s">
        <v>107</v>
      </c>
      <c r="V96" s="180"/>
      <c r="W96" s="167"/>
      <c r="X96" s="168">
        <f t="shared" si="3"/>
        <v>0.1499914636</v>
      </c>
      <c r="Y96" s="168">
        <f t="shared" si="4"/>
        <v>0</v>
      </c>
      <c r="Z96" s="169">
        <f t="shared" si="5"/>
        <v>0</v>
      </c>
    </row>
    <row r="97" ht="15.0" customHeight="1">
      <c r="A97" s="170">
        <v>90.0</v>
      </c>
      <c r="B97" s="171" t="s">
        <v>118</v>
      </c>
      <c r="C97" s="172" t="s">
        <v>119</v>
      </c>
      <c r="D97" s="172" t="s">
        <v>292</v>
      </c>
      <c r="E97" s="172" t="s">
        <v>292</v>
      </c>
      <c r="F97" s="172"/>
      <c r="G97" s="172" t="s">
        <v>293</v>
      </c>
      <c r="H97" s="173" t="s">
        <v>294</v>
      </c>
      <c r="I97" s="173" t="s">
        <v>105</v>
      </c>
      <c r="J97" s="172" t="s">
        <v>106</v>
      </c>
      <c r="K97" s="174">
        <v>1.5</v>
      </c>
      <c r="L97" s="175">
        <v>2205.0</v>
      </c>
      <c r="M97" s="174">
        <v>0.23</v>
      </c>
      <c r="N97" s="175">
        <v>338.0</v>
      </c>
      <c r="O97" s="174">
        <v>0.0</v>
      </c>
      <c r="P97" s="175">
        <v>0.0</v>
      </c>
      <c r="Q97" s="176">
        <f t="shared" ref="Q97:R97" si="98">M97-O97</f>
        <v>0.23</v>
      </c>
      <c r="R97" s="177">
        <f t="shared" si="98"/>
        <v>338</v>
      </c>
      <c r="S97" s="178">
        <v>1470.4</v>
      </c>
      <c r="T97" s="179">
        <v>15.0</v>
      </c>
      <c r="U97" s="180" t="s">
        <v>107</v>
      </c>
      <c r="V97" s="180"/>
      <c r="W97" s="167"/>
      <c r="X97" s="168">
        <f t="shared" si="3"/>
        <v>0.1532879819</v>
      </c>
      <c r="Y97" s="168">
        <f t="shared" si="4"/>
        <v>0</v>
      </c>
      <c r="Z97" s="169">
        <f t="shared" si="5"/>
        <v>0</v>
      </c>
    </row>
    <row r="98" ht="15.0" customHeight="1">
      <c r="A98" s="170">
        <v>91.0</v>
      </c>
      <c r="B98" s="171" t="s">
        <v>118</v>
      </c>
      <c r="C98" s="172" t="s">
        <v>119</v>
      </c>
      <c r="D98" s="172" t="s">
        <v>295</v>
      </c>
      <c r="E98" s="172" t="s">
        <v>295</v>
      </c>
      <c r="F98" s="172"/>
      <c r="G98" s="172" t="s">
        <v>296</v>
      </c>
      <c r="H98" s="172" t="s">
        <v>297</v>
      </c>
      <c r="I98" s="173" t="s">
        <v>105</v>
      </c>
      <c r="J98" s="172" t="s">
        <v>106</v>
      </c>
      <c r="K98" s="174">
        <v>42.8</v>
      </c>
      <c r="L98" s="175">
        <v>62513.0</v>
      </c>
      <c r="M98" s="174">
        <v>6.42</v>
      </c>
      <c r="N98" s="175">
        <v>9377.0</v>
      </c>
      <c r="O98" s="174">
        <v>0.0</v>
      </c>
      <c r="P98" s="175">
        <v>0.0</v>
      </c>
      <c r="Q98" s="176">
        <f t="shared" ref="Q98:R98" si="99">M98-O98</f>
        <v>6.42</v>
      </c>
      <c r="R98" s="177">
        <f t="shared" si="99"/>
        <v>9377</v>
      </c>
      <c r="S98" s="178">
        <v>1460.6</v>
      </c>
      <c r="T98" s="179">
        <v>15.0</v>
      </c>
      <c r="U98" s="180" t="s">
        <v>107</v>
      </c>
      <c r="V98" s="180"/>
      <c r="W98" s="167"/>
      <c r="X98" s="168">
        <f t="shared" si="3"/>
        <v>0.1500007998</v>
      </c>
      <c r="Y98" s="168">
        <f t="shared" si="4"/>
        <v>0</v>
      </c>
      <c r="Z98" s="169">
        <f t="shared" si="5"/>
        <v>0</v>
      </c>
    </row>
    <row r="99" ht="15.0" customHeight="1">
      <c r="A99" s="181">
        <v>92.0</v>
      </c>
      <c r="B99" s="182" t="s">
        <v>118</v>
      </c>
      <c r="C99" s="183" t="s">
        <v>119</v>
      </c>
      <c r="D99" s="183" t="s">
        <v>298</v>
      </c>
      <c r="E99" s="183" t="s">
        <v>125</v>
      </c>
      <c r="F99" s="183"/>
      <c r="G99" s="183" t="s">
        <v>127</v>
      </c>
      <c r="H99" s="183" t="s">
        <v>128</v>
      </c>
      <c r="I99" s="184" t="s">
        <v>105</v>
      </c>
      <c r="J99" s="183" t="s">
        <v>106</v>
      </c>
      <c r="K99" s="185">
        <v>0.0</v>
      </c>
      <c r="L99" s="186">
        <v>0.0</v>
      </c>
      <c r="M99" s="185">
        <v>0.0</v>
      </c>
      <c r="N99" s="186">
        <v>0.0</v>
      </c>
      <c r="O99" s="185">
        <v>31.51</v>
      </c>
      <c r="P99" s="186">
        <v>45784.0</v>
      </c>
      <c r="Q99" s="187">
        <f t="shared" ref="Q99:R99" si="100">M99-O99</f>
        <v>-31.51</v>
      </c>
      <c r="R99" s="188">
        <f t="shared" si="100"/>
        <v>-45784</v>
      </c>
      <c r="S99" s="189">
        <v>1453.0</v>
      </c>
      <c r="T99" s="190">
        <v>7.1</v>
      </c>
      <c r="U99" s="191" t="s">
        <v>107</v>
      </c>
      <c r="V99" s="191" t="s">
        <v>299</v>
      </c>
      <c r="W99" s="167"/>
      <c r="X99" s="168">
        <f t="shared" si="3"/>
        <v>0</v>
      </c>
      <c r="Y99" s="168">
        <f t="shared" si="4"/>
        <v>0.14</v>
      </c>
      <c r="Z99" s="193">
        <f t="shared" ref="Z99:Z154" si="102">-R99</f>
        <v>45784</v>
      </c>
    </row>
    <row r="100" ht="15.0" customHeight="1">
      <c r="A100" s="181">
        <v>93.0</v>
      </c>
      <c r="B100" s="182" t="s">
        <v>118</v>
      </c>
      <c r="C100" s="183" t="s">
        <v>119</v>
      </c>
      <c r="D100" s="183" t="s">
        <v>298</v>
      </c>
      <c r="E100" s="183" t="s">
        <v>129</v>
      </c>
      <c r="F100" s="183"/>
      <c r="G100" s="183" t="s">
        <v>116</v>
      </c>
      <c r="H100" s="183" t="s">
        <v>117</v>
      </c>
      <c r="I100" s="184" t="s">
        <v>105</v>
      </c>
      <c r="J100" s="183" t="s">
        <v>106</v>
      </c>
      <c r="K100" s="185">
        <v>0.0</v>
      </c>
      <c r="L100" s="186">
        <v>0.0</v>
      </c>
      <c r="M100" s="185">
        <v>0.0</v>
      </c>
      <c r="N100" s="186">
        <v>0.0</v>
      </c>
      <c r="O100" s="185">
        <v>2.41</v>
      </c>
      <c r="P100" s="186">
        <v>3487.0</v>
      </c>
      <c r="Q100" s="187">
        <f t="shared" ref="Q100:R100" si="101">M100-O100</f>
        <v>-2.41</v>
      </c>
      <c r="R100" s="188">
        <f t="shared" si="101"/>
        <v>-3487</v>
      </c>
      <c r="S100" s="189">
        <v>1447.1</v>
      </c>
      <c r="T100" s="190">
        <v>14.32</v>
      </c>
      <c r="U100" s="191" t="s">
        <v>107</v>
      </c>
      <c r="V100" s="191" t="s">
        <v>300</v>
      </c>
      <c r="W100" s="167"/>
      <c r="X100" s="168">
        <f t="shared" si="3"/>
        <v>0</v>
      </c>
      <c r="Y100" s="168">
        <f t="shared" si="4"/>
        <v>0.14</v>
      </c>
      <c r="Z100" s="193">
        <f t="shared" si="102"/>
        <v>3487</v>
      </c>
    </row>
    <row r="101" ht="15.0" customHeight="1">
      <c r="A101" s="181">
        <v>94.0</v>
      </c>
      <c r="B101" s="182" t="s">
        <v>118</v>
      </c>
      <c r="C101" s="183" t="s">
        <v>119</v>
      </c>
      <c r="D101" s="183" t="s">
        <v>298</v>
      </c>
      <c r="E101" s="183" t="s">
        <v>130</v>
      </c>
      <c r="F101" s="183"/>
      <c r="G101" s="183" t="s">
        <v>131</v>
      </c>
      <c r="H101" s="183" t="s">
        <v>301</v>
      </c>
      <c r="I101" s="184" t="s">
        <v>105</v>
      </c>
      <c r="J101" s="183" t="s">
        <v>106</v>
      </c>
      <c r="K101" s="185">
        <v>0.0</v>
      </c>
      <c r="L101" s="186">
        <v>0.0</v>
      </c>
      <c r="M101" s="185">
        <v>0.0</v>
      </c>
      <c r="N101" s="186">
        <v>0.0</v>
      </c>
      <c r="O101" s="185">
        <v>121.3</v>
      </c>
      <c r="P101" s="186">
        <v>176309.0</v>
      </c>
      <c r="Q101" s="187">
        <f t="shared" ref="Q101:R101" si="103">M101-O101</f>
        <v>-121.3</v>
      </c>
      <c r="R101" s="188">
        <f t="shared" si="103"/>
        <v>-176309</v>
      </c>
      <c r="S101" s="189">
        <v>1453.5</v>
      </c>
      <c r="T101" s="190">
        <v>0.44</v>
      </c>
      <c r="U101" s="191" t="s">
        <v>107</v>
      </c>
      <c r="V101" s="191" t="s">
        <v>302</v>
      </c>
      <c r="W101" s="167"/>
      <c r="X101" s="168">
        <f t="shared" si="3"/>
        <v>0</v>
      </c>
      <c r="Y101" s="168">
        <f t="shared" si="4"/>
        <v>0.14</v>
      </c>
      <c r="Z101" s="193">
        <f t="shared" si="102"/>
        <v>176309</v>
      </c>
    </row>
    <row r="102" ht="15.0" customHeight="1">
      <c r="A102" s="181">
        <v>95.0</v>
      </c>
      <c r="B102" s="182" t="s">
        <v>118</v>
      </c>
      <c r="C102" s="183" t="s">
        <v>119</v>
      </c>
      <c r="D102" s="183" t="s">
        <v>298</v>
      </c>
      <c r="E102" s="183" t="s">
        <v>133</v>
      </c>
      <c r="F102" s="183"/>
      <c r="G102" s="183" t="s">
        <v>135</v>
      </c>
      <c r="H102" s="183" t="s">
        <v>136</v>
      </c>
      <c r="I102" s="184" t="s">
        <v>105</v>
      </c>
      <c r="J102" s="183" t="s">
        <v>106</v>
      </c>
      <c r="K102" s="185">
        <v>0.0</v>
      </c>
      <c r="L102" s="186">
        <v>0.0</v>
      </c>
      <c r="M102" s="185">
        <v>0.0</v>
      </c>
      <c r="N102" s="186">
        <v>0.0</v>
      </c>
      <c r="O102" s="185">
        <v>179.52</v>
      </c>
      <c r="P102" s="186">
        <v>259208.0</v>
      </c>
      <c r="Q102" s="187">
        <f t="shared" ref="Q102:R102" si="104">M102-O102</f>
        <v>-179.52</v>
      </c>
      <c r="R102" s="188">
        <f t="shared" si="104"/>
        <v>-259208</v>
      </c>
      <c r="S102" s="189">
        <v>1443.9</v>
      </c>
      <c r="T102" s="190">
        <v>0.0</v>
      </c>
      <c r="U102" s="191" t="s">
        <v>107</v>
      </c>
      <c r="V102" s="191" t="s">
        <v>303</v>
      </c>
      <c r="W102" s="167"/>
      <c r="X102" s="168">
        <f t="shared" si="3"/>
        <v>0</v>
      </c>
      <c r="Y102" s="168">
        <f t="shared" si="4"/>
        <v>0.14</v>
      </c>
      <c r="Z102" s="193">
        <f t="shared" si="102"/>
        <v>259208</v>
      </c>
    </row>
    <row r="103" ht="15.0" customHeight="1">
      <c r="A103" s="181">
        <v>96.0</v>
      </c>
      <c r="B103" s="182" t="s">
        <v>118</v>
      </c>
      <c r="C103" s="183" t="s">
        <v>119</v>
      </c>
      <c r="D103" s="183" t="s">
        <v>298</v>
      </c>
      <c r="E103" s="183" t="s">
        <v>137</v>
      </c>
      <c r="F103" s="183"/>
      <c r="G103" s="183" t="s">
        <v>139</v>
      </c>
      <c r="H103" s="183" t="s">
        <v>140</v>
      </c>
      <c r="I103" s="184" t="s">
        <v>105</v>
      </c>
      <c r="J103" s="183" t="s">
        <v>106</v>
      </c>
      <c r="K103" s="185">
        <v>0.0</v>
      </c>
      <c r="L103" s="186">
        <v>0.0</v>
      </c>
      <c r="M103" s="185">
        <v>0.0</v>
      </c>
      <c r="N103" s="186">
        <v>0.0</v>
      </c>
      <c r="O103" s="185">
        <v>51.3</v>
      </c>
      <c r="P103" s="186">
        <v>73569.0</v>
      </c>
      <c r="Q103" s="187">
        <f t="shared" ref="Q103:R103" si="105">M103-O103</f>
        <v>-51.3</v>
      </c>
      <c r="R103" s="188">
        <f t="shared" si="105"/>
        <v>-73569</v>
      </c>
      <c r="S103" s="189">
        <v>1434.1</v>
      </c>
      <c r="T103" s="190">
        <v>4.05</v>
      </c>
      <c r="U103" s="191" t="s">
        <v>107</v>
      </c>
      <c r="V103" s="191" t="s">
        <v>304</v>
      </c>
      <c r="W103" s="167"/>
      <c r="X103" s="168">
        <f t="shared" si="3"/>
        <v>0</v>
      </c>
      <c r="Y103" s="168">
        <f t="shared" si="4"/>
        <v>0.14</v>
      </c>
      <c r="Z103" s="193">
        <f t="shared" si="102"/>
        <v>73569</v>
      </c>
    </row>
    <row r="104" ht="15.0" customHeight="1">
      <c r="A104" s="181">
        <v>97.0</v>
      </c>
      <c r="B104" s="182" t="s">
        <v>118</v>
      </c>
      <c r="C104" s="183" t="s">
        <v>119</v>
      </c>
      <c r="D104" s="183" t="s">
        <v>298</v>
      </c>
      <c r="E104" s="183" t="s">
        <v>141</v>
      </c>
      <c r="F104" s="183"/>
      <c r="G104" s="183" t="s">
        <v>143</v>
      </c>
      <c r="H104" s="183" t="s">
        <v>144</v>
      </c>
      <c r="I104" s="184" t="s">
        <v>105</v>
      </c>
      <c r="J104" s="183" t="s">
        <v>106</v>
      </c>
      <c r="K104" s="185">
        <v>0.0</v>
      </c>
      <c r="L104" s="186">
        <v>0.0</v>
      </c>
      <c r="M104" s="185">
        <v>0.0</v>
      </c>
      <c r="N104" s="186">
        <v>0.0</v>
      </c>
      <c r="O104" s="185">
        <v>1.9</v>
      </c>
      <c r="P104" s="186">
        <v>2771.0</v>
      </c>
      <c r="Q104" s="187">
        <f t="shared" ref="Q104:R104" si="106">M104-O104</f>
        <v>-1.9</v>
      </c>
      <c r="R104" s="188">
        <f t="shared" si="106"/>
        <v>-2771</v>
      </c>
      <c r="S104" s="189">
        <v>1458.7</v>
      </c>
      <c r="T104" s="190">
        <v>5.52</v>
      </c>
      <c r="U104" s="191" t="s">
        <v>107</v>
      </c>
      <c r="V104" s="191" t="s">
        <v>305</v>
      </c>
      <c r="W104" s="167"/>
      <c r="X104" s="168">
        <f t="shared" si="3"/>
        <v>0</v>
      </c>
      <c r="Y104" s="168">
        <f t="shared" si="4"/>
        <v>0.14</v>
      </c>
      <c r="Z104" s="193">
        <f t="shared" si="102"/>
        <v>2771</v>
      </c>
    </row>
    <row r="105" ht="15.0" customHeight="1">
      <c r="A105" s="181">
        <v>98.0</v>
      </c>
      <c r="B105" s="182" t="s">
        <v>118</v>
      </c>
      <c r="C105" s="183" t="s">
        <v>119</v>
      </c>
      <c r="D105" s="183" t="s">
        <v>298</v>
      </c>
      <c r="E105" s="183" t="s">
        <v>141</v>
      </c>
      <c r="F105" s="183"/>
      <c r="G105" s="183" t="s">
        <v>127</v>
      </c>
      <c r="H105" s="183" t="s">
        <v>128</v>
      </c>
      <c r="I105" s="184" t="s">
        <v>105</v>
      </c>
      <c r="J105" s="183" t="s">
        <v>106</v>
      </c>
      <c r="K105" s="185">
        <v>0.0</v>
      </c>
      <c r="L105" s="186">
        <v>0.0</v>
      </c>
      <c r="M105" s="185">
        <v>0.0</v>
      </c>
      <c r="N105" s="186">
        <v>0.0</v>
      </c>
      <c r="O105" s="185">
        <v>6.11</v>
      </c>
      <c r="P105" s="186">
        <v>8912.0</v>
      </c>
      <c r="Q105" s="187">
        <f t="shared" ref="Q105:R105" si="107">M105-O105</f>
        <v>-6.11</v>
      </c>
      <c r="R105" s="188">
        <f t="shared" si="107"/>
        <v>-8912</v>
      </c>
      <c r="S105" s="189">
        <v>1458.7</v>
      </c>
      <c r="T105" s="190">
        <v>7.1</v>
      </c>
      <c r="U105" s="191" t="s">
        <v>107</v>
      </c>
      <c r="V105" s="191" t="s">
        <v>306</v>
      </c>
      <c r="W105" s="167"/>
      <c r="X105" s="168">
        <f t="shared" si="3"/>
        <v>0</v>
      </c>
      <c r="Y105" s="168">
        <f t="shared" si="4"/>
        <v>0.14</v>
      </c>
      <c r="Z105" s="193">
        <f t="shared" si="102"/>
        <v>8912</v>
      </c>
    </row>
    <row r="106" ht="15.0" customHeight="1">
      <c r="A106" s="181">
        <v>99.0</v>
      </c>
      <c r="B106" s="182" t="s">
        <v>118</v>
      </c>
      <c r="C106" s="183" t="s">
        <v>119</v>
      </c>
      <c r="D106" s="183" t="s">
        <v>307</v>
      </c>
      <c r="E106" s="183" t="s">
        <v>185</v>
      </c>
      <c r="F106" s="183"/>
      <c r="G106" s="183" t="s">
        <v>143</v>
      </c>
      <c r="H106" s="183" t="s">
        <v>160</v>
      </c>
      <c r="I106" s="184" t="s">
        <v>105</v>
      </c>
      <c r="J106" s="183" t="s">
        <v>106</v>
      </c>
      <c r="K106" s="185">
        <v>0.0</v>
      </c>
      <c r="L106" s="186">
        <v>0.0</v>
      </c>
      <c r="M106" s="185">
        <v>0.0</v>
      </c>
      <c r="N106" s="186">
        <v>0.0</v>
      </c>
      <c r="O106" s="185">
        <v>2.08</v>
      </c>
      <c r="P106" s="186">
        <v>2993.0</v>
      </c>
      <c r="Q106" s="187">
        <f t="shared" ref="Q106:R106" si="108">M106-O106</f>
        <v>-2.08</v>
      </c>
      <c r="R106" s="188">
        <f t="shared" si="108"/>
        <v>-2993</v>
      </c>
      <c r="S106" s="189">
        <v>1439.3</v>
      </c>
      <c r="T106" s="190">
        <v>5.52</v>
      </c>
      <c r="U106" s="191" t="s">
        <v>107</v>
      </c>
      <c r="V106" s="191" t="s">
        <v>308</v>
      </c>
      <c r="W106" s="167"/>
      <c r="X106" s="168">
        <f t="shared" si="3"/>
        <v>0</v>
      </c>
      <c r="Y106" s="168">
        <f t="shared" si="4"/>
        <v>0.14</v>
      </c>
      <c r="Z106" s="193">
        <f t="shared" si="102"/>
        <v>2993</v>
      </c>
    </row>
    <row r="107" ht="15.0" customHeight="1">
      <c r="A107" s="181">
        <v>100.0</v>
      </c>
      <c r="B107" s="182" t="s">
        <v>118</v>
      </c>
      <c r="C107" s="183" t="s">
        <v>119</v>
      </c>
      <c r="D107" s="183" t="s">
        <v>307</v>
      </c>
      <c r="E107" s="183" t="s">
        <v>185</v>
      </c>
      <c r="F107" s="183"/>
      <c r="G107" s="183" t="s">
        <v>127</v>
      </c>
      <c r="H107" s="183" t="s">
        <v>186</v>
      </c>
      <c r="I107" s="184" t="s">
        <v>105</v>
      </c>
      <c r="J107" s="183" t="s">
        <v>106</v>
      </c>
      <c r="K107" s="185">
        <v>0.0</v>
      </c>
      <c r="L107" s="186">
        <v>0.0</v>
      </c>
      <c r="M107" s="185">
        <v>0.0</v>
      </c>
      <c r="N107" s="186">
        <v>0.0</v>
      </c>
      <c r="O107" s="185">
        <v>2.55</v>
      </c>
      <c r="P107" s="186">
        <v>3670.0</v>
      </c>
      <c r="Q107" s="187">
        <f t="shared" ref="Q107:R107" si="109">M107-O107</f>
        <v>-2.55</v>
      </c>
      <c r="R107" s="188">
        <f t="shared" si="109"/>
        <v>-3670</v>
      </c>
      <c r="S107" s="189">
        <v>1439.3</v>
      </c>
      <c r="T107" s="190">
        <v>7.1</v>
      </c>
      <c r="U107" s="191" t="s">
        <v>107</v>
      </c>
      <c r="V107" s="191" t="s">
        <v>309</v>
      </c>
      <c r="W107" s="167"/>
      <c r="X107" s="168">
        <f t="shared" si="3"/>
        <v>0</v>
      </c>
      <c r="Y107" s="168">
        <f t="shared" si="4"/>
        <v>0.14</v>
      </c>
      <c r="Z107" s="193">
        <f t="shared" si="102"/>
        <v>3670</v>
      </c>
    </row>
    <row r="108" ht="15.0" customHeight="1">
      <c r="A108" s="181">
        <v>101.0</v>
      </c>
      <c r="B108" s="182" t="s">
        <v>118</v>
      </c>
      <c r="C108" s="183" t="s">
        <v>119</v>
      </c>
      <c r="D108" s="183" t="s">
        <v>307</v>
      </c>
      <c r="E108" s="183" t="s">
        <v>152</v>
      </c>
      <c r="F108" s="183"/>
      <c r="G108" s="183" t="s">
        <v>135</v>
      </c>
      <c r="H108" s="183" t="s">
        <v>136</v>
      </c>
      <c r="I108" s="184" t="s">
        <v>105</v>
      </c>
      <c r="J108" s="183" t="s">
        <v>106</v>
      </c>
      <c r="K108" s="185">
        <v>0.0</v>
      </c>
      <c r="L108" s="186">
        <v>0.0</v>
      </c>
      <c r="M108" s="185">
        <v>0.0</v>
      </c>
      <c r="N108" s="186">
        <v>0.0</v>
      </c>
      <c r="O108" s="185">
        <v>122.32</v>
      </c>
      <c r="P108" s="186">
        <v>177119.0</v>
      </c>
      <c r="Q108" s="187">
        <f t="shared" ref="Q108:R108" si="110">M108-O108</f>
        <v>-122.32</v>
      </c>
      <c r="R108" s="188">
        <f t="shared" si="110"/>
        <v>-177119</v>
      </c>
      <c r="S108" s="189">
        <v>1448.0</v>
      </c>
      <c r="T108" s="190">
        <v>0.0</v>
      </c>
      <c r="U108" s="191" t="s">
        <v>107</v>
      </c>
      <c r="V108" s="191" t="s">
        <v>310</v>
      </c>
      <c r="W108" s="167"/>
      <c r="X108" s="168">
        <f t="shared" si="3"/>
        <v>0</v>
      </c>
      <c r="Y108" s="168">
        <f t="shared" si="4"/>
        <v>0.14</v>
      </c>
      <c r="Z108" s="193">
        <f t="shared" si="102"/>
        <v>177119</v>
      </c>
    </row>
    <row r="109" ht="15.0" customHeight="1">
      <c r="A109" s="181">
        <v>102.0</v>
      </c>
      <c r="B109" s="182" t="s">
        <v>118</v>
      </c>
      <c r="C109" s="183" t="s">
        <v>119</v>
      </c>
      <c r="D109" s="183" t="s">
        <v>307</v>
      </c>
      <c r="E109" s="183" t="s">
        <v>170</v>
      </c>
      <c r="F109" s="183"/>
      <c r="G109" s="183" t="s">
        <v>135</v>
      </c>
      <c r="H109" s="183" t="s">
        <v>172</v>
      </c>
      <c r="I109" s="184" t="s">
        <v>105</v>
      </c>
      <c r="J109" s="183" t="s">
        <v>106</v>
      </c>
      <c r="K109" s="185">
        <v>0.0</v>
      </c>
      <c r="L109" s="186">
        <v>0.0</v>
      </c>
      <c r="M109" s="185">
        <v>0.0</v>
      </c>
      <c r="N109" s="186">
        <v>0.0</v>
      </c>
      <c r="O109" s="185">
        <v>118.6</v>
      </c>
      <c r="P109" s="186">
        <v>169289.0</v>
      </c>
      <c r="Q109" s="187">
        <f t="shared" ref="Q109:R109" si="111">M109-O109</f>
        <v>-118.6</v>
      </c>
      <c r="R109" s="188">
        <f t="shared" si="111"/>
        <v>-169289</v>
      </c>
      <c r="S109" s="189">
        <v>1427.4</v>
      </c>
      <c r="T109" s="190">
        <v>0.0</v>
      </c>
      <c r="U109" s="191" t="s">
        <v>107</v>
      </c>
      <c r="V109" s="191" t="s">
        <v>311</v>
      </c>
      <c r="W109" s="167"/>
      <c r="X109" s="168">
        <f t="shared" si="3"/>
        <v>0</v>
      </c>
      <c r="Y109" s="168">
        <f t="shared" si="4"/>
        <v>0.14</v>
      </c>
      <c r="Z109" s="193">
        <f t="shared" si="102"/>
        <v>169289</v>
      </c>
    </row>
    <row r="110" ht="15.0" customHeight="1">
      <c r="A110" s="181">
        <v>103.0</v>
      </c>
      <c r="B110" s="182" t="s">
        <v>118</v>
      </c>
      <c r="C110" s="183" t="s">
        <v>119</v>
      </c>
      <c r="D110" s="183" t="s">
        <v>307</v>
      </c>
      <c r="E110" s="183" t="s">
        <v>178</v>
      </c>
      <c r="F110" s="183"/>
      <c r="G110" s="183" t="s">
        <v>139</v>
      </c>
      <c r="H110" s="183" t="s">
        <v>180</v>
      </c>
      <c r="I110" s="184" t="s">
        <v>105</v>
      </c>
      <c r="J110" s="183" t="s">
        <v>106</v>
      </c>
      <c r="K110" s="185">
        <v>0.0</v>
      </c>
      <c r="L110" s="186">
        <v>0.0</v>
      </c>
      <c r="M110" s="185">
        <v>0.0</v>
      </c>
      <c r="N110" s="186">
        <v>0.0</v>
      </c>
      <c r="O110" s="185">
        <v>58.43</v>
      </c>
      <c r="P110" s="186">
        <v>83122.0</v>
      </c>
      <c r="Q110" s="187">
        <f t="shared" ref="Q110:R110" si="112">M110-O110</f>
        <v>-58.43</v>
      </c>
      <c r="R110" s="188">
        <f t="shared" si="112"/>
        <v>-83122</v>
      </c>
      <c r="S110" s="189">
        <v>1422.6</v>
      </c>
      <c r="T110" s="190">
        <v>4.05</v>
      </c>
      <c r="U110" s="191" t="s">
        <v>107</v>
      </c>
      <c r="V110" s="191" t="s">
        <v>312</v>
      </c>
      <c r="W110" s="167"/>
      <c r="X110" s="168">
        <f t="shared" si="3"/>
        <v>0</v>
      </c>
      <c r="Y110" s="168">
        <f t="shared" si="4"/>
        <v>0.14</v>
      </c>
      <c r="Z110" s="193">
        <f t="shared" si="102"/>
        <v>83122</v>
      </c>
    </row>
    <row r="111" ht="15.0" customHeight="1">
      <c r="A111" s="181">
        <v>104.0</v>
      </c>
      <c r="B111" s="182" t="s">
        <v>118</v>
      </c>
      <c r="C111" s="183" t="s">
        <v>119</v>
      </c>
      <c r="D111" s="183" t="s">
        <v>307</v>
      </c>
      <c r="E111" s="183" t="s">
        <v>155</v>
      </c>
      <c r="F111" s="183"/>
      <c r="G111" s="183" t="s">
        <v>139</v>
      </c>
      <c r="H111" s="183" t="s">
        <v>157</v>
      </c>
      <c r="I111" s="184" t="s">
        <v>105</v>
      </c>
      <c r="J111" s="183" t="s">
        <v>106</v>
      </c>
      <c r="K111" s="185">
        <v>0.0</v>
      </c>
      <c r="L111" s="186">
        <v>0.0</v>
      </c>
      <c r="M111" s="185">
        <v>0.0</v>
      </c>
      <c r="N111" s="186">
        <v>0.0</v>
      </c>
      <c r="O111" s="185">
        <v>41.07</v>
      </c>
      <c r="P111" s="186">
        <v>60245.0</v>
      </c>
      <c r="Q111" s="187">
        <f t="shared" ref="Q111:R111" si="113">M111-O111</f>
        <v>-41.07</v>
      </c>
      <c r="R111" s="188">
        <f t="shared" si="113"/>
        <v>-60245</v>
      </c>
      <c r="S111" s="189">
        <v>1466.9</v>
      </c>
      <c r="T111" s="190">
        <v>4.05</v>
      </c>
      <c r="U111" s="191" t="s">
        <v>107</v>
      </c>
      <c r="V111" s="191" t="s">
        <v>313</v>
      </c>
      <c r="W111" s="167"/>
      <c r="X111" s="168">
        <f t="shared" si="3"/>
        <v>0</v>
      </c>
      <c r="Y111" s="168">
        <f t="shared" si="4"/>
        <v>0.14</v>
      </c>
      <c r="Z111" s="193">
        <f t="shared" si="102"/>
        <v>60245</v>
      </c>
    </row>
    <row r="112" ht="15.0" customHeight="1">
      <c r="A112" s="181">
        <v>105.0</v>
      </c>
      <c r="B112" s="182" t="s">
        <v>118</v>
      </c>
      <c r="C112" s="183" t="s">
        <v>119</v>
      </c>
      <c r="D112" s="183" t="s">
        <v>307</v>
      </c>
      <c r="E112" s="183" t="s">
        <v>145</v>
      </c>
      <c r="F112" s="183"/>
      <c r="G112" s="183" t="s">
        <v>116</v>
      </c>
      <c r="H112" s="183" t="s">
        <v>117</v>
      </c>
      <c r="I112" s="184" t="s">
        <v>105</v>
      </c>
      <c r="J112" s="183" t="s">
        <v>106</v>
      </c>
      <c r="K112" s="185">
        <v>0.0</v>
      </c>
      <c r="L112" s="186">
        <v>0.0</v>
      </c>
      <c r="M112" s="185">
        <v>0.0</v>
      </c>
      <c r="N112" s="186">
        <v>0.0</v>
      </c>
      <c r="O112" s="185">
        <v>3.53</v>
      </c>
      <c r="P112" s="186">
        <v>5088.0</v>
      </c>
      <c r="Q112" s="187">
        <f t="shared" ref="Q112:R112" si="114">M112-O112</f>
        <v>-3.53</v>
      </c>
      <c r="R112" s="188">
        <f t="shared" si="114"/>
        <v>-5088</v>
      </c>
      <c r="S112" s="189">
        <v>1441.6</v>
      </c>
      <c r="T112" s="190">
        <v>14.27</v>
      </c>
      <c r="U112" s="191" t="s">
        <v>107</v>
      </c>
      <c r="V112" s="191" t="s">
        <v>314</v>
      </c>
      <c r="W112" s="167"/>
      <c r="X112" s="168">
        <f t="shared" si="3"/>
        <v>0</v>
      </c>
      <c r="Y112" s="168">
        <f t="shared" si="4"/>
        <v>0.14</v>
      </c>
      <c r="Z112" s="193">
        <f t="shared" si="102"/>
        <v>5088</v>
      </c>
    </row>
    <row r="113" ht="15.0" customHeight="1">
      <c r="A113" s="181">
        <v>106.0</v>
      </c>
      <c r="B113" s="182" t="s">
        <v>118</v>
      </c>
      <c r="C113" s="183" t="s">
        <v>119</v>
      </c>
      <c r="D113" s="183" t="s">
        <v>307</v>
      </c>
      <c r="E113" s="183" t="s">
        <v>168</v>
      </c>
      <c r="F113" s="183"/>
      <c r="G113" s="183" t="s">
        <v>116</v>
      </c>
      <c r="H113" s="183" t="s">
        <v>117</v>
      </c>
      <c r="I113" s="184" t="s">
        <v>105</v>
      </c>
      <c r="J113" s="183" t="s">
        <v>106</v>
      </c>
      <c r="K113" s="185">
        <v>0.0</v>
      </c>
      <c r="L113" s="186">
        <v>0.0</v>
      </c>
      <c r="M113" s="185">
        <v>0.0</v>
      </c>
      <c r="N113" s="186">
        <v>0.0</v>
      </c>
      <c r="O113" s="185">
        <v>8.09</v>
      </c>
      <c r="P113" s="186">
        <v>11893.0</v>
      </c>
      <c r="Q113" s="187">
        <f t="shared" ref="Q113:R113" si="115">M113-O113</f>
        <v>-8.09</v>
      </c>
      <c r="R113" s="188">
        <f t="shared" si="115"/>
        <v>-11893</v>
      </c>
      <c r="S113" s="189">
        <v>1470.2</v>
      </c>
      <c r="T113" s="190">
        <v>11.68</v>
      </c>
      <c r="U113" s="191" t="s">
        <v>107</v>
      </c>
      <c r="V113" s="191" t="s">
        <v>315</v>
      </c>
      <c r="W113" s="167"/>
      <c r="X113" s="168">
        <f t="shared" si="3"/>
        <v>0</v>
      </c>
      <c r="Y113" s="168">
        <f t="shared" si="4"/>
        <v>0.14</v>
      </c>
      <c r="Z113" s="193">
        <f t="shared" si="102"/>
        <v>11893</v>
      </c>
    </row>
    <row r="114" ht="15.0" customHeight="1">
      <c r="A114" s="181">
        <v>107.0</v>
      </c>
      <c r="B114" s="182" t="s">
        <v>118</v>
      </c>
      <c r="C114" s="183" t="s">
        <v>119</v>
      </c>
      <c r="D114" s="183" t="s">
        <v>307</v>
      </c>
      <c r="E114" s="183" t="s">
        <v>146</v>
      </c>
      <c r="F114" s="183"/>
      <c r="G114" s="183" t="s">
        <v>131</v>
      </c>
      <c r="H114" s="183" t="s">
        <v>301</v>
      </c>
      <c r="I114" s="184" t="s">
        <v>105</v>
      </c>
      <c r="J114" s="183" t="s">
        <v>106</v>
      </c>
      <c r="K114" s="185">
        <v>0.0</v>
      </c>
      <c r="L114" s="186">
        <v>0.0</v>
      </c>
      <c r="M114" s="185">
        <v>0.0</v>
      </c>
      <c r="N114" s="186">
        <v>0.0</v>
      </c>
      <c r="O114" s="185">
        <v>69.4</v>
      </c>
      <c r="P114" s="186">
        <v>100734.0</v>
      </c>
      <c r="Q114" s="187">
        <f t="shared" ref="Q114:R114" si="116">M114-O114</f>
        <v>-69.4</v>
      </c>
      <c r="R114" s="188">
        <f t="shared" si="116"/>
        <v>-100734</v>
      </c>
      <c r="S114" s="189">
        <v>1451.5</v>
      </c>
      <c r="T114" s="190">
        <v>0.44</v>
      </c>
      <c r="U114" s="191" t="s">
        <v>107</v>
      </c>
      <c r="V114" s="191" t="s">
        <v>316</v>
      </c>
      <c r="W114" s="167"/>
      <c r="X114" s="168">
        <f t="shared" si="3"/>
        <v>0</v>
      </c>
      <c r="Y114" s="168">
        <f t="shared" si="4"/>
        <v>0.14</v>
      </c>
      <c r="Z114" s="193">
        <f t="shared" si="102"/>
        <v>100734</v>
      </c>
    </row>
    <row r="115" ht="15.0" customHeight="1">
      <c r="A115" s="181">
        <v>108.0</v>
      </c>
      <c r="B115" s="182" t="s">
        <v>118</v>
      </c>
      <c r="C115" s="183" t="s">
        <v>119</v>
      </c>
      <c r="D115" s="183" t="s">
        <v>307</v>
      </c>
      <c r="E115" s="183" t="s">
        <v>165</v>
      </c>
      <c r="F115" s="183"/>
      <c r="G115" s="183" t="s">
        <v>131</v>
      </c>
      <c r="H115" s="183" t="s">
        <v>167</v>
      </c>
      <c r="I115" s="184" t="s">
        <v>105</v>
      </c>
      <c r="J115" s="183" t="s">
        <v>106</v>
      </c>
      <c r="K115" s="185">
        <v>0.0</v>
      </c>
      <c r="L115" s="186">
        <v>0.0</v>
      </c>
      <c r="M115" s="185">
        <v>0.0</v>
      </c>
      <c r="N115" s="186">
        <v>0.0</v>
      </c>
      <c r="O115" s="185">
        <v>50.77</v>
      </c>
      <c r="P115" s="186">
        <v>74423.0</v>
      </c>
      <c r="Q115" s="187">
        <f t="shared" ref="Q115:R115" si="117">M115-O115</f>
        <v>-50.77</v>
      </c>
      <c r="R115" s="188">
        <f t="shared" si="117"/>
        <v>-74423</v>
      </c>
      <c r="S115" s="189">
        <v>1465.9</v>
      </c>
      <c r="T115" s="190">
        <v>0.44</v>
      </c>
      <c r="U115" s="191" t="s">
        <v>107</v>
      </c>
      <c r="V115" s="191" t="s">
        <v>317</v>
      </c>
      <c r="W115" s="167"/>
      <c r="X115" s="168">
        <f t="shared" si="3"/>
        <v>0</v>
      </c>
      <c r="Y115" s="168">
        <f t="shared" si="4"/>
        <v>0.14</v>
      </c>
      <c r="Z115" s="193">
        <f t="shared" si="102"/>
        <v>74423</v>
      </c>
    </row>
    <row r="116" ht="15.0" customHeight="1">
      <c r="A116" s="181">
        <v>109.0</v>
      </c>
      <c r="B116" s="182" t="s">
        <v>118</v>
      </c>
      <c r="C116" s="183" t="s">
        <v>119</v>
      </c>
      <c r="D116" s="183" t="s">
        <v>298</v>
      </c>
      <c r="E116" s="183" t="s">
        <v>158</v>
      </c>
      <c r="F116" s="183"/>
      <c r="G116" s="183" t="s">
        <v>143</v>
      </c>
      <c r="H116" s="183" t="s">
        <v>144</v>
      </c>
      <c r="I116" s="184" t="s">
        <v>105</v>
      </c>
      <c r="J116" s="183" t="s">
        <v>106</v>
      </c>
      <c r="K116" s="185">
        <v>0.0</v>
      </c>
      <c r="L116" s="186">
        <v>0.0</v>
      </c>
      <c r="M116" s="185">
        <v>0.0</v>
      </c>
      <c r="N116" s="186">
        <v>0.0</v>
      </c>
      <c r="O116" s="185">
        <v>2.2</v>
      </c>
      <c r="P116" s="186">
        <v>3226.0</v>
      </c>
      <c r="Q116" s="187">
        <f t="shared" ref="Q116:R116" si="118">M116-O116</f>
        <v>-2.2</v>
      </c>
      <c r="R116" s="188">
        <f t="shared" si="118"/>
        <v>-3226</v>
      </c>
      <c r="S116" s="189">
        <v>1466.5</v>
      </c>
      <c r="T116" s="190">
        <v>5.52</v>
      </c>
      <c r="U116" s="191" t="s">
        <v>107</v>
      </c>
      <c r="V116" s="191" t="s">
        <v>318</v>
      </c>
      <c r="W116" s="167"/>
      <c r="X116" s="168">
        <f t="shared" si="3"/>
        <v>0</v>
      </c>
      <c r="Y116" s="168">
        <f t="shared" si="4"/>
        <v>0.14</v>
      </c>
      <c r="Z116" s="193">
        <f t="shared" si="102"/>
        <v>3226</v>
      </c>
    </row>
    <row r="117" ht="15.0" customHeight="1">
      <c r="A117" s="181">
        <v>110.0</v>
      </c>
      <c r="B117" s="182" t="s">
        <v>118</v>
      </c>
      <c r="C117" s="183" t="s">
        <v>119</v>
      </c>
      <c r="D117" s="183" t="s">
        <v>298</v>
      </c>
      <c r="E117" s="183" t="s">
        <v>158</v>
      </c>
      <c r="F117" s="183"/>
      <c r="G117" s="183" t="s">
        <v>127</v>
      </c>
      <c r="H117" s="183" t="s">
        <v>128</v>
      </c>
      <c r="I117" s="184" t="s">
        <v>105</v>
      </c>
      <c r="J117" s="183" t="s">
        <v>106</v>
      </c>
      <c r="K117" s="185">
        <v>0.0</v>
      </c>
      <c r="L117" s="186">
        <v>0.0</v>
      </c>
      <c r="M117" s="185">
        <v>0.0</v>
      </c>
      <c r="N117" s="186">
        <v>0.0</v>
      </c>
      <c r="O117" s="185">
        <v>2.98</v>
      </c>
      <c r="P117" s="186">
        <v>4370.0</v>
      </c>
      <c r="Q117" s="187">
        <f t="shared" ref="Q117:R117" si="119">M117-O117</f>
        <v>-2.98</v>
      </c>
      <c r="R117" s="188">
        <f t="shared" si="119"/>
        <v>-4370</v>
      </c>
      <c r="S117" s="189">
        <v>1466.5</v>
      </c>
      <c r="T117" s="190">
        <v>7.1</v>
      </c>
      <c r="U117" s="191" t="s">
        <v>107</v>
      </c>
      <c r="V117" s="191" t="s">
        <v>319</v>
      </c>
      <c r="W117" s="167"/>
      <c r="X117" s="168">
        <f t="shared" si="3"/>
        <v>0</v>
      </c>
      <c r="Y117" s="168">
        <f t="shared" si="4"/>
        <v>0.14</v>
      </c>
      <c r="Z117" s="193">
        <f t="shared" si="102"/>
        <v>4370</v>
      </c>
    </row>
    <row r="118" ht="15.0" customHeight="1">
      <c r="A118" s="181">
        <v>111.0</v>
      </c>
      <c r="B118" s="182" t="s">
        <v>118</v>
      </c>
      <c r="C118" s="183" t="s">
        <v>119</v>
      </c>
      <c r="D118" s="183" t="s">
        <v>307</v>
      </c>
      <c r="E118" s="183" t="s">
        <v>197</v>
      </c>
      <c r="F118" s="183"/>
      <c r="G118" s="183" t="s">
        <v>143</v>
      </c>
      <c r="H118" s="183" t="s">
        <v>160</v>
      </c>
      <c r="I118" s="184" t="s">
        <v>105</v>
      </c>
      <c r="J118" s="183" t="s">
        <v>106</v>
      </c>
      <c r="K118" s="185">
        <v>0.0</v>
      </c>
      <c r="L118" s="186">
        <v>0.0</v>
      </c>
      <c r="M118" s="185">
        <v>0.0</v>
      </c>
      <c r="N118" s="186">
        <v>0.0</v>
      </c>
      <c r="O118" s="185">
        <v>2.54</v>
      </c>
      <c r="P118" s="186">
        <v>3501.0</v>
      </c>
      <c r="Q118" s="187">
        <f t="shared" ref="Q118:R118" si="120">M118-O118</f>
        <v>-2.54</v>
      </c>
      <c r="R118" s="188">
        <f t="shared" si="120"/>
        <v>-3501</v>
      </c>
      <c r="S118" s="189">
        <v>1378.4</v>
      </c>
      <c r="T118" s="190">
        <v>5.52</v>
      </c>
      <c r="U118" s="191" t="s">
        <v>107</v>
      </c>
      <c r="V118" s="191" t="s">
        <v>320</v>
      </c>
      <c r="W118" s="167"/>
      <c r="X118" s="168">
        <f t="shared" si="3"/>
        <v>0</v>
      </c>
      <c r="Y118" s="168">
        <f t="shared" si="4"/>
        <v>0.14</v>
      </c>
      <c r="Z118" s="193">
        <f t="shared" si="102"/>
        <v>3501</v>
      </c>
    </row>
    <row r="119" ht="15.0" customHeight="1">
      <c r="A119" s="181">
        <v>112.0</v>
      </c>
      <c r="B119" s="182" t="s">
        <v>118</v>
      </c>
      <c r="C119" s="183" t="s">
        <v>119</v>
      </c>
      <c r="D119" s="183" t="s">
        <v>307</v>
      </c>
      <c r="E119" s="183" t="s">
        <v>201</v>
      </c>
      <c r="F119" s="183"/>
      <c r="G119" s="183" t="s">
        <v>135</v>
      </c>
      <c r="H119" s="183" t="s">
        <v>172</v>
      </c>
      <c r="I119" s="184" t="s">
        <v>105</v>
      </c>
      <c r="J119" s="183" t="s">
        <v>106</v>
      </c>
      <c r="K119" s="185">
        <v>0.0</v>
      </c>
      <c r="L119" s="186">
        <v>0.0</v>
      </c>
      <c r="M119" s="185">
        <v>0.0</v>
      </c>
      <c r="N119" s="186">
        <v>0.0</v>
      </c>
      <c r="O119" s="185">
        <v>130.6</v>
      </c>
      <c r="P119" s="186">
        <v>177472.0</v>
      </c>
      <c r="Q119" s="187">
        <f t="shared" ref="Q119:R119" si="121">M119-O119</f>
        <v>-130.6</v>
      </c>
      <c r="R119" s="188">
        <f t="shared" si="121"/>
        <v>-177472</v>
      </c>
      <c r="S119" s="189">
        <v>1358.9</v>
      </c>
      <c r="T119" s="190">
        <v>0.0</v>
      </c>
      <c r="U119" s="191" t="s">
        <v>107</v>
      </c>
      <c r="V119" s="191" t="s">
        <v>321</v>
      </c>
      <c r="W119" s="167"/>
      <c r="X119" s="168">
        <f t="shared" si="3"/>
        <v>0</v>
      </c>
      <c r="Y119" s="168">
        <f t="shared" si="4"/>
        <v>0.14</v>
      </c>
      <c r="Z119" s="193">
        <f t="shared" si="102"/>
        <v>177472</v>
      </c>
    </row>
    <row r="120" ht="15.0" customHeight="1">
      <c r="A120" s="181">
        <v>113.0</v>
      </c>
      <c r="B120" s="182" t="s">
        <v>118</v>
      </c>
      <c r="C120" s="183" t="s">
        <v>119</v>
      </c>
      <c r="D120" s="183" t="s">
        <v>307</v>
      </c>
      <c r="E120" s="183" t="s">
        <v>218</v>
      </c>
      <c r="F120" s="183"/>
      <c r="G120" s="183" t="s">
        <v>131</v>
      </c>
      <c r="H120" s="183" t="s">
        <v>167</v>
      </c>
      <c r="I120" s="184" t="s">
        <v>105</v>
      </c>
      <c r="J120" s="183" t="s">
        <v>106</v>
      </c>
      <c r="K120" s="185">
        <v>0.0</v>
      </c>
      <c r="L120" s="186">
        <v>0.0</v>
      </c>
      <c r="M120" s="185">
        <v>0.0</v>
      </c>
      <c r="N120" s="186">
        <v>0.0</v>
      </c>
      <c r="O120" s="185">
        <v>62.04</v>
      </c>
      <c r="P120" s="186">
        <v>83977.0</v>
      </c>
      <c r="Q120" s="187">
        <f t="shared" ref="Q120:R120" si="122">M120-O120</f>
        <v>-62.04</v>
      </c>
      <c r="R120" s="188">
        <f t="shared" si="122"/>
        <v>-83977</v>
      </c>
      <c r="S120" s="189">
        <v>1353.6</v>
      </c>
      <c r="T120" s="190">
        <v>0.44</v>
      </c>
      <c r="U120" s="191" t="s">
        <v>107</v>
      </c>
      <c r="V120" s="191" t="s">
        <v>322</v>
      </c>
      <c r="W120" s="167"/>
      <c r="X120" s="168">
        <f t="shared" si="3"/>
        <v>0</v>
      </c>
      <c r="Y120" s="168">
        <f t="shared" si="4"/>
        <v>0.14</v>
      </c>
      <c r="Z120" s="193">
        <f t="shared" si="102"/>
        <v>83977</v>
      </c>
    </row>
    <row r="121" ht="15.0" customHeight="1">
      <c r="A121" s="181">
        <v>114.0</v>
      </c>
      <c r="B121" s="182" t="s">
        <v>118</v>
      </c>
      <c r="C121" s="183" t="s">
        <v>119</v>
      </c>
      <c r="D121" s="183" t="s">
        <v>307</v>
      </c>
      <c r="E121" s="183" t="s">
        <v>198</v>
      </c>
      <c r="F121" s="183"/>
      <c r="G121" s="183" t="s">
        <v>127</v>
      </c>
      <c r="H121" s="183" t="s">
        <v>186</v>
      </c>
      <c r="I121" s="184" t="s">
        <v>105</v>
      </c>
      <c r="J121" s="183" t="s">
        <v>106</v>
      </c>
      <c r="K121" s="185">
        <v>0.0</v>
      </c>
      <c r="L121" s="186">
        <v>0.0</v>
      </c>
      <c r="M121" s="185">
        <v>0.0</v>
      </c>
      <c r="N121" s="186">
        <v>0.0</v>
      </c>
      <c r="O121" s="185">
        <v>6.16</v>
      </c>
      <c r="P121" s="186">
        <v>8481.0</v>
      </c>
      <c r="Q121" s="187">
        <f t="shared" ref="Q121:R121" si="123">M121-O121</f>
        <v>-6.16</v>
      </c>
      <c r="R121" s="188">
        <f t="shared" si="123"/>
        <v>-8481</v>
      </c>
      <c r="S121" s="189">
        <v>1376.9</v>
      </c>
      <c r="T121" s="190">
        <v>7.1</v>
      </c>
      <c r="U121" s="191" t="s">
        <v>107</v>
      </c>
      <c r="V121" s="191" t="s">
        <v>323</v>
      </c>
      <c r="W121" s="167"/>
      <c r="X121" s="168">
        <f t="shared" si="3"/>
        <v>0</v>
      </c>
      <c r="Y121" s="168">
        <f t="shared" si="4"/>
        <v>0.14</v>
      </c>
      <c r="Z121" s="193">
        <f t="shared" si="102"/>
        <v>8481</v>
      </c>
    </row>
    <row r="122" ht="15.0" customHeight="1">
      <c r="A122" s="181">
        <v>115.0</v>
      </c>
      <c r="B122" s="182" t="s">
        <v>118</v>
      </c>
      <c r="C122" s="183" t="s">
        <v>119</v>
      </c>
      <c r="D122" s="183" t="s">
        <v>307</v>
      </c>
      <c r="E122" s="183" t="s">
        <v>189</v>
      </c>
      <c r="F122" s="183"/>
      <c r="G122" s="183" t="s">
        <v>135</v>
      </c>
      <c r="H122" s="183" t="s">
        <v>172</v>
      </c>
      <c r="I122" s="184" t="s">
        <v>105</v>
      </c>
      <c r="J122" s="183" t="s">
        <v>106</v>
      </c>
      <c r="K122" s="185">
        <v>0.0</v>
      </c>
      <c r="L122" s="186">
        <v>0.0</v>
      </c>
      <c r="M122" s="185">
        <v>0.0</v>
      </c>
      <c r="N122" s="186">
        <v>0.0</v>
      </c>
      <c r="O122" s="185">
        <v>210.76</v>
      </c>
      <c r="P122" s="186">
        <v>296244.0</v>
      </c>
      <c r="Q122" s="187">
        <f t="shared" ref="Q122:R122" si="124">M122-O122</f>
        <v>-210.76</v>
      </c>
      <c r="R122" s="188">
        <f t="shared" si="124"/>
        <v>-296244</v>
      </c>
      <c r="S122" s="189">
        <v>1405.6</v>
      </c>
      <c r="T122" s="190">
        <v>0.0</v>
      </c>
      <c r="U122" s="191" t="s">
        <v>107</v>
      </c>
      <c r="V122" s="191" t="s">
        <v>324</v>
      </c>
      <c r="W122" s="167"/>
      <c r="X122" s="168">
        <f t="shared" si="3"/>
        <v>0</v>
      </c>
      <c r="Y122" s="168">
        <f t="shared" si="4"/>
        <v>0.14</v>
      </c>
      <c r="Z122" s="193">
        <f t="shared" si="102"/>
        <v>296244</v>
      </c>
    </row>
    <row r="123" ht="15.0" customHeight="1">
      <c r="A123" s="181">
        <v>116.0</v>
      </c>
      <c r="B123" s="182" t="s">
        <v>118</v>
      </c>
      <c r="C123" s="183" t="s">
        <v>119</v>
      </c>
      <c r="D123" s="183" t="s">
        <v>307</v>
      </c>
      <c r="E123" s="183" t="s">
        <v>214</v>
      </c>
      <c r="F123" s="183"/>
      <c r="G123" s="183" t="s">
        <v>143</v>
      </c>
      <c r="H123" s="183" t="s">
        <v>160</v>
      </c>
      <c r="I123" s="184" t="s">
        <v>105</v>
      </c>
      <c r="J123" s="183" t="s">
        <v>106</v>
      </c>
      <c r="K123" s="185">
        <v>0.0</v>
      </c>
      <c r="L123" s="186">
        <v>0.0</v>
      </c>
      <c r="M123" s="185">
        <v>0.0</v>
      </c>
      <c r="N123" s="186">
        <v>0.0</v>
      </c>
      <c r="O123" s="185">
        <v>2.14</v>
      </c>
      <c r="P123" s="186">
        <v>2921.0</v>
      </c>
      <c r="Q123" s="187">
        <f t="shared" ref="Q123:R123" si="125">M123-O123</f>
        <v>-2.14</v>
      </c>
      <c r="R123" s="188">
        <f t="shared" si="125"/>
        <v>-2921</v>
      </c>
      <c r="S123" s="189">
        <v>1365.0</v>
      </c>
      <c r="T123" s="190">
        <v>5.52</v>
      </c>
      <c r="U123" s="191" t="s">
        <v>107</v>
      </c>
      <c r="V123" s="191" t="s">
        <v>325</v>
      </c>
      <c r="W123" s="167"/>
      <c r="X123" s="168">
        <f t="shared" si="3"/>
        <v>0</v>
      </c>
      <c r="Y123" s="168">
        <f t="shared" si="4"/>
        <v>0.14</v>
      </c>
      <c r="Z123" s="193">
        <f t="shared" si="102"/>
        <v>2921</v>
      </c>
    </row>
    <row r="124" ht="15.0" customHeight="1">
      <c r="A124" s="181">
        <v>117.0</v>
      </c>
      <c r="B124" s="182" t="s">
        <v>118</v>
      </c>
      <c r="C124" s="183" t="s">
        <v>119</v>
      </c>
      <c r="D124" s="183" t="s">
        <v>307</v>
      </c>
      <c r="E124" s="183" t="s">
        <v>201</v>
      </c>
      <c r="F124" s="183"/>
      <c r="G124" s="183" t="s">
        <v>116</v>
      </c>
      <c r="H124" s="183" t="s">
        <v>117</v>
      </c>
      <c r="I124" s="184" t="s">
        <v>105</v>
      </c>
      <c r="J124" s="183" t="s">
        <v>106</v>
      </c>
      <c r="K124" s="185">
        <v>0.0</v>
      </c>
      <c r="L124" s="186">
        <v>0.0</v>
      </c>
      <c r="M124" s="185">
        <v>0.0</v>
      </c>
      <c r="N124" s="186">
        <v>0.0</v>
      </c>
      <c r="O124" s="185">
        <v>3.55</v>
      </c>
      <c r="P124" s="186">
        <v>4824.0</v>
      </c>
      <c r="Q124" s="187">
        <f t="shared" ref="Q124:R124" si="126">M124-O124</f>
        <v>-3.55</v>
      </c>
      <c r="R124" s="188">
        <f t="shared" si="126"/>
        <v>-4824</v>
      </c>
      <c r="S124" s="189">
        <v>1358.9</v>
      </c>
      <c r="T124" s="190">
        <v>14.47</v>
      </c>
      <c r="U124" s="191" t="s">
        <v>107</v>
      </c>
      <c r="V124" s="191" t="s">
        <v>326</v>
      </c>
      <c r="W124" s="167"/>
      <c r="X124" s="168">
        <f t="shared" si="3"/>
        <v>0</v>
      </c>
      <c r="Y124" s="168">
        <f t="shared" si="4"/>
        <v>0.14</v>
      </c>
      <c r="Z124" s="193">
        <f t="shared" si="102"/>
        <v>4824</v>
      </c>
    </row>
    <row r="125" ht="15.0" customHeight="1">
      <c r="A125" s="181">
        <v>118.0</v>
      </c>
      <c r="B125" s="182" t="s">
        <v>118</v>
      </c>
      <c r="C125" s="183" t="s">
        <v>119</v>
      </c>
      <c r="D125" s="183" t="s">
        <v>307</v>
      </c>
      <c r="E125" s="183" t="s">
        <v>187</v>
      </c>
      <c r="F125" s="183"/>
      <c r="G125" s="183" t="s">
        <v>116</v>
      </c>
      <c r="H125" s="183" t="s">
        <v>117</v>
      </c>
      <c r="I125" s="184" t="s">
        <v>105</v>
      </c>
      <c r="J125" s="183" t="s">
        <v>106</v>
      </c>
      <c r="K125" s="185">
        <v>0.0</v>
      </c>
      <c r="L125" s="186">
        <v>0.0</v>
      </c>
      <c r="M125" s="185">
        <v>0.0</v>
      </c>
      <c r="N125" s="186">
        <v>0.0</v>
      </c>
      <c r="O125" s="185">
        <v>3.29</v>
      </c>
      <c r="P125" s="186">
        <v>4693.0</v>
      </c>
      <c r="Q125" s="187">
        <f t="shared" ref="Q125:R125" si="127">M125-O125</f>
        <v>-3.29</v>
      </c>
      <c r="R125" s="188">
        <f t="shared" si="127"/>
        <v>-4693</v>
      </c>
      <c r="S125" s="189">
        <v>1426.6</v>
      </c>
      <c r="T125" s="190">
        <v>14.1</v>
      </c>
      <c r="U125" s="191" t="s">
        <v>107</v>
      </c>
      <c r="V125" s="191" t="s">
        <v>327</v>
      </c>
      <c r="W125" s="167"/>
      <c r="X125" s="168">
        <f t="shared" si="3"/>
        <v>0</v>
      </c>
      <c r="Y125" s="168">
        <f t="shared" si="4"/>
        <v>0.14</v>
      </c>
      <c r="Z125" s="193">
        <f t="shared" si="102"/>
        <v>4693</v>
      </c>
    </row>
    <row r="126" ht="15.0" customHeight="1">
      <c r="A126" s="181">
        <v>119.0</v>
      </c>
      <c r="B126" s="182" t="s">
        <v>118</v>
      </c>
      <c r="C126" s="183" t="s">
        <v>119</v>
      </c>
      <c r="D126" s="183" t="s">
        <v>307</v>
      </c>
      <c r="E126" s="183" t="s">
        <v>227</v>
      </c>
      <c r="F126" s="183"/>
      <c r="G126" s="183" t="s">
        <v>116</v>
      </c>
      <c r="H126" s="183" t="s">
        <v>117</v>
      </c>
      <c r="I126" s="184" t="s">
        <v>105</v>
      </c>
      <c r="J126" s="183" t="s">
        <v>106</v>
      </c>
      <c r="K126" s="185">
        <v>0.0</v>
      </c>
      <c r="L126" s="186">
        <v>0.0</v>
      </c>
      <c r="M126" s="185">
        <v>0.0</v>
      </c>
      <c r="N126" s="186">
        <v>0.0</v>
      </c>
      <c r="O126" s="185">
        <v>3.28</v>
      </c>
      <c r="P126" s="186">
        <v>4487.0</v>
      </c>
      <c r="Q126" s="187">
        <f t="shared" ref="Q126:R126" si="128">M126-O126</f>
        <v>-3.28</v>
      </c>
      <c r="R126" s="188">
        <f t="shared" si="128"/>
        <v>-4487</v>
      </c>
      <c r="S126" s="189">
        <v>1368.0</v>
      </c>
      <c r="T126" s="190">
        <v>14.37</v>
      </c>
      <c r="U126" s="191" t="s">
        <v>107</v>
      </c>
      <c r="V126" s="191" t="s">
        <v>328</v>
      </c>
      <c r="W126" s="167"/>
      <c r="X126" s="168">
        <f t="shared" si="3"/>
        <v>0</v>
      </c>
      <c r="Y126" s="168">
        <f t="shared" si="4"/>
        <v>0.14</v>
      </c>
      <c r="Z126" s="193">
        <f t="shared" si="102"/>
        <v>4487</v>
      </c>
    </row>
    <row r="127" ht="15.0" customHeight="1">
      <c r="A127" s="181">
        <v>120.0</v>
      </c>
      <c r="B127" s="182" t="s">
        <v>118</v>
      </c>
      <c r="C127" s="183" t="s">
        <v>119</v>
      </c>
      <c r="D127" s="183" t="s">
        <v>307</v>
      </c>
      <c r="E127" s="183" t="s">
        <v>213</v>
      </c>
      <c r="F127" s="183"/>
      <c r="G127" s="183" t="s">
        <v>127</v>
      </c>
      <c r="H127" s="183" t="s">
        <v>186</v>
      </c>
      <c r="I127" s="184" t="s">
        <v>105</v>
      </c>
      <c r="J127" s="183" t="s">
        <v>106</v>
      </c>
      <c r="K127" s="185">
        <v>0.0</v>
      </c>
      <c r="L127" s="186">
        <v>0.0</v>
      </c>
      <c r="M127" s="185">
        <v>0.0</v>
      </c>
      <c r="N127" s="186">
        <v>0.0</v>
      </c>
      <c r="O127" s="185">
        <v>2.54</v>
      </c>
      <c r="P127" s="186">
        <v>3478.0</v>
      </c>
      <c r="Q127" s="187">
        <f t="shared" ref="Q127:R127" si="129">M127-O127</f>
        <v>-2.54</v>
      </c>
      <c r="R127" s="188">
        <f t="shared" si="129"/>
        <v>-3478</v>
      </c>
      <c r="S127" s="189">
        <v>1369.4</v>
      </c>
      <c r="T127" s="190">
        <v>7.1</v>
      </c>
      <c r="U127" s="191" t="s">
        <v>107</v>
      </c>
      <c r="V127" s="191" t="s">
        <v>329</v>
      </c>
      <c r="W127" s="167"/>
      <c r="X127" s="168">
        <f t="shared" si="3"/>
        <v>0</v>
      </c>
      <c r="Y127" s="168">
        <f t="shared" si="4"/>
        <v>0.14</v>
      </c>
      <c r="Z127" s="193">
        <f t="shared" si="102"/>
        <v>3478</v>
      </c>
    </row>
    <row r="128" ht="15.0" customHeight="1">
      <c r="A128" s="181">
        <v>121.0</v>
      </c>
      <c r="B128" s="182" t="s">
        <v>118</v>
      </c>
      <c r="C128" s="183" t="s">
        <v>119</v>
      </c>
      <c r="D128" s="183" t="s">
        <v>307</v>
      </c>
      <c r="E128" s="183" t="s">
        <v>212</v>
      </c>
      <c r="F128" s="183"/>
      <c r="G128" s="183" t="s">
        <v>139</v>
      </c>
      <c r="H128" s="183" t="s">
        <v>180</v>
      </c>
      <c r="I128" s="184" t="s">
        <v>105</v>
      </c>
      <c r="J128" s="183" t="s">
        <v>106</v>
      </c>
      <c r="K128" s="185">
        <v>0.0</v>
      </c>
      <c r="L128" s="186">
        <v>0.0</v>
      </c>
      <c r="M128" s="185">
        <v>0.0</v>
      </c>
      <c r="N128" s="186">
        <v>0.0</v>
      </c>
      <c r="O128" s="185">
        <v>35.67</v>
      </c>
      <c r="P128" s="186">
        <v>48639.0</v>
      </c>
      <c r="Q128" s="187">
        <f t="shared" ref="Q128:R128" si="130">M128-O128</f>
        <v>-35.67</v>
      </c>
      <c r="R128" s="188">
        <f t="shared" si="130"/>
        <v>-48639</v>
      </c>
      <c r="S128" s="189">
        <v>1363.6</v>
      </c>
      <c r="T128" s="190">
        <v>4.05</v>
      </c>
      <c r="U128" s="191" t="s">
        <v>107</v>
      </c>
      <c r="V128" s="191" t="s">
        <v>330</v>
      </c>
      <c r="W128" s="167"/>
      <c r="X128" s="168">
        <f t="shared" si="3"/>
        <v>0</v>
      </c>
      <c r="Y128" s="168">
        <f t="shared" si="4"/>
        <v>0.14</v>
      </c>
      <c r="Z128" s="193">
        <f t="shared" si="102"/>
        <v>48639</v>
      </c>
    </row>
    <row r="129" ht="15.0" customHeight="1">
      <c r="A129" s="181">
        <v>122.0</v>
      </c>
      <c r="B129" s="182" t="s">
        <v>118</v>
      </c>
      <c r="C129" s="183" t="s">
        <v>119</v>
      </c>
      <c r="D129" s="183" t="s">
        <v>307</v>
      </c>
      <c r="E129" s="183" t="s">
        <v>187</v>
      </c>
      <c r="F129" s="183"/>
      <c r="G129" s="183" t="s">
        <v>131</v>
      </c>
      <c r="H129" s="183" t="s">
        <v>167</v>
      </c>
      <c r="I129" s="184" t="s">
        <v>105</v>
      </c>
      <c r="J129" s="183" t="s">
        <v>106</v>
      </c>
      <c r="K129" s="185">
        <v>0.0</v>
      </c>
      <c r="L129" s="186">
        <v>0.0</v>
      </c>
      <c r="M129" s="185">
        <v>0.0</v>
      </c>
      <c r="N129" s="186">
        <v>0.0</v>
      </c>
      <c r="O129" s="185">
        <v>75.44</v>
      </c>
      <c r="P129" s="186">
        <v>107622.0</v>
      </c>
      <c r="Q129" s="187">
        <f t="shared" ref="Q129:R129" si="131">M129-O129</f>
        <v>-75.44</v>
      </c>
      <c r="R129" s="188">
        <f t="shared" si="131"/>
        <v>-107622</v>
      </c>
      <c r="S129" s="189">
        <v>1426.6</v>
      </c>
      <c r="T129" s="190">
        <v>0.44</v>
      </c>
      <c r="U129" s="191" t="s">
        <v>107</v>
      </c>
      <c r="V129" s="191" t="s">
        <v>331</v>
      </c>
      <c r="W129" s="167"/>
      <c r="X129" s="168">
        <f t="shared" si="3"/>
        <v>0</v>
      </c>
      <c r="Y129" s="168">
        <f t="shared" si="4"/>
        <v>0.14</v>
      </c>
      <c r="Z129" s="193">
        <f t="shared" si="102"/>
        <v>107622</v>
      </c>
    </row>
    <row r="130" ht="15.0" customHeight="1">
      <c r="A130" s="181">
        <v>123.0</v>
      </c>
      <c r="B130" s="182" t="s">
        <v>118</v>
      </c>
      <c r="C130" s="183" t="s">
        <v>119</v>
      </c>
      <c r="D130" s="183" t="s">
        <v>307</v>
      </c>
      <c r="E130" s="183" t="s">
        <v>195</v>
      </c>
      <c r="F130" s="183"/>
      <c r="G130" s="183" t="s">
        <v>139</v>
      </c>
      <c r="H130" s="183" t="s">
        <v>180</v>
      </c>
      <c r="I130" s="184" t="s">
        <v>105</v>
      </c>
      <c r="J130" s="183" t="s">
        <v>106</v>
      </c>
      <c r="K130" s="185">
        <v>0.0</v>
      </c>
      <c r="L130" s="186">
        <v>0.0</v>
      </c>
      <c r="M130" s="185">
        <v>0.0</v>
      </c>
      <c r="N130" s="186">
        <v>0.0</v>
      </c>
      <c r="O130" s="185">
        <v>67.3</v>
      </c>
      <c r="P130" s="186">
        <v>94085.0</v>
      </c>
      <c r="Q130" s="187">
        <f t="shared" ref="Q130:R130" si="132">M130-O130</f>
        <v>-67.3</v>
      </c>
      <c r="R130" s="188">
        <f t="shared" si="132"/>
        <v>-94085</v>
      </c>
      <c r="S130" s="189">
        <v>1398.0</v>
      </c>
      <c r="T130" s="190">
        <v>4.05</v>
      </c>
      <c r="U130" s="191" t="s">
        <v>107</v>
      </c>
      <c r="V130" s="191" t="s">
        <v>332</v>
      </c>
      <c r="W130" s="167"/>
      <c r="X130" s="168">
        <f t="shared" si="3"/>
        <v>0</v>
      </c>
      <c r="Y130" s="168">
        <f t="shared" si="4"/>
        <v>0.14</v>
      </c>
      <c r="Z130" s="193">
        <f t="shared" si="102"/>
        <v>94085</v>
      </c>
    </row>
    <row r="131" ht="15.0" customHeight="1">
      <c r="A131" s="181">
        <v>124.0</v>
      </c>
      <c r="B131" s="182" t="s">
        <v>118</v>
      </c>
      <c r="C131" s="183" t="s">
        <v>119</v>
      </c>
      <c r="D131" s="183" t="s">
        <v>307</v>
      </c>
      <c r="E131" s="183" t="s">
        <v>199</v>
      </c>
      <c r="F131" s="183"/>
      <c r="G131" s="183" t="s">
        <v>131</v>
      </c>
      <c r="H131" s="183" t="s">
        <v>167</v>
      </c>
      <c r="I131" s="184" t="s">
        <v>105</v>
      </c>
      <c r="J131" s="183" t="s">
        <v>106</v>
      </c>
      <c r="K131" s="185">
        <v>0.0</v>
      </c>
      <c r="L131" s="186">
        <v>0.0</v>
      </c>
      <c r="M131" s="185">
        <v>0.0</v>
      </c>
      <c r="N131" s="186">
        <v>0.0</v>
      </c>
      <c r="O131" s="185">
        <v>85.18</v>
      </c>
      <c r="P131" s="186">
        <v>117284.0</v>
      </c>
      <c r="Q131" s="187">
        <f t="shared" ref="Q131:R131" si="133">M131-O131</f>
        <v>-85.18</v>
      </c>
      <c r="R131" s="188">
        <f t="shared" si="133"/>
        <v>-117284</v>
      </c>
      <c r="S131" s="189">
        <v>1376.9</v>
      </c>
      <c r="T131" s="190">
        <v>0.44</v>
      </c>
      <c r="U131" s="191" t="s">
        <v>107</v>
      </c>
      <c r="V131" s="191" t="s">
        <v>333</v>
      </c>
      <c r="W131" s="167"/>
      <c r="X131" s="168">
        <f t="shared" si="3"/>
        <v>0</v>
      </c>
      <c r="Y131" s="168">
        <f t="shared" si="4"/>
        <v>0.14</v>
      </c>
      <c r="Z131" s="193">
        <f t="shared" si="102"/>
        <v>117284</v>
      </c>
    </row>
    <row r="132" ht="15.0" customHeight="1">
      <c r="A132" s="181">
        <v>125.0</v>
      </c>
      <c r="B132" s="182" t="s">
        <v>118</v>
      </c>
      <c r="C132" s="183" t="s">
        <v>119</v>
      </c>
      <c r="D132" s="183" t="s">
        <v>334</v>
      </c>
      <c r="E132" s="183" t="s">
        <v>226</v>
      </c>
      <c r="F132" s="183"/>
      <c r="G132" s="183" t="s">
        <v>135</v>
      </c>
      <c r="H132" s="183" t="s">
        <v>172</v>
      </c>
      <c r="I132" s="184" t="s">
        <v>105</v>
      </c>
      <c r="J132" s="183" t="s">
        <v>106</v>
      </c>
      <c r="K132" s="185">
        <v>0.0</v>
      </c>
      <c r="L132" s="186">
        <v>0.0</v>
      </c>
      <c r="M132" s="185">
        <v>0.0</v>
      </c>
      <c r="N132" s="186">
        <v>0.0</v>
      </c>
      <c r="O132" s="185">
        <v>109.95</v>
      </c>
      <c r="P132" s="186">
        <v>150257.0</v>
      </c>
      <c r="Q132" s="187">
        <f t="shared" ref="Q132:R132" si="134">M132-O132</f>
        <v>-109.95</v>
      </c>
      <c r="R132" s="188">
        <f t="shared" si="134"/>
        <v>-150257</v>
      </c>
      <c r="S132" s="189">
        <v>1366.6</v>
      </c>
      <c r="T132" s="190">
        <v>0.0</v>
      </c>
      <c r="U132" s="191" t="s">
        <v>107</v>
      </c>
      <c r="V132" s="191" t="s">
        <v>335</v>
      </c>
      <c r="W132" s="167"/>
      <c r="X132" s="168">
        <f t="shared" si="3"/>
        <v>0</v>
      </c>
      <c r="Y132" s="168">
        <f t="shared" si="4"/>
        <v>0.14</v>
      </c>
      <c r="Z132" s="193">
        <f t="shared" si="102"/>
        <v>150257</v>
      </c>
    </row>
    <row r="133" ht="15.0" customHeight="1">
      <c r="A133" s="181">
        <v>126.0</v>
      </c>
      <c r="B133" s="182" t="s">
        <v>118</v>
      </c>
      <c r="C133" s="183" t="s">
        <v>119</v>
      </c>
      <c r="D133" s="183" t="s">
        <v>334</v>
      </c>
      <c r="E133" s="183" t="s">
        <v>101</v>
      </c>
      <c r="F133" s="183"/>
      <c r="G133" s="183" t="s">
        <v>131</v>
      </c>
      <c r="H133" s="183" t="s">
        <v>167</v>
      </c>
      <c r="I133" s="184" t="s">
        <v>105</v>
      </c>
      <c r="J133" s="183" t="s">
        <v>106</v>
      </c>
      <c r="K133" s="185">
        <v>0.0</v>
      </c>
      <c r="L133" s="186">
        <v>0.0</v>
      </c>
      <c r="M133" s="185">
        <v>0.0</v>
      </c>
      <c r="N133" s="186">
        <v>0.0</v>
      </c>
      <c r="O133" s="185">
        <v>115.75</v>
      </c>
      <c r="P133" s="186">
        <v>159688.0</v>
      </c>
      <c r="Q133" s="187">
        <f t="shared" ref="Q133:R133" si="135">M133-O133</f>
        <v>-115.75</v>
      </c>
      <c r="R133" s="188">
        <f t="shared" si="135"/>
        <v>-159688</v>
      </c>
      <c r="S133" s="189">
        <v>1379.6</v>
      </c>
      <c r="T133" s="190">
        <v>0.44</v>
      </c>
      <c r="U133" s="191" t="s">
        <v>107</v>
      </c>
      <c r="V133" s="191" t="s">
        <v>336</v>
      </c>
      <c r="W133" s="167"/>
      <c r="X133" s="168">
        <f t="shared" si="3"/>
        <v>0</v>
      </c>
      <c r="Y133" s="168">
        <f t="shared" si="4"/>
        <v>0.14</v>
      </c>
      <c r="Z133" s="193">
        <f t="shared" si="102"/>
        <v>159688</v>
      </c>
    </row>
    <row r="134" ht="15.0" customHeight="1">
      <c r="A134" s="181">
        <v>127.0</v>
      </c>
      <c r="B134" s="182" t="s">
        <v>118</v>
      </c>
      <c r="C134" s="183" t="s">
        <v>119</v>
      </c>
      <c r="D134" s="183" t="s">
        <v>334</v>
      </c>
      <c r="E134" s="183" t="s">
        <v>223</v>
      </c>
      <c r="F134" s="183"/>
      <c r="G134" s="183" t="s">
        <v>224</v>
      </c>
      <c r="H134" s="183" t="s">
        <v>225</v>
      </c>
      <c r="I134" s="184" t="s">
        <v>105</v>
      </c>
      <c r="J134" s="183" t="s">
        <v>106</v>
      </c>
      <c r="K134" s="185">
        <v>0.0</v>
      </c>
      <c r="L134" s="186">
        <v>0.0</v>
      </c>
      <c r="M134" s="185">
        <v>0.0</v>
      </c>
      <c r="N134" s="186">
        <v>0.0</v>
      </c>
      <c r="O134" s="185">
        <v>9.91</v>
      </c>
      <c r="P134" s="186">
        <v>13519.0</v>
      </c>
      <c r="Q134" s="187">
        <f t="shared" ref="Q134:R134" si="136">M134-O134</f>
        <v>-9.91</v>
      </c>
      <c r="R134" s="188">
        <f t="shared" si="136"/>
        <v>-13519</v>
      </c>
      <c r="S134" s="189">
        <v>1364.2</v>
      </c>
      <c r="T134" s="190">
        <v>4.74</v>
      </c>
      <c r="U134" s="191" t="s">
        <v>107</v>
      </c>
      <c r="V134" s="191" t="s">
        <v>337</v>
      </c>
      <c r="W134" s="167"/>
      <c r="X134" s="168">
        <f t="shared" si="3"/>
        <v>0</v>
      </c>
      <c r="Y134" s="168">
        <f t="shared" si="4"/>
        <v>0.14</v>
      </c>
      <c r="Z134" s="193">
        <f t="shared" si="102"/>
        <v>13519</v>
      </c>
    </row>
    <row r="135" ht="15.0" customHeight="1">
      <c r="A135" s="181">
        <v>128.0</v>
      </c>
      <c r="B135" s="182" t="s">
        <v>118</v>
      </c>
      <c r="C135" s="183" t="s">
        <v>119</v>
      </c>
      <c r="D135" s="183" t="s">
        <v>334</v>
      </c>
      <c r="E135" s="183" t="s">
        <v>253</v>
      </c>
      <c r="F135" s="183"/>
      <c r="G135" s="183" t="s">
        <v>103</v>
      </c>
      <c r="H135" s="183" t="s">
        <v>239</v>
      </c>
      <c r="I135" s="184" t="s">
        <v>105</v>
      </c>
      <c r="J135" s="183" t="s">
        <v>106</v>
      </c>
      <c r="K135" s="185">
        <v>0.0</v>
      </c>
      <c r="L135" s="186">
        <v>0.0</v>
      </c>
      <c r="M135" s="185">
        <v>0.0</v>
      </c>
      <c r="N135" s="186">
        <v>0.0</v>
      </c>
      <c r="O135" s="185">
        <v>9.44</v>
      </c>
      <c r="P135" s="186">
        <v>13109.0</v>
      </c>
      <c r="Q135" s="187">
        <f t="shared" ref="Q135:R135" si="137">M135-O135</f>
        <v>-9.44</v>
      </c>
      <c r="R135" s="188">
        <f t="shared" si="137"/>
        <v>-13109</v>
      </c>
      <c r="S135" s="189">
        <v>1388.7</v>
      </c>
      <c r="T135" s="190">
        <v>4.82</v>
      </c>
      <c r="U135" s="191" t="s">
        <v>107</v>
      </c>
      <c r="V135" s="191" t="s">
        <v>338</v>
      </c>
      <c r="W135" s="167"/>
      <c r="X135" s="168">
        <f t="shared" si="3"/>
        <v>0</v>
      </c>
      <c r="Y135" s="168">
        <f t="shared" si="4"/>
        <v>0.14</v>
      </c>
      <c r="Z135" s="193">
        <f t="shared" si="102"/>
        <v>13109</v>
      </c>
    </row>
    <row r="136" ht="15.0" customHeight="1">
      <c r="A136" s="181">
        <v>129.0</v>
      </c>
      <c r="B136" s="182" t="s">
        <v>118</v>
      </c>
      <c r="C136" s="183" t="s">
        <v>119</v>
      </c>
      <c r="D136" s="183" t="s">
        <v>334</v>
      </c>
      <c r="E136" s="183" t="s">
        <v>240</v>
      </c>
      <c r="F136" s="183"/>
      <c r="G136" s="183" t="s">
        <v>103</v>
      </c>
      <c r="H136" s="183" t="s">
        <v>239</v>
      </c>
      <c r="I136" s="184" t="s">
        <v>105</v>
      </c>
      <c r="J136" s="183" t="s">
        <v>106</v>
      </c>
      <c r="K136" s="185">
        <v>0.0</v>
      </c>
      <c r="L136" s="186">
        <v>0.0</v>
      </c>
      <c r="M136" s="185">
        <v>0.0</v>
      </c>
      <c r="N136" s="186">
        <v>0.0</v>
      </c>
      <c r="O136" s="185">
        <v>24.08</v>
      </c>
      <c r="P136" s="186">
        <v>33134.0</v>
      </c>
      <c r="Q136" s="187">
        <f t="shared" ref="Q136:R136" si="138">M136-O136</f>
        <v>-24.08</v>
      </c>
      <c r="R136" s="188">
        <f t="shared" si="138"/>
        <v>-33134</v>
      </c>
      <c r="S136" s="189">
        <v>1376.0</v>
      </c>
      <c r="T136" s="190">
        <v>4.82</v>
      </c>
      <c r="U136" s="191" t="s">
        <v>107</v>
      </c>
      <c r="V136" s="191" t="s">
        <v>339</v>
      </c>
      <c r="W136" s="167"/>
      <c r="X136" s="168">
        <f t="shared" si="3"/>
        <v>0</v>
      </c>
      <c r="Y136" s="168">
        <f t="shared" si="4"/>
        <v>0.14</v>
      </c>
      <c r="Z136" s="193">
        <f t="shared" si="102"/>
        <v>33134</v>
      </c>
    </row>
    <row r="137" ht="15.0" customHeight="1">
      <c r="A137" s="181">
        <v>130.0</v>
      </c>
      <c r="B137" s="182" t="s">
        <v>118</v>
      </c>
      <c r="C137" s="183" t="s">
        <v>119</v>
      </c>
      <c r="D137" s="183" t="s">
        <v>334</v>
      </c>
      <c r="E137" s="183" t="s">
        <v>245</v>
      </c>
      <c r="F137" s="183"/>
      <c r="G137" s="183" t="s">
        <v>103</v>
      </c>
      <c r="H137" s="183" t="s">
        <v>239</v>
      </c>
      <c r="I137" s="184" t="s">
        <v>105</v>
      </c>
      <c r="J137" s="183" t="s">
        <v>106</v>
      </c>
      <c r="K137" s="185">
        <v>0.0</v>
      </c>
      <c r="L137" s="186">
        <v>0.0</v>
      </c>
      <c r="M137" s="185">
        <v>0.0</v>
      </c>
      <c r="N137" s="186">
        <v>0.0</v>
      </c>
      <c r="O137" s="185">
        <v>10.18</v>
      </c>
      <c r="P137" s="186">
        <v>14112.0</v>
      </c>
      <c r="Q137" s="187">
        <f t="shared" ref="Q137:R137" si="139">M137-O137</f>
        <v>-10.18</v>
      </c>
      <c r="R137" s="188">
        <f t="shared" si="139"/>
        <v>-14112</v>
      </c>
      <c r="S137" s="189">
        <v>1386.3</v>
      </c>
      <c r="T137" s="190">
        <v>4.82</v>
      </c>
      <c r="U137" s="191" t="s">
        <v>107</v>
      </c>
      <c r="V137" s="191" t="s">
        <v>340</v>
      </c>
      <c r="W137" s="167"/>
      <c r="X137" s="168">
        <f t="shared" si="3"/>
        <v>0</v>
      </c>
      <c r="Y137" s="168">
        <f t="shared" si="4"/>
        <v>0.14</v>
      </c>
      <c r="Z137" s="193">
        <f t="shared" si="102"/>
        <v>14112</v>
      </c>
    </row>
    <row r="138" ht="15.0" customHeight="1">
      <c r="A138" s="181">
        <v>131.0</v>
      </c>
      <c r="B138" s="182" t="s">
        <v>118</v>
      </c>
      <c r="C138" s="183" t="s">
        <v>119</v>
      </c>
      <c r="D138" s="183" t="s">
        <v>334</v>
      </c>
      <c r="E138" s="183" t="s">
        <v>232</v>
      </c>
      <c r="F138" s="183"/>
      <c r="G138" s="183" t="s">
        <v>139</v>
      </c>
      <c r="H138" s="183" t="s">
        <v>180</v>
      </c>
      <c r="I138" s="184" t="s">
        <v>105</v>
      </c>
      <c r="J138" s="183" t="s">
        <v>106</v>
      </c>
      <c r="K138" s="185">
        <v>0.0</v>
      </c>
      <c r="L138" s="186">
        <v>0.0</v>
      </c>
      <c r="M138" s="185">
        <v>0.0</v>
      </c>
      <c r="N138" s="186">
        <v>0.0</v>
      </c>
      <c r="O138" s="185">
        <v>42.4</v>
      </c>
      <c r="P138" s="186">
        <v>58287.0</v>
      </c>
      <c r="Q138" s="187">
        <f t="shared" ref="Q138:R138" si="140">M138-O138</f>
        <v>-42.4</v>
      </c>
      <c r="R138" s="188">
        <f t="shared" si="140"/>
        <v>-58287</v>
      </c>
      <c r="S138" s="189">
        <v>1374.7</v>
      </c>
      <c r="T138" s="190">
        <v>4.05</v>
      </c>
      <c r="U138" s="191" t="s">
        <v>107</v>
      </c>
      <c r="V138" s="191" t="s">
        <v>341</v>
      </c>
      <c r="W138" s="167"/>
      <c r="X138" s="168">
        <f t="shared" si="3"/>
        <v>0</v>
      </c>
      <c r="Y138" s="168">
        <f t="shared" si="4"/>
        <v>0.14</v>
      </c>
      <c r="Z138" s="193">
        <f t="shared" si="102"/>
        <v>58287</v>
      </c>
    </row>
    <row r="139" ht="15.0" customHeight="1">
      <c r="A139" s="181">
        <v>132.0</v>
      </c>
      <c r="B139" s="182" t="s">
        <v>118</v>
      </c>
      <c r="C139" s="183" t="s">
        <v>119</v>
      </c>
      <c r="D139" s="183" t="s">
        <v>334</v>
      </c>
      <c r="E139" s="183" t="s">
        <v>108</v>
      </c>
      <c r="F139" s="183"/>
      <c r="G139" s="183" t="s">
        <v>135</v>
      </c>
      <c r="H139" s="183" t="s">
        <v>172</v>
      </c>
      <c r="I139" s="184" t="s">
        <v>105</v>
      </c>
      <c r="J139" s="183" t="s">
        <v>106</v>
      </c>
      <c r="K139" s="185">
        <v>0.0</v>
      </c>
      <c r="L139" s="186">
        <v>0.0</v>
      </c>
      <c r="M139" s="185">
        <v>0.0</v>
      </c>
      <c r="N139" s="186">
        <v>0.0</v>
      </c>
      <c r="O139" s="185">
        <v>177.53</v>
      </c>
      <c r="P139" s="186">
        <v>245861.0</v>
      </c>
      <c r="Q139" s="187">
        <f t="shared" ref="Q139:R139" si="141">M139-O139</f>
        <v>-177.53</v>
      </c>
      <c r="R139" s="188">
        <f t="shared" si="141"/>
        <v>-245861</v>
      </c>
      <c r="S139" s="189">
        <v>1384.9</v>
      </c>
      <c r="T139" s="190">
        <v>0.0</v>
      </c>
      <c r="U139" s="191" t="s">
        <v>107</v>
      </c>
      <c r="V139" s="191" t="s">
        <v>342</v>
      </c>
      <c r="W139" s="167"/>
      <c r="X139" s="168">
        <f t="shared" si="3"/>
        <v>0</v>
      </c>
      <c r="Y139" s="168">
        <f t="shared" si="4"/>
        <v>0.14</v>
      </c>
      <c r="Z139" s="193">
        <f t="shared" si="102"/>
        <v>245861</v>
      </c>
    </row>
    <row r="140" ht="15.0" customHeight="1">
      <c r="A140" s="181">
        <v>133.0</v>
      </c>
      <c r="B140" s="182" t="s">
        <v>118</v>
      </c>
      <c r="C140" s="183" t="s">
        <v>119</v>
      </c>
      <c r="D140" s="183" t="s">
        <v>334</v>
      </c>
      <c r="E140" s="183" t="s">
        <v>110</v>
      </c>
      <c r="F140" s="183"/>
      <c r="G140" s="183" t="s">
        <v>139</v>
      </c>
      <c r="H140" s="183" t="s">
        <v>180</v>
      </c>
      <c r="I140" s="184" t="s">
        <v>105</v>
      </c>
      <c r="J140" s="183" t="s">
        <v>106</v>
      </c>
      <c r="K140" s="185">
        <v>0.0</v>
      </c>
      <c r="L140" s="186">
        <v>0.0</v>
      </c>
      <c r="M140" s="185">
        <v>0.0</v>
      </c>
      <c r="N140" s="186">
        <v>0.0</v>
      </c>
      <c r="O140" s="185">
        <v>32.9</v>
      </c>
      <c r="P140" s="186">
        <v>45599.0</v>
      </c>
      <c r="Q140" s="187">
        <f t="shared" ref="Q140:R140" si="142">M140-O140</f>
        <v>-32.9</v>
      </c>
      <c r="R140" s="188">
        <f t="shared" si="142"/>
        <v>-45599</v>
      </c>
      <c r="S140" s="189">
        <v>1386.0</v>
      </c>
      <c r="T140" s="190">
        <v>4.05</v>
      </c>
      <c r="U140" s="191" t="s">
        <v>107</v>
      </c>
      <c r="V140" s="191" t="s">
        <v>343</v>
      </c>
      <c r="W140" s="167"/>
      <c r="X140" s="168">
        <f t="shared" si="3"/>
        <v>0</v>
      </c>
      <c r="Y140" s="168">
        <f t="shared" si="4"/>
        <v>0.14</v>
      </c>
      <c r="Z140" s="193">
        <f t="shared" si="102"/>
        <v>45599</v>
      </c>
    </row>
    <row r="141" ht="15.0" customHeight="1">
      <c r="A141" s="181">
        <v>134.0</v>
      </c>
      <c r="B141" s="182" t="s">
        <v>118</v>
      </c>
      <c r="C141" s="183" t="s">
        <v>119</v>
      </c>
      <c r="D141" s="183" t="s">
        <v>334</v>
      </c>
      <c r="E141" s="183" t="s">
        <v>108</v>
      </c>
      <c r="F141" s="183"/>
      <c r="G141" s="183" t="s">
        <v>103</v>
      </c>
      <c r="H141" s="183" t="s">
        <v>239</v>
      </c>
      <c r="I141" s="184" t="s">
        <v>105</v>
      </c>
      <c r="J141" s="183" t="s">
        <v>106</v>
      </c>
      <c r="K141" s="185">
        <v>0.0</v>
      </c>
      <c r="L141" s="186">
        <v>0.0</v>
      </c>
      <c r="M141" s="185">
        <v>0.0</v>
      </c>
      <c r="N141" s="186">
        <v>0.0</v>
      </c>
      <c r="O141" s="185">
        <v>23.58</v>
      </c>
      <c r="P141" s="186">
        <v>32655.0</v>
      </c>
      <c r="Q141" s="187">
        <f t="shared" ref="Q141:R141" si="143">M141-O141</f>
        <v>-23.58</v>
      </c>
      <c r="R141" s="188">
        <f t="shared" si="143"/>
        <v>-32655</v>
      </c>
      <c r="S141" s="189">
        <v>1384.9</v>
      </c>
      <c r="T141" s="190">
        <v>4.82</v>
      </c>
      <c r="U141" s="191" t="s">
        <v>107</v>
      </c>
      <c r="V141" s="191" t="s">
        <v>344</v>
      </c>
      <c r="W141" s="167"/>
      <c r="X141" s="168">
        <f t="shared" si="3"/>
        <v>0</v>
      </c>
      <c r="Y141" s="168">
        <f t="shared" si="4"/>
        <v>0.14</v>
      </c>
      <c r="Z141" s="193">
        <f t="shared" si="102"/>
        <v>32655</v>
      </c>
    </row>
    <row r="142" ht="15.0" customHeight="1">
      <c r="A142" s="181">
        <v>135.0</v>
      </c>
      <c r="B142" s="182" t="s">
        <v>118</v>
      </c>
      <c r="C142" s="183" t="s">
        <v>119</v>
      </c>
      <c r="D142" s="183" t="s">
        <v>334</v>
      </c>
      <c r="E142" s="183" t="s">
        <v>110</v>
      </c>
      <c r="F142" s="183"/>
      <c r="G142" s="183" t="s">
        <v>103</v>
      </c>
      <c r="H142" s="183" t="s">
        <v>239</v>
      </c>
      <c r="I142" s="184" t="s">
        <v>105</v>
      </c>
      <c r="J142" s="183" t="s">
        <v>106</v>
      </c>
      <c r="K142" s="185">
        <v>0.0</v>
      </c>
      <c r="L142" s="186">
        <v>0.0</v>
      </c>
      <c r="M142" s="185">
        <v>0.0</v>
      </c>
      <c r="N142" s="186">
        <v>0.0</v>
      </c>
      <c r="O142" s="185">
        <v>23.47</v>
      </c>
      <c r="P142" s="186">
        <v>32529.0</v>
      </c>
      <c r="Q142" s="187">
        <f t="shared" ref="Q142:R142" si="144">M142-O142</f>
        <v>-23.47</v>
      </c>
      <c r="R142" s="188">
        <f t="shared" si="144"/>
        <v>-32529</v>
      </c>
      <c r="S142" s="189">
        <v>1386.0</v>
      </c>
      <c r="T142" s="190">
        <v>4.82</v>
      </c>
      <c r="U142" s="191" t="s">
        <v>107</v>
      </c>
      <c r="V142" s="191" t="s">
        <v>345</v>
      </c>
      <c r="W142" s="167"/>
      <c r="X142" s="168">
        <f t="shared" si="3"/>
        <v>0</v>
      </c>
      <c r="Y142" s="168">
        <f t="shared" si="4"/>
        <v>0.14</v>
      </c>
      <c r="Z142" s="193">
        <f t="shared" si="102"/>
        <v>32529</v>
      </c>
    </row>
    <row r="143" ht="15.0" customHeight="1">
      <c r="A143" s="181">
        <v>136.0</v>
      </c>
      <c r="B143" s="182" t="s">
        <v>118</v>
      </c>
      <c r="C143" s="183" t="s">
        <v>119</v>
      </c>
      <c r="D143" s="183" t="s">
        <v>334</v>
      </c>
      <c r="E143" s="183" t="s">
        <v>237</v>
      </c>
      <c r="F143" s="183"/>
      <c r="G143" s="183" t="s">
        <v>127</v>
      </c>
      <c r="H143" s="183" t="s">
        <v>186</v>
      </c>
      <c r="I143" s="184" t="s">
        <v>105</v>
      </c>
      <c r="J143" s="183" t="s">
        <v>106</v>
      </c>
      <c r="K143" s="185">
        <v>0.0</v>
      </c>
      <c r="L143" s="186">
        <v>0.0</v>
      </c>
      <c r="M143" s="185">
        <v>0.0</v>
      </c>
      <c r="N143" s="186">
        <v>0.0</v>
      </c>
      <c r="O143" s="185">
        <v>81.23</v>
      </c>
      <c r="P143" s="186">
        <v>113064.0</v>
      </c>
      <c r="Q143" s="187">
        <f t="shared" ref="Q143:R143" si="145">M143-O143</f>
        <v>-81.23</v>
      </c>
      <c r="R143" s="188">
        <f t="shared" si="145"/>
        <v>-113064</v>
      </c>
      <c r="S143" s="189">
        <v>1391.9</v>
      </c>
      <c r="T143" s="190">
        <v>7.1</v>
      </c>
      <c r="U143" s="191" t="s">
        <v>107</v>
      </c>
      <c r="V143" s="191" t="s">
        <v>346</v>
      </c>
      <c r="W143" s="167"/>
      <c r="X143" s="168">
        <f t="shared" si="3"/>
        <v>0</v>
      </c>
      <c r="Y143" s="168">
        <f t="shared" si="4"/>
        <v>0.14</v>
      </c>
      <c r="Z143" s="193">
        <f t="shared" si="102"/>
        <v>113064</v>
      </c>
    </row>
    <row r="144" ht="15.0" customHeight="1">
      <c r="A144" s="181">
        <v>137.0</v>
      </c>
      <c r="B144" s="182" t="s">
        <v>118</v>
      </c>
      <c r="C144" s="183" t="s">
        <v>119</v>
      </c>
      <c r="D144" s="183" t="s">
        <v>334</v>
      </c>
      <c r="E144" s="183" t="s">
        <v>247</v>
      </c>
      <c r="F144" s="183"/>
      <c r="G144" s="183" t="s">
        <v>103</v>
      </c>
      <c r="H144" s="183" t="s">
        <v>239</v>
      </c>
      <c r="I144" s="184" t="s">
        <v>105</v>
      </c>
      <c r="J144" s="183" t="s">
        <v>106</v>
      </c>
      <c r="K144" s="185">
        <v>0.0</v>
      </c>
      <c r="L144" s="186">
        <v>0.0</v>
      </c>
      <c r="M144" s="185">
        <v>0.0</v>
      </c>
      <c r="N144" s="186">
        <v>0.0</v>
      </c>
      <c r="O144" s="185">
        <v>9.66</v>
      </c>
      <c r="P144" s="186">
        <v>13405.0</v>
      </c>
      <c r="Q144" s="187">
        <f t="shared" ref="Q144:R144" si="146">M144-O144</f>
        <v>-9.66</v>
      </c>
      <c r="R144" s="188">
        <f t="shared" si="146"/>
        <v>-13405</v>
      </c>
      <c r="S144" s="189">
        <v>1387.7</v>
      </c>
      <c r="T144" s="190">
        <v>4.82</v>
      </c>
      <c r="U144" s="191" t="s">
        <v>107</v>
      </c>
      <c r="V144" s="191" t="s">
        <v>347</v>
      </c>
      <c r="W144" s="167"/>
      <c r="X144" s="168">
        <f t="shared" si="3"/>
        <v>0</v>
      </c>
      <c r="Y144" s="168">
        <f t="shared" si="4"/>
        <v>0.14</v>
      </c>
      <c r="Z144" s="193">
        <f t="shared" si="102"/>
        <v>13405</v>
      </c>
    </row>
    <row r="145" ht="15.0" customHeight="1">
      <c r="A145" s="181">
        <v>138.0</v>
      </c>
      <c r="B145" s="182" t="s">
        <v>118</v>
      </c>
      <c r="C145" s="183" t="s">
        <v>119</v>
      </c>
      <c r="D145" s="183" t="s">
        <v>334</v>
      </c>
      <c r="E145" s="183" t="s">
        <v>237</v>
      </c>
      <c r="F145" s="183"/>
      <c r="G145" s="183" t="s">
        <v>103</v>
      </c>
      <c r="H145" s="183" t="s">
        <v>239</v>
      </c>
      <c r="I145" s="184" t="s">
        <v>105</v>
      </c>
      <c r="J145" s="183" t="s">
        <v>106</v>
      </c>
      <c r="K145" s="185">
        <v>0.0</v>
      </c>
      <c r="L145" s="186">
        <v>0.0</v>
      </c>
      <c r="M145" s="185">
        <v>0.0</v>
      </c>
      <c r="N145" s="186">
        <v>0.0</v>
      </c>
      <c r="O145" s="185">
        <v>10.53</v>
      </c>
      <c r="P145" s="186">
        <v>14656.0</v>
      </c>
      <c r="Q145" s="187">
        <f t="shared" ref="Q145:R145" si="147">M145-O145</f>
        <v>-10.53</v>
      </c>
      <c r="R145" s="188">
        <f t="shared" si="147"/>
        <v>-14656</v>
      </c>
      <c r="S145" s="189">
        <v>1391.9</v>
      </c>
      <c r="T145" s="190">
        <v>4.82</v>
      </c>
      <c r="U145" s="191" t="s">
        <v>107</v>
      </c>
      <c r="V145" s="191" t="s">
        <v>348</v>
      </c>
      <c r="W145" s="167"/>
      <c r="X145" s="168">
        <f t="shared" si="3"/>
        <v>0</v>
      </c>
      <c r="Y145" s="168">
        <f t="shared" si="4"/>
        <v>0.14</v>
      </c>
      <c r="Z145" s="193">
        <f t="shared" si="102"/>
        <v>14656</v>
      </c>
    </row>
    <row r="146" ht="15.0" customHeight="1">
      <c r="A146" s="181">
        <v>139.0</v>
      </c>
      <c r="B146" s="182" t="s">
        <v>118</v>
      </c>
      <c r="C146" s="183" t="s">
        <v>119</v>
      </c>
      <c r="D146" s="183" t="s">
        <v>334</v>
      </c>
      <c r="E146" s="183" t="s">
        <v>255</v>
      </c>
      <c r="F146" s="183"/>
      <c r="G146" s="183" t="s">
        <v>103</v>
      </c>
      <c r="H146" s="183" t="s">
        <v>239</v>
      </c>
      <c r="I146" s="184" t="s">
        <v>105</v>
      </c>
      <c r="J146" s="183" t="s">
        <v>106</v>
      </c>
      <c r="K146" s="185">
        <v>0.0</v>
      </c>
      <c r="L146" s="186">
        <v>0.0</v>
      </c>
      <c r="M146" s="185">
        <v>0.0</v>
      </c>
      <c r="N146" s="186">
        <v>0.0</v>
      </c>
      <c r="O146" s="185">
        <v>9.42</v>
      </c>
      <c r="P146" s="186">
        <v>13131.0</v>
      </c>
      <c r="Q146" s="187">
        <f t="shared" ref="Q146:R146" si="148">M146-O146</f>
        <v>-9.42</v>
      </c>
      <c r="R146" s="188">
        <f t="shared" si="148"/>
        <v>-13131</v>
      </c>
      <c r="S146" s="189">
        <v>1394.0</v>
      </c>
      <c r="T146" s="190">
        <v>4.82</v>
      </c>
      <c r="U146" s="191" t="s">
        <v>107</v>
      </c>
      <c r="V146" s="191" t="s">
        <v>349</v>
      </c>
      <c r="W146" s="167"/>
      <c r="X146" s="168">
        <f t="shared" si="3"/>
        <v>0</v>
      </c>
      <c r="Y146" s="168">
        <f t="shared" si="4"/>
        <v>0.14</v>
      </c>
      <c r="Z146" s="193">
        <f t="shared" si="102"/>
        <v>13131</v>
      </c>
    </row>
    <row r="147" ht="15.0" customHeight="1">
      <c r="A147" s="181">
        <v>140.0</v>
      </c>
      <c r="B147" s="182" t="s">
        <v>118</v>
      </c>
      <c r="C147" s="183" t="s">
        <v>119</v>
      </c>
      <c r="D147" s="183" t="s">
        <v>334</v>
      </c>
      <c r="E147" s="183" t="s">
        <v>258</v>
      </c>
      <c r="F147" s="183"/>
      <c r="G147" s="183" t="s">
        <v>103</v>
      </c>
      <c r="H147" s="183" t="s">
        <v>239</v>
      </c>
      <c r="I147" s="184" t="s">
        <v>105</v>
      </c>
      <c r="J147" s="183" t="s">
        <v>106</v>
      </c>
      <c r="K147" s="185">
        <v>0.0</v>
      </c>
      <c r="L147" s="186">
        <v>0.0</v>
      </c>
      <c r="M147" s="185">
        <v>0.0</v>
      </c>
      <c r="N147" s="186">
        <v>0.0</v>
      </c>
      <c r="O147" s="185">
        <v>9.37</v>
      </c>
      <c r="P147" s="186">
        <v>13226.0</v>
      </c>
      <c r="Q147" s="187">
        <f t="shared" ref="Q147:R147" si="149">M147-O147</f>
        <v>-9.37</v>
      </c>
      <c r="R147" s="188">
        <f t="shared" si="149"/>
        <v>-13226</v>
      </c>
      <c r="S147" s="189">
        <v>1411.6</v>
      </c>
      <c r="T147" s="190">
        <v>4.82</v>
      </c>
      <c r="U147" s="191" t="s">
        <v>107</v>
      </c>
      <c r="V147" s="191" t="s">
        <v>350</v>
      </c>
      <c r="W147" s="167"/>
      <c r="X147" s="168">
        <f t="shared" si="3"/>
        <v>0</v>
      </c>
      <c r="Y147" s="168">
        <f t="shared" si="4"/>
        <v>0.14</v>
      </c>
      <c r="Z147" s="193">
        <f t="shared" si="102"/>
        <v>13226</v>
      </c>
    </row>
    <row r="148" ht="15.0" customHeight="1">
      <c r="A148" s="181">
        <v>141.0</v>
      </c>
      <c r="B148" s="182" t="s">
        <v>118</v>
      </c>
      <c r="C148" s="183" t="s">
        <v>119</v>
      </c>
      <c r="D148" s="183" t="s">
        <v>334</v>
      </c>
      <c r="E148" s="183" t="s">
        <v>112</v>
      </c>
      <c r="F148" s="183"/>
      <c r="G148" s="183" t="s">
        <v>127</v>
      </c>
      <c r="H148" s="183" t="s">
        <v>186</v>
      </c>
      <c r="I148" s="184" t="s">
        <v>105</v>
      </c>
      <c r="J148" s="183" t="s">
        <v>106</v>
      </c>
      <c r="K148" s="185">
        <v>0.0</v>
      </c>
      <c r="L148" s="186">
        <v>0.0</v>
      </c>
      <c r="M148" s="185">
        <v>0.0</v>
      </c>
      <c r="N148" s="186">
        <v>0.0</v>
      </c>
      <c r="O148" s="185">
        <v>66.32</v>
      </c>
      <c r="P148" s="186">
        <v>91667.0</v>
      </c>
      <c r="Q148" s="187">
        <f t="shared" ref="Q148:R148" si="150">M148-O148</f>
        <v>-66.32</v>
      </c>
      <c r="R148" s="188">
        <f t="shared" si="150"/>
        <v>-91667</v>
      </c>
      <c r="S148" s="189">
        <v>1382.2</v>
      </c>
      <c r="T148" s="190">
        <v>7.1</v>
      </c>
      <c r="U148" s="191" t="s">
        <v>107</v>
      </c>
      <c r="V148" s="191" t="s">
        <v>351</v>
      </c>
      <c r="W148" s="167"/>
      <c r="X148" s="168">
        <f t="shared" si="3"/>
        <v>0</v>
      </c>
      <c r="Y148" s="168">
        <f t="shared" si="4"/>
        <v>0.14</v>
      </c>
      <c r="Z148" s="193">
        <f t="shared" si="102"/>
        <v>91667</v>
      </c>
    </row>
    <row r="149" ht="15.0" customHeight="1">
      <c r="A149" s="181">
        <v>142.0</v>
      </c>
      <c r="B149" s="182" t="s">
        <v>118</v>
      </c>
      <c r="C149" s="183" t="s">
        <v>119</v>
      </c>
      <c r="D149" s="183" t="s">
        <v>334</v>
      </c>
      <c r="E149" s="183" t="s">
        <v>112</v>
      </c>
      <c r="F149" s="183"/>
      <c r="G149" s="183" t="s">
        <v>103</v>
      </c>
      <c r="H149" s="183" t="s">
        <v>239</v>
      </c>
      <c r="I149" s="184" t="s">
        <v>105</v>
      </c>
      <c r="J149" s="183" t="s">
        <v>106</v>
      </c>
      <c r="K149" s="185">
        <v>0.0</v>
      </c>
      <c r="L149" s="186">
        <v>0.0</v>
      </c>
      <c r="M149" s="185">
        <v>0.0</v>
      </c>
      <c r="N149" s="186">
        <v>0.0</v>
      </c>
      <c r="O149" s="185">
        <v>23.54</v>
      </c>
      <c r="P149" s="186">
        <v>32536.0</v>
      </c>
      <c r="Q149" s="187">
        <f t="shared" ref="Q149:R149" si="151">M149-O149</f>
        <v>-23.54</v>
      </c>
      <c r="R149" s="188">
        <f t="shared" si="151"/>
        <v>-32536</v>
      </c>
      <c r="S149" s="189">
        <v>1382.2</v>
      </c>
      <c r="T149" s="190">
        <v>4.82</v>
      </c>
      <c r="U149" s="191" t="s">
        <v>107</v>
      </c>
      <c r="V149" s="191" t="s">
        <v>352</v>
      </c>
      <c r="W149" s="167"/>
      <c r="X149" s="168">
        <f t="shared" si="3"/>
        <v>0</v>
      </c>
      <c r="Y149" s="168">
        <f t="shared" si="4"/>
        <v>0.14</v>
      </c>
      <c r="Z149" s="193">
        <f t="shared" si="102"/>
        <v>32536</v>
      </c>
    </row>
    <row r="150" ht="15.0" customHeight="1">
      <c r="A150" s="181">
        <v>143.0</v>
      </c>
      <c r="B150" s="182" t="s">
        <v>118</v>
      </c>
      <c r="C150" s="183" t="s">
        <v>119</v>
      </c>
      <c r="D150" s="183" t="s">
        <v>334</v>
      </c>
      <c r="E150" s="183" t="s">
        <v>114</v>
      </c>
      <c r="F150" s="183"/>
      <c r="G150" s="183" t="s">
        <v>116</v>
      </c>
      <c r="H150" s="183" t="s">
        <v>117</v>
      </c>
      <c r="I150" s="184" t="s">
        <v>105</v>
      </c>
      <c r="J150" s="183" t="s">
        <v>106</v>
      </c>
      <c r="K150" s="185">
        <v>0.0</v>
      </c>
      <c r="L150" s="186">
        <v>0.0</v>
      </c>
      <c r="M150" s="185">
        <v>0.0</v>
      </c>
      <c r="N150" s="186">
        <v>0.0</v>
      </c>
      <c r="O150" s="185">
        <v>4.94</v>
      </c>
      <c r="P150" s="186">
        <v>6875.0</v>
      </c>
      <c r="Q150" s="187">
        <f t="shared" ref="Q150:R150" si="152">M150-O150</f>
        <v>-4.94</v>
      </c>
      <c r="R150" s="188">
        <f t="shared" si="152"/>
        <v>-6875</v>
      </c>
      <c r="S150" s="189">
        <v>1391.8</v>
      </c>
      <c r="T150" s="190">
        <v>14.42</v>
      </c>
      <c r="U150" s="191" t="s">
        <v>107</v>
      </c>
      <c r="V150" s="191" t="s">
        <v>353</v>
      </c>
      <c r="W150" s="167"/>
      <c r="X150" s="168">
        <f t="shared" si="3"/>
        <v>0</v>
      </c>
      <c r="Y150" s="168">
        <f t="shared" si="4"/>
        <v>0.14</v>
      </c>
      <c r="Z150" s="193">
        <f t="shared" si="102"/>
        <v>6875</v>
      </c>
    </row>
    <row r="151" ht="15.0" customHeight="1">
      <c r="A151" s="181">
        <v>144.0</v>
      </c>
      <c r="B151" s="182" t="s">
        <v>118</v>
      </c>
      <c r="C151" s="183" t="s">
        <v>119</v>
      </c>
      <c r="D151" s="183" t="s">
        <v>334</v>
      </c>
      <c r="E151" s="183" t="s">
        <v>114</v>
      </c>
      <c r="F151" s="183"/>
      <c r="G151" s="183" t="s">
        <v>103</v>
      </c>
      <c r="H151" s="183" t="s">
        <v>239</v>
      </c>
      <c r="I151" s="184" t="s">
        <v>105</v>
      </c>
      <c r="J151" s="183" t="s">
        <v>106</v>
      </c>
      <c r="K151" s="185">
        <v>0.0</v>
      </c>
      <c r="L151" s="186">
        <v>0.0</v>
      </c>
      <c r="M151" s="185">
        <v>0.0</v>
      </c>
      <c r="N151" s="186">
        <v>0.0</v>
      </c>
      <c r="O151" s="185">
        <v>9.16</v>
      </c>
      <c r="P151" s="186">
        <v>12748.0</v>
      </c>
      <c r="Q151" s="187">
        <f t="shared" ref="Q151:R151" si="153">M151-O151</f>
        <v>-9.16</v>
      </c>
      <c r="R151" s="188">
        <f t="shared" si="153"/>
        <v>-12748</v>
      </c>
      <c r="S151" s="189">
        <v>1391.8</v>
      </c>
      <c r="T151" s="190">
        <v>4.82</v>
      </c>
      <c r="U151" s="191" t="s">
        <v>107</v>
      </c>
      <c r="V151" s="191" t="s">
        <v>354</v>
      </c>
      <c r="W151" s="167"/>
      <c r="X151" s="168">
        <f t="shared" si="3"/>
        <v>0</v>
      </c>
      <c r="Y151" s="168">
        <f t="shared" si="4"/>
        <v>0.14</v>
      </c>
      <c r="Z151" s="193">
        <f t="shared" si="102"/>
        <v>12748</v>
      </c>
    </row>
    <row r="152" ht="15.0" customHeight="1">
      <c r="A152" s="181">
        <v>145.0</v>
      </c>
      <c r="B152" s="182" t="s">
        <v>118</v>
      </c>
      <c r="C152" s="183" t="s">
        <v>119</v>
      </c>
      <c r="D152" s="183" t="s">
        <v>355</v>
      </c>
      <c r="E152" s="183" t="s">
        <v>277</v>
      </c>
      <c r="F152" s="183"/>
      <c r="G152" s="183" t="s">
        <v>279</v>
      </c>
      <c r="H152" s="183" t="s">
        <v>280</v>
      </c>
      <c r="I152" s="184" t="s">
        <v>105</v>
      </c>
      <c r="J152" s="183" t="s">
        <v>106</v>
      </c>
      <c r="K152" s="185">
        <v>0.0</v>
      </c>
      <c r="L152" s="186">
        <v>0.0</v>
      </c>
      <c r="M152" s="185">
        <v>0.0</v>
      </c>
      <c r="N152" s="186">
        <v>0.0</v>
      </c>
      <c r="O152" s="185">
        <v>0.01</v>
      </c>
      <c r="P152" s="186">
        <v>14.0</v>
      </c>
      <c r="Q152" s="187">
        <f t="shared" ref="Q152:R152" si="154">M152-O152</f>
        <v>-0.01</v>
      </c>
      <c r="R152" s="188">
        <f t="shared" si="154"/>
        <v>-14</v>
      </c>
      <c r="S152" s="189">
        <v>1469.5</v>
      </c>
      <c r="T152" s="190">
        <v>11.32</v>
      </c>
      <c r="U152" s="191" t="s">
        <v>107</v>
      </c>
      <c r="V152" s="191" t="s">
        <v>356</v>
      </c>
      <c r="W152" s="167"/>
      <c r="X152" s="168">
        <f t="shared" si="3"/>
        <v>0</v>
      </c>
      <c r="Y152" s="168">
        <f t="shared" si="4"/>
        <v>0.14</v>
      </c>
      <c r="Z152" s="193">
        <f t="shared" si="102"/>
        <v>14</v>
      </c>
    </row>
    <row r="153" ht="15.0" customHeight="1">
      <c r="A153" s="181">
        <v>146.0</v>
      </c>
      <c r="B153" s="182" t="s">
        <v>118</v>
      </c>
      <c r="C153" s="183" t="s">
        <v>119</v>
      </c>
      <c r="D153" s="183" t="s">
        <v>355</v>
      </c>
      <c r="E153" s="183" t="s">
        <v>275</v>
      </c>
      <c r="F153" s="183"/>
      <c r="G153" s="183" t="s">
        <v>116</v>
      </c>
      <c r="H153" s="183" t="s">
        <v>117</v>
      </c>
      <c r="I153" s="184" t="s">
        <v>105</v>
      </c>
      <c r="J153" s="183" t="s">
        <v>106</v>
      </c>
      <c r="K153" s="185">
        <v>0.0</v>
      </c>
      <c r="L153" s="186">
        <v>0.0</v>
      </c>
      <c r="M153" s="185">
        <v>0.0</v>
      </c>
      <c r="N153" s="186">
        <v>0.0</v>
      </c>
      <c r="O153" s="185">
        <v>5.16</v>
      </c>
      <c r="P153" s="186">
        <v>7502.0</v>
      </c>
      <c r="Q153" s="187">
        <f t="shared" ref="Q153:R153" si="155">M153-O153</f>
        <v>-5.16</v>
      </c>
      <c r="R153" s="188">
        <f t="shared" si="155"/>
        <v>-7502</v>
      </c>
      <c r="S153" s="189">
        <v>1454.0</v>
      </c>
      <c r="T153" s="190">
        <v>14.47</v>
      </c>
      <c r="U153" s="191" t="s">
        <v>107</v>
      </c>
      <c r="V153" s="191" t="s">
        <v>357</v>
      </c>
      <c r="W153" s="167"/>
      <c r="X153" s="168">
        <f t="shared" si="3"/>
        <v>0</v>
      </c>
      <c r="Y153" s="168">
        <f t="shared" si="4"/>
        <v>0.14</v>
      </c>
      <c r="Z153" s="193">
        <f t="shared" si="102"/>
        <v>7502</v>
      </c>
    </row>
    <row r="154" ht="15.0" customHeight="1">
      <c r="A154" s="181">
        <v>147.0</v>
      </c>
      <c r="B154" s="182" t="s">
        <v>118</v>
      </c>
      <c r="C154" s="183" t="s">
        <v>119</v>
      </c>
      <c r="D154" s="183" t="s">
        <v>355</v>
      </c>
      <c r="E154" s="183" t="s">
        <v>290</v>
      </c>
      <c r="F154" s="183"/>
      <c r="G154" s="183" t="s">
        <v>116</v>
      </c>
      <c r="H154" s="183" t="s">
        <v>117</v>
      </c>
      <c r="I154" s="184" t="s">
        <v>105</v>
      </c>
      <c r="J154" s="183" t="s">
        <v>106</v>
      </c>
      <c r="K154" s="185">
        <v>0.0</v>
      </c>
      <c r="L154" s="186">
        <v>0.0</v>
      </c>
      <c r="M154" s="185">
        <v>0.0</v>
      </c>
      <c r="N154" s="186">
        <v>0.0</v>
      </c>
      <c r="O154" s="185">
        <v>1.42</v>
      </c>
      <c r="P154" s="186">
        <v>2090.0</v>
      </c>
      <c r="Q154" s="187">
        <f t="shared" ref="Q154:R154" si="156">M154-O154</f>
        <v>-1.42</v>
      </c>
      <c r="R154" s="188">
        <f t="shared" si="156"/>
        <v>-2090</v>
      </c>
      <c r="S154" s="189">
        <v>1472.1</v>
      </c>
      <c r="T154" s="190">
        <v>14.54</v>
      </c>
      <c r="U154" s="191" t="s">
        <v>107</v>
      </c>
      <c r="V154" s="191" t="s">
        <v>358</v>
      </c>
      <c r="W154" s="167"/>
      <c r="X154" s="168">
        <f t="shared" si="3"/>
        <v>0</v>
      </c>
      <c r="Y154" s="168">
        <f t="shared" si="4"/>
        <v>0.14</v>
      </c>
      <c r="Z154" s="193">
        <f t="shared" si="102"/>
        <v>2090</v>
      </c>
    </row>
    <row r="155" ht="15.0" customHeight="1">
      <c r="A155" s="194">
        <v>1.0</v>
      </c>
      <c r="B155" s="195" t="s">
        <v>359</v>
      </c>
      <c r="C155" s="196" t="s">
        <v>360</v>
      </c>
      <c r="D155" s="196" t="s">
        <v>361</v>
      </c>
      <c r="E155" s="196"/>
      <c r="F155" s="196"/>
      <c r="G155" s="196" t="s">
        <v>135</v>
      </c>
      <c r="H155" s="197" t="s">
        <v>362</v>
      </c>
      <c r="I155" s="197" t="s">
        <v>105</v>
      </c>
      <c r="J155" s="196" t="s">
        <v>106</v>
      </c>
      <c r="K155" s="198">
        <v>2.28</v>
      </c>
      <c r="L155" s="199">
        <v>3278.0</v>
      </c>
      <c r="M155" s="198">
        <v>0.34</v>
      </c>
      <c r="N155" s="199">
        <v>488.0</v>
      </c>
      <c r="O155" s="198">
        <v>0.34</v>
      </c>
      <c r="P155" s="199">
        <v>488.0</v>
      </c>
      <c r="Q155" s="200">
        <f t="shared" ref="Q155:R155" si="157">M155-O155</f>
        <v>0</v>
      </c>
      <c r="R155" s="201">
        <f t="shared" si="157"/>
        <v>0</v>
      </c>
      <c r="S155" s="202">
        <v>1437.9</v>
      </c>
      <c r="T155" s="203">
        <v>15.0</v>
      </c>
      <c r="U155" s="204" t="s">
        <v>107</v>
      </c>
      <c r="V155" s="204"/>
      <c r="W155" s="167"/>
      <c r="X155" s="168">
        <f t="shared" si="3"/>
        <v>0</v>
      </c>
      <c r="Y155" s="168">
        <f t="shared" si="4"/>
        <v>0.14</v>
      </c>
      <c r="Z155" s="169">
        <f t="shared" ref="Z155:Z201" si="159">IFERROR(ROUND(L155*Y155,-1),0)</f>
        <v>460</v>
      </c>
    </row>
    <row r="156" ht="15.0" customHeight="1">
      <c r="A156" s="194">
        <v>2.0</v>
      </c>
      <c r="B156" s="195" t="s">
        <v>359</v>
      </c>
      <c r="C156" s="196" t="s">
        <v>360</v>
      </c>
      <c r="D156" s="196" t="s">
        <v>126</v>
      </c>
      <c r="E156" s="196"/>
      <c r="F156" s="196"/>
      <c r="G156" s="196" t="s">
        <v>288</v>
      </c>
      <c r="H156" s="197" t="s">
        <v>363</v>
      </c>
      <c r="I156" s="197" t="s">
        <v>105</v>
      </c>
      <c r="J156" s="196" t="s">
        <v>106</v>
      </c>
      <c r="K156" s="198">
        <v>0.82</v>
      </c>
      <c r="L156" s="199">
        <v>1175.0</v>
      </c>
      <c r="M156" s="198">
        <v>0.12</v>
      </c>
      <c r="N156" s="199">
        <v>171.0</v>
      </c>
      <c r="O156" s="198">
        <v>0.0</v>
      </c>
      <c r="P156" s="199">
        <v>0.0</v>
      </c>
      <c r="Q156" s="200">
        <f t="shared" ref="Q156:R156" si="158">M156-O156</f>
        <v>0.12</v>
      </c>
      <c r="R156" s="201">
        <f t="shared" si="158"/>
        <v>171</v>
      </c>
      <c r="S156" s="202">
        <v>1433.3</v>
      </c>
      <c r="T156" s="203">
        <v>15.0</v>
      </c>
      <c r="U156" s="204" t="s">
        <v>107</v>
      </c>
      <c r="V156" s="204"/>
      <c r="W156" s="167"/>
      <c r="X156" s="168">
        <f t="shared" si="3"/>
        <v>0.1455319149</v>
      </c>
      <c r="Y156" s="168">
        <f t="shared" si="4"/>
        <v>0</v>
      </c>
      <c r="Z156" s="169">
        <f t="shared" si="159"/>
        <v>0</v>
      </c>
    </row>
    <row r="157" ht="15.0" customHeight="1">
      <c r="A157" s="194">
        <v>3.0</v>
      </c>
      <c r="B157" s="195" t="s">
        <v>359</v>
      </c>
      <c r="C157" s="196" t="s">
        <v>360</v>
      </c>
      <c r="D157" s="196" t="s">
        <v>125</v>
      </c>
      <c r="E157" s="196"/>
      <c r="F157" s="196"/>
      <c r="G157" s="196" t="s">
        <v>127</v>
      </c>
      <c r="H157" s="197" t="s">
        <v>364</v>
      </c>
      <c r="I157" s="197" t="s">
        <v>105</v>
      </c>
      <c r="J157" s="196" t="s">
        <v>106</v>
      </c>
      <c r="K157" s="198">
        <v>4.98</v>
      </c>
      <c r="L157" s="199">
        <v>7235.0</v>
      </c>
      <c r="M157" s="198">
        <v>0.75</v>
      </c>
      <c r="N157" s="199">
        <v>1089.0</v>
      </c>
      <c r="O157" s="198">
        <v>0.4</v>
      </c>
      <c r="P157" s="199">
        <v>581.0</v>
      </c>
      <c r="Q157" s="200">
        <f t="shared" ref="Q157:R157" si="160">M157-O157</f>
        <v>0.35</v>
      </c>
      <c r="R157" s="201">
        <f t="shared" si="160"/>
        <v>508</v>
      </c>
      <c r="S157" s="202">
        <v>1453.0</v>
      </c>
      <c r="T157" s="203">
        <v>15.0</v>
      </c>
      <c r="U157" s="204" t="s">
        <v>107</v>
      </c>
      <c r="V157" s="204"/>
      <c r="W157" s="167"/>
      <c r="X157" s="168">
        <f t="shared" si="3"/>
        <v>0.07021423635</v>
      </c>
      <c r="Y157" s="168">
        <f t="shared" si="4"/>
        <v>0.06978576365</v>
      </c>
      <c r="Z157" s="169">
        <f t="shared" si="159"/>
        <v>500</v>
      </c>
    </row>
    <row r="158" ht="15.0" customHeight="1">
      <c r="A158" s="194">
        <v>4.0</v>
      </c>
      <c r="B158" s="195" t="s">
        <v>359</v>
      </c>
      <c r="C158" s="196" t="s">
        <v>360</v>
      </c>
      <c r="D158" s="196" t="s">
        <v>365</v>
      </c>
      <c r="E158" s="196"/>
      <c r="F158" s="196"/>
      <c r="G158" s="196" t="s">
        <v>131</v>
      </c>
      <c r="H158" s="197" t="s">
        <v>366</v>
      </c>
      <c r="I158" s="197" t="s">
        <v>105</v>
      </c>
      <c r="J158" s="196" t="s">
        <v>106</v>
      </c>
      <c r="K158" s="198">
        <v>8.37</v>
      </c>
      <c r="L158" s="199">
        <v>12164.0</v>
      </c>
      <c r="M158" s="198">
        <v>1.26</v>
      </c>
      <c r="N158" s="199">
        <v>1831.0</v>
      </c>
      <c r="O158" s="198">
        <v>1.22</v>
      </c>
      <c r="P158" s="199">
        <v>1773.0</v>
      </c>
      <c r="Q158" s="200">
        <f t="shared" ref="Q158:R158" si="161">M158-O158</f>
        <v>0.04</v>
      </c>
      <c r="R158" s="201">
        <f t="shared" si="161"/>
        <v>58</v>
      </c>
      <c r="S158" s="202">
        <v>1453.4</v>
      </c>
      <c r="T158" s="203">
        <v>15.0</v>
      </c>
      <c r="U158" s="204" t="s">
        <v>107</v>
      </c>
      <c r="V158" s="204"/>
      <c r="W158" s="167"/>
      <c r="X158" s="168">
        <f t="shared" si="3"/>
        <v>0.004768168366</v>
      </c>
      <c r="Y158" s="168">
        <f t="shared" si="4"/>
        <v>0.1352318316</v>
      </c>
      <c r="Z158" s="169">
        <f t="shared" si="159"/>
        <v>1640</v>
      </c>
    </row>
    <row r="159" ht="15.0" customHeight="1">
      <c r="A159" s="194">
        <v>5.0</v>
      </c>
      <c r="B159" s="195" t="s">
        <v>359</v>
      </c>
      <c r="C159" s="196" t="s">
        <v>360</v>
      </c>
      <c r="D159" s="196" t="s">
        <v>367</v>
      </c>
      <c r="E159" s="196"/>
      <c r="F159" s="196"/>
      <c r="G159" s="196" t="s">
        <v>135</v>
      </c>
      <c r="H159" s="197" t="s">
        <v>368</v>
      </c>
      <c r="I159" s="197" t="s">
        <v>105</v>
      </c>
      <c r="J159" s="196" t="s">
        <v>106</v>
      </c>
      <c r="K159" s="198">
        <v>12.13</v>
      </c>
      <c r="L159" s="199">
        <v>17507.0</v>
      </c>
      <c r="M159" s="198">
        <v>1.82</v>
      </c>
      <c r="N159" s="199">
        <v>2626.0</v>
      </c>
      <c r="O159" s="198">
        <v>1.82</v>
      </c>
      <c r="P159" s="199">
        <v>2626.0</v>
      </c>
      <c r="Q159" s="200">
        <f t="shared" ref="Q159:R159" si="162">M159-O159</f>
        <v>0</v>
      </c>
      <c r="R159" s="201">
        <f t="shared" si="162"/>
        <v>0</v>
      </c>
      <c r="S159" s="202">
        <v>1443.3</v>
      </c>
      <c r="T159" s="203">
        <v>15.0</v>
      </c>
      <c r="U159" s="204" t="s">
        <v>107</v>
      </c>
      <c r="V159" s="204"/>
      <c r="W159" s="167"/>
      <c r="X159" s="168">
        <f t="shared" si="3"/>
        <v>0</v>
      </c>
      <c r="Y159" s="168">
        <f t="shared" si="4"/>
        <v>0.14</v>
      </c>
      <c r="Z159" s="169">
        <f t="shared" si="159"/>
        <v>2450</v>
      </c>
    </row>
    <row r="160" ht="15.0" customHeight="1">
      <c r="A160" s="194">
        <v>6.0</v>
      </c>
      <c r="B160" s="195" t="s">
        <v>359</v>
      </c>
      <c r="C160" s="196" t="s">
        <v>360</v>
      </c>
      <c r="D160" s="196" t="s">
        <v>137</v>
      </c>
      <c r="E160" s="196"/>
      <c r="F160" s="196"/>
      <c r="G160" s="196" t="s">
        <v>139</v>
      </c>
      <c r="H160" s="197" t="s">
        <v>369</v>
      </c>
      <c r="I160" s="197" t="s">
        <v>105</v>
      </c>
      <c r="J160" s="196" t="s">
        <v>106</v>
      </c>
      <c r="K160" s="198">
        <v>5.21</v>
      </c>
      <c r="L160" s="199">
        <v>7471.0</v>
      </c>
      <c r="M160" s="198">
        <v>0.78</v>
      </c>
      <c r="N160" s="199">
        <v>1118.0</v>
      </c>
      <c r="O160" s="198">
        <v>0.57</v>
      </c>
      <c r="P160" s="199">
        <v>817.0</v>
      </c>
      <c r="Q160" s="200">
        <f t="shared" ref="Q160:R160" si="163">M160-O160</f>
        <v>0.21</v>
      </c>
      <c r="R160" s="201">
        <f t="shared" si="163"/>
        <v>301</v>
      </c>
      <c r="S160" s="202">
        <v>1434.1</v>
      </c>
      <c r="T160" s="203">
        <v>15.0</v>
      </c>
      <c r="U160" s="204" t="s">
        <v>107</v>
      </c>
      <c r="V160" s="204"/>
      <c r="W160" s="167"/>
      <c r="X160" s="168">
        <f t="shared" si="3"/>
        <v>0.04028911792</v>
      </c>
      <c r="Y160" s="168">
        <f t="shared" si="4"/>
        <v>0.09971088208</v>
      </c>
      <c r="Z160" s="169">
        <f t="shared" si="159"/>
        <v>740</v>
      </c>
    </row>
    <row r="161" ht="15.0" customHeight="1">
      <c r="A161" s="194">
        <v>7.0</v>
      </c>
      <c r="B161" s="195" t="s">
        <v>359</v>
      </c>
      <c r="C161" s="196" t="s">
        <v>360</v>
      </c>
      <c r="D161" s="196" t="s">
        <v>370</v>
      </c>
      <c r="E161" s="196"/>
      <c r="F161" s="196"/>
      <c r="G161" s="196" t="s">
        <v>127</v>
      </c>
      <c r="H161" s="197" t="s">
        <v>371</v>
      </c>
      <c r="I161" s="197" t="s">
        <v>105</v>
      </c>
      <c r="J161" s="196" t="s">
        <v>106</v>
      </c>
      <c r="K161" s="198">
        <v>9.67</v>
      </c>
      <c r="L161" s="199">
        <v>14114.0</v>
      </c>
      <c r="M161" s="198">
        <v>1.45</v>
      </c>
      <c r="N161" s="199">
        <v>2116.0</v>
      </c>
      <c r="O161" s="198">
        <v>0.76</v>
      </c>
      <c r="P161" s="199">
        <v>1109.0</v>
      </c>
      <c r="Q161" s="200">
        <f t="shared" ref="Q161:R161" si="164">M161-O161</f>
        <v>0.69</v>
      </c>
      <c r="R161" s="201">
        <f t="shared" si="164"/>
        <v>1007</v>
      </c>
      <c r="S161" s="202">
        <v>1459.6</v>
      </c>
      <c r="T161" s="203">
        <v>15.0</v>
      </c>
      <c r="U161" s="204" t="s">
        <v>107</v>
      </c>
      <c r="V161" s="204"/>
      <c r="W161" s="167"/>
      <c r="X161" s="168">
        <f t="shared" si="3"/>
        <v>0.07134759813</v>
      </c>
      <c r="Y161" s="168">
        <f t="shared" si="4"/>
        <v>0.06865240187</v>
      </c>
      <c r="Z161" s="169">
        <f t="shared" si="159"/>
        <v>970</v>
      </c>
    </row>
    <row r="162" ht="15.0" customHeight="1">
      <c r="A162" s="194">
        <v>8.0</v>
      </c>
      <c r="B162" s="195" t="s">
        <v>359</v>
      </c>
      <c r="C162" s="196" t="s">
        <v>360</v>
      </c>
      <c r="D162" s="196" t="s">
        <v>146</v>
      </c>
      <c r="E162" s="196"/>
      <c r="F162" s="196"/>
      <c r="G162" s="196" t="s">
        <v>131</v>
      </c>
      <c r="H162" s="197" t="s">
        <v>372</v>
      </c>
      <c r="I162" s="197" t="s">
        <v>105</v>
      </c>
      <c r="J162" s="196" t="s">
        <v>106</v>
      </c>
      <c r="K162" s="198">
        <v>4.79</v>
      </c>
      <c r="L162" s="199">
        <v>6952.0</v>
      </c>
      <c r="M162" s="198">
        <v>0.72</v>
      </c>
      <c r="N162" s="199">
        <v>1045.0</v>
      </c>
      <c r="O162" s="198">
        <v>0.7</v>
      </c>
      <c r="P162" s="199">
        <v>1016.0</v>
      </c>
      <c r="Q162" s="200">
        <f t="shared" ref="Q162:R162" si="165">M162-O162</f>
        <v>0.02</v>
      </c>
      <c r="R162" s="201">
        <f t="shared" si="165"/>
        <v>29</v>
      </c>
      <c r="S162" s="202">
        <v>1451.5</v>
      </c>
      <c r="T162" s="203">
        <v>15.0</v>
      </c>
      <c r="U162" s="204" t="s">
        <v>107</v>
      </c>
      <c r="V162" s="204"/>
      <c r="W162" s="167"/>
      <c r="X162" s="168">
        <f t="shared" si="3"/>
        <v>0.00417146145</v>
      </c>
      <c r="Y162" s="168">
        <f t="shared" si="4"/>
        <v>0.1358285386</v>
      </c>
      <c r="Z162" s="169">
        <f t="shared" si="159"/>
        <v>940</v>
      </c>
    </row>
    <row r="163" ht="15.0" customHeight="1">
      <c r="A163" s="194">
        <v>9.0</v>
      </c>
      <c r="B163" s="195" t="s">
        <v>359</v>
      </c>
      <c r="C163" s="196" t="s">
        <v>360</v>
      </c>
      <c r="D163" s="196" t="s">
        <v>152</v>
      </c>
      <c r="E163" s="196"/>
      <c r="F163" s="196"/>
      <c r="G163" s="196" t="s">
        <v>135</v>
      </c>
      <c r="H163" s="197" t="s">
        <v>373</v>
      </c>
      <c r="I163" s="197" t="s">
        <v>105</v>
      </c>
      <c r="J163" s="196" t="s">
        <v>106</v>
      </c>
      <c r="K163" s="198">
        <v>8.27</v>
      </c>
      <c r="L163" s="199">
        <v>11974.0</v>
      </c>
      <c r="M163" s="198">
        <v>1.24</v>
      </c>
      <c r="N163" s="199">
        <v>1795.0</v>
      </c>
      <c r="O163" s="198">
        <v>1.24</v>
      </c>
      <c r="P163" s="199">
        <v>1795.0</v>
      </c>
      <c r="Q163" s="200">
        <f t="shared" ref="Q163:R163" si="166">M163-O163</f>
        <v>0</v>
      </c>
      <c r="R163" s="201">
        <f t="shared" si="166"/>
        <v>0</v>
      </c>
      <c r="S163" s="202">
        <v>1448.0</v>
      </c>
      <c r="T163" s="203">
        <v>15.0</v>
      </c>
      <c r="U163" s="204" t="s">
        <v>107</v>
      </c>
      <c r="V163" s="204"/>
      <c r="W163" s="167"/>
      <c r="X163" s="168">
        <f t="shared" si="3"/>
        <v>0</v>
      </c>
      <c r="Y163" s="168">
        <f t="shared" si="4"/>
        <v>0.14</v>
      </c>
      <c r="Z163" s="169">
        <f t="shared" si="159"/>
        <v>1680</v>
      </c>
    </row>
    <row r="164" ht="15.0" customHeight="1">
      <c r="A164" s="194">
        <v>10.0</v>
      </c>
      <c r="B164" s="195" t="s">
        <v>359</v>
      </c>
      <c r="C164" s="196" t="s">
        <v>360</v>
      </c>
      <c r="D164" s="196" t="s">
        <v>155</v>
      </c>
      <c r="E164" s="196"/>
      <c r="F164" s="196"/>
      <c r="G164" s="196" t="s">
        <v>139</v>
      </c>
      <c r="H164" s="197" t="s">
        <v>374</v>
      </c>
      <c r="I164" s="197" t="s">
        <v>105</v>
      </c>
      <c r="J164" s="196" t="s">
        <v>106</v>
      </c>
      <c r="K164" s="198">
        <v>4.17</v>
      </c>
      <c r="L164" s="199">
        <v>6116.0</v>
      </c>
      <c r="M164" s="198">
        <v>0.63</v>
      </c>
      <c r="N164" s="199">
        <v>924.0</v>
      </c>
      <c r="O164" s="198">
        <v>0.46</v>
      </c>
      <c r="P164" s="199">
        <v>674.0</v>
      </c>
      <c r="Q164" s="200">
        <f t="shared" ref="Q164:R164" si="167">M164-O164</f>
        <v>0.17</v>
      </c>
      <c r="R164" s="201">
        <f t="shared" si="167"/>
        <v>250</v>
      </c>
      <c r="S164" s="202">
        <v>1466.9</v>
      </c>
      <c r="T164" s="203">
        <v>15.0</v>
      </c>
      <c r="U164" s="204" t="s">
        <v>107</v>
      </c>
      <c r="V164" s="204"/>
      <c r="W164" s="167"/>
      <c r="X164" s="168">
        <f t="shared" si="3"/>
        <v>0.0408763898</v>
      </c>
      <c r="Y164" s="168">
        <f t="shared" si="4"/>
        <v>0.0991236102</v>
      </c>
      <c r="Z164" s="169">
        <f t="shared" si="159"/>
        <v>610</v>
      </c>
    </row>
    <row r="165" ht="15.0" customHeight="1">
      <c r="A165" s="194">
        <v>11.0</v>
      </c>
      <c r="B165" s="195" t="s">
        <v>359</v>
      </c>
      <c r="C165" s="196" t="s">
        <v>360</v>
      </c>
      <c r="D165" s="196" t="s">
        <v>158</v>
      </c>
      <c r="E165" s="196"/>
      <c r="F165" s="196"/>
      <c r="G165" s="196" t="s">
        <v>288</v>
      </c>
      <c r="H165" s="197" t="s">
        <v>375</v>
      </c>
      <c r="I165" s="197" t="s">
        <v>105</v>
      </c>
      <c r="J165" s="196" t="s">
        <v>106</v>
      </c>
      <c r="K165" s="198">
        <v>4.79</v>
      </c>
      <c r="L165" s="199">
        <v>7024.0</v>
      </c>
      <c r="M165" s="198">
        <v>0.72</v>
      </c>
      <c r="N165" s="199">
        <v>1055.0</v>
      </c>
      <c r="O165" s="198">
        <v>0.0</v>
      </c>
      <c r="P165" s="199">
        <v>0.0</v>
      </c>
      <c r="Q165" s="200">
        <f t="shared" ref="Q165:R165" si="168">M165-O165</f>
        <v>0.72</v>
      </c>
      <c r="R165" s="201">
        <f t="shared" si="168"/>
        <v>1055</v>
      </c>
      <c r="S165" s="202">
        <v>1466.5</v>
      </c>
      <c r="T165" s="203">
        <v>15.0</v>
      </c>
      <c r="U165" s="204" t="s">
        <v>107</v>
      </c>
      <c r="V165" s="204"/>
      <c r="W165" s="167"/>
      <c r="X165" s="168">
        <f t="shared" si="3"/>
        <v>0.1501993166</v>
      </c>
      <c r="Y165" s="168">
        <f t="shared" si="4"/>
        <v>0</v>
      </c>
      <c r="Z165" s="169">
        <f t="shared" si="159"/>
        <v>0</v>
      </c>
    </row>
    <row r="166" ht="15.0" customHeight="1">
      <c r="A166" s="194">
        <v>12.0</v>
      </c>
      <c r="B166" s="195" t="s">
        <v>359</v>
      </c>
      <c r="C166" s="196" t="s">
        <v>360</v>
      </c>
      <c r="D166" s="196" t="s">
        <v>158</v>
      </c>
      <c r="E166" s="196"/>
      <c r="F166" s="196"/>
      <c r="G166" s="196" t="s">
        <v>127</v>
      </c>
      <c r="H166" s="197" t="s">
        <v>376</v>
      </c>
      <c r="I166" s="197" t="s">
        <v>105</v>
      </c>
      <c r="J166" s="196" t="s">
        <v>106</v>
      </c>
      <c r="K166" s="198">
        <v>4.72</v>
      </c>
      <c r="L166" s="199">
        <v>6921.0</v>
      </c>
      <c r="M166" s="198">
        <v>0.71</v>
      </c>
      <c r="N166" s="199">
        <v>1041.0</v>
      </c>
      <c r="O166" s="198">
        <v>0.38</v>
      </c>
      <c r="P166" s="199">
        <v>557.0</v>
      </c>
      <c r="Q166" s="200">
        <f t="shared" ref="Q166:R166" si="169">M166-O166</f>
        <v>0.33</v>
      </c>
      <c r="R166" s="201">
        <f t="shared" si="169"/>
        <v>484</v>
      </c>
      <c r="S166" s="202">
        <v>1466.5</v>
      </c>
      <c r="T166" s="203">
        <v>15.0</v>
      </c>
      <c r="U166" s="204" t="s">
        <v>107</v>
      </c>
      <c r="V166" s="204"/>
      <c r="W166" s="167"/>
      <c r="X166" s="168">
        <f t="shared" si="3"/>
        <v>0.06993209074</v>
      </c>
      <c r="Y166" s="168">
        <f t="shared" si="4"/>
        <v>0.07006790926</v>
      </c>
      <c r="Z166" s="169">
        <f t="shared" si="159"/>
        <v>480</v>
      </c>
    </row>
    <row r="167" ht="15.0" customHeight="1">
      <c r="A167" s="194">
        <v>13.0</v>
      </c>
      <c r="B167" s="195" t="s">
        <v>359</v>
      </c>
      <c r="C167" s="196" t="s">
        <v>360</v>
      </c>
      <c r="D167" s="196" t="s">
        <v>166</v>
      </c>
      <c r="E167" s="196"/>
      <c r="F167" s="196"/>
      <c r="G167" s="196" t="s">
        <v>377</v>
      </c>
      <c r="H167" s="197" t="s">
        <v>378</v>
      </c>
      <c r="I167" s="197" t="s">
        <v>105</v>
      </c>
      <c r="J167" s="196" t="s">
        <v>106</v>
      </c>
      <c r="K167" s="198">
        <v>0.2</v>
      </c>
      <c r="L167" s="199">
        <v>293.0</v>
      </c>
      <c r="M167" s="198">
        <v>0.03</v>
      </c>
      <c r="N167" s="199">
        <v>44.0</v>
      </c>
      <c r="O167" s="198">
        <v>0.03</v>
      </c>
      <c r="P167" s="199">
        <v>44.0</v>
      </c>
      <c r="Q167" s="200">
        <f t="shared" ref="Q167:R167" si="170">M167-O167</f>
        <v>0</v>
      </c>
      <c r="R167" s="201">
        <f t="shared" si="170"/>
        <v>0</v>
      </c>
      <c r="S167" s="202">
        <v>1467.0</v>
      </c>
      <c r="T167" s="203">
        <v>15.0</v>
      </c>
      <c r="U167" s="204" t="s">
        <v>107</v>
      </c>
      <c r="V167" s="204"/>
      <c r="W167" s="167"/>
      <c r="X167" s="168">
        <f t="shared" si="3"/>
        <v>0</v>
      </c>
      <c r="Y167" s="168">
        <f t="shared" si="4"/>
        <v>0.14</v>
      </c>
      <c r="Z167" s="169">
        <f t="shared" si="159"/>
        <v>40</v>
      </c>
    </row>
    <row r="168" ht="15.0" customHeight="1">
      <c r="A168" s="194">
        <v>14.0</v>
      </c>
      <c r="B168" s="195" t="s">
        <v>359</v>
      </c>
      <c r="C168" s="196" t="s">
        <v>360</v>
      </c>
      <c r="D168" s="196" t="s">
        <v>169</v>
      </c>
      <c r="E168" s="196"/>
      <c r="F168" s="196"/>
      <c r="G168" s="196" t="s">
        <v>379</v>
      </c>
      <c r="H168" s="197" t="s">
        <v>380</v>
      </c>
      <c r="I168" s="197" t="s">
        <v>105</v>
      </c>
      <c r="J168" s="196" t="s">
        <v>106</v>
      </c>
      <c r="K168" s="198">
        <v>6.76</v>
      </c>
      <c r="L168" s="199">
        <v>9729.0</v>
      </c>
      <c r="M168" s="198">
        <v>1.01</v>
      </c>
      <c r="N168" s="199">
        <v>1453.0</v>
      </c>
      <c r="O168" s="198">
        <v>0.0</v>
      </c>
      <c r="P168" s="199">
        <v>0.0</v>
      </c>
      <c r="Q168" s="200">
        <f t="shared" ref="Q168:R168" si="171">M168-O168</f>
        <v>1.01</v>
      </c>
      <c r="R168" s="201">
        <f t="shared" si="171"/>
        <v>1453</v>
      </c>
      <c r="S168" s="202">
        <v>1439.3</v>
      </c>
      <c r="T168" s="203">
        <v>15.0</v>
      </c>
      <c r="U168" s="204" t="s">
        <v>107</v>
      </c>
      <c r="V168" s="204"/>
      <c r="W168" s="167"/>
      <c r="X168" s="168">
        <f t="shared" si="3"/>
        <v>0.1493473122</v>
      </c>
      <c r="Y168" s="168">
        <f t="shared" si="4"/>
        <v>0</v>
      </c>
      <c r="Z168" s="169">
        <f t="shared" si="159"/>
        <v>0</v>
      </c>
    </row>
    <row r="169" ht="15.0" customHeight="1">
      <c r="A169" s="194">
        <v>15.0</v>
      </c>
      <c r="B169" s="195" t="s">
        <v>359</v>
      </c>
      <c r="C169" s="196" t="s">
        <v>360</v>
      </c>
      <c r="D169" s="196" t="s">
        <v>165</v>
      </c>
      <c r="E169" s="196"/>
      <c r="F169" s="196"/>
      <c r="G169" s="196" t="s">
        <v>131</v>
      </c>
      <c r="H169" s="197" t="s">
        <v>381</v>
      </c>
      <c r="I169" s="197" t="s">
        <v>105</v>
      </c>
      <c r="J169" s="196" t="s">
        <v>106</v>
      </c>
      <c r="K169" s="198">
        <v>3.5</v>
      </c>
      <c r="L169" s="199">
        <v>5130.0</v>
      </c>
      <c r="M169" s="198">
        <v>0.53</v>
      </c>
      <c r="N169" s="199">
        <v>776.0</v>
      </c>
      <c r="O169" s="198">
        <v>0.51</v>
      </c>
      <c r="P169" s="199">
        <v>747.0</v>
      </c>
      <c r="Q169" s="200">
        <f t="shared" ref="Q169:R169" si="172">M169-O169</f>
        <v>0.02</v>
      </c>
      <c r="R169" s="201">
        <f t="shared" si="172"/>
        <v>29</v>
      </c>
      <c r="S169" s="202">
        <v>1465.9</v>
      </c>
      <c r="T169" s="203">
        <v>15.0</v>
      </c>
      <c r="U169" s="204" t="s">
        <v>107</v>
      </c>
      <c r="V169" s="204"/>
      <c r="W169" s="167"/>
      <c r="X169" s="168">
        <f t="shared" si="3"/>
        <v>0.005653021442</v>
      </c>
      <c r="Y169" s="168">
        <f t="shared" si="4"/>
        <v>0.1343469786</v>
      </c>
      <c r="Z169" s="169">
        <f t="shared" si="159"/>
        <v>690</v>
      </c>
    </row>
    <row r="170" ht="15.0" customHeight="1">
      <c r="A170" s="194">
        <v>16.0</v>
      </c>
      <c r="B170" s="195" t="s">
        <v>359</v>
      </c>
      <c r="C170" s="196" t="s">
        <v>360</v>
      </c>
      <c r="D170" s="196" t="s">
        <v>170</v>
      </c>
      <c r="E170" s="196"/>
      <c r="F170" s="196"/>
      <c r="G170" s="196" t="s">
        <v>135</v>
      </c>
      <c r="H170" s="197" t="s">
        <v>382</v>
      </c>
      <c r="I170" s="197" t="s">
        <v>105</v>
      </c>
      <c r="J170" s="196" t="s">
        <v>106</v>
      </c>
      <c r="K170" s="198">
        <v>8.01</v>
      </c>
      <c r="L170" s="199">
        <v>11433.0</v>
      </c>
      <c r="M170" s="198">
        <v>1.2</v>
      </c>
      <c r="N170" s="199">
        <v>1712.0</v>
      </c>
      <c r="O170" s="198">
        <v>1.2</v>
      </c>
      <c r="P170" s="199">
        <v>1712.0</v>
      </c>
      <c r="Q170" s="200">
        <f t="shared" ref="Q170:R170" si="173">M170-O170</f>
        <v>0</v>
      </c>
      <c r="R170" s="201">
        <f t="shared" si="173"/>
        <v>0</v>
      </c>
      <c r="S170" s="202">
        <v>1427.4</v>
      </c>
      <c r="T170" s="203">
        <v>15.0</v>
      </c>
      <c r="U170" s="204" t="s">
        <v>107</v>
      </c>
      <c r="V170" s="204"/>
      <c r="W170" s="167"/>
      <c r="X170" s="168">
        <f t="shared" si="3"/>
        <v>0</v>
      </c>
      <c r="Y170" s="168">
        <f t="shared" si="4"/>
        <v>0.14</v>
      </c>
      <c r="Z170" s="169">
        <f t="shared" si="159"/>
        <v>1600</v>
      </c>
    </row>
    <row r="171" ht="15.0" customHeight="1">
      <c r="A171" s="194">
        <v>17.0</v>
      </c>
      <c r="B171" s="195" t="s">
        <v>359</v>
      </c>
      <c r="C171" s="196" t="s">
        <v>360</v>
      </c>
      <c r="D171" s="196" t="s">
        <v>179</v>
      </c>
      <c r="E171" s="196"/>
      <c r="F171" s="196"/>
      <c r="G171" s="196" t="s">
        <v>139</v>
      </c>
      <c r="H171" s="197" t="s">
        <v>383</v>
      </c>
      <c r="I171" s="197" t="s">
        <v>105</v>
      </c>
      <c r="J171" s="196" t="s">
        <v>106</v>
      </c>
      <c r="K171" s="198">
        <v>5.94</v>
      </c>
      <c r="L171" s="199">
        <v>8443.0</v>
      </c>
      <c r="M171" s="198">
        <v>0.89</v>
      </c>
      <c r="N171" s="199">
        <v>1265.0</v>
      </c>
      <c r="O171" s="198">
        <v>0.65</v>
      </c>
      <c r="P171" s="199">
        <v>923.0</v>
      </c>
      <c r="Q171" s="200">
        <f t="shared" ref="Q171:R171" si="174">M171-O171</f>
        <v>0.24</v>
      </c>
      <c r="R171" s="201">
        <f t="shared" si="174"/>
        <v>342</v>
      </c>
      <c r="S171" s="202">
        <v>1421.5</v>
      </c>
      <c r="T171" s="203">
        <v>15.0</v>
      </c>
      <c r="U171" s="204" t="s">
        <v>107</v>
      </c>
      <c r="V171" s="204"/>
      <c r="W171" s="167"/>
      <c r="X171" s="168">
        <f t="shared" si="3"/>
        <v>0.04050692882</v>
      </c>
      <c r="Y171" s="168">
        <f t="shared" si="4"/>
        <v>0.09949307118</v>
      </c>
      <c r="Z171" s="169">
        <f t="shared" si="159"/>
        <v>840</v>
      </c>
    </row>
    <row r="172" ht="15.0" customHeight="1">
      <c r="A172" s="194">
        <v>18.0</v>
      </c>
      <c r="B172" s="195" t="s">
        <v>359</v>
      </c>
      <c r="C172" s="196" t="s">
        <v>360</v>
      </c>
      <c r="D172" s="196" t="s">
        <v>185</v>
      </c>
      <c r="E172" s="196"/>
      <c r="F172" s="196"/>
      <c r="G172" s="196" t="s">
        <v>127</v>
      </c>
      <c r="H172" s="197" t="s">
        <v>384</v>
      </c>
      <c r="I172" s="197" t="s">
        <v>105</v>
      </c>
      <c r="J172" s="196" t="s">
        <v>106</v>
      </c>
      <c r="K172" s="198">
        <v>4.04</v>
      </c>
      <c r="L172" s="199">
        <v>5814.0</v>
      </c>
      <c r="M172" s="198">
        <v>0.61</v>
      </c>
      <c r="N172" s="199">
        <v>877.0</v>
      </c>
      <c r="O172" s="198">
        <v>0.32</v>
      </c>
      <c r="P172" s="199">
        <v>460.0</v>
      </c>
      <c r="Q172" s="200">
        <f t="shared" ref="Q172:R172" si="175">M172-O172</f>
        <v>0.29</v>
      </c>
      <c r="R172" s="201">
        <f t="shared" si="175"/>
        <v>417</v>
      </c>
      <c r="S172" s="202">
        <v>1439.3</v>
      </c>
      <c r="T172" s="203">
        <v>15.0</v>
      </c>
      <c r="U172" s="204" t="s">
        <v>107</v>
      </c>
      <c r="V172" s="204"/>
      <c r="W172" s="167"/>
      <c r="X172" s="168">
        <f t="shared" si="3"/>
        <v>0.07172342621</v>
      </c>
      <c r="Y172" s="168">
        <f t="shared" si="4"/>
        <v>0.06827657379</v>
      </c>
      <c r="Z172" s="169">
        <f t="shared" si="159"/>
        <v>400</v>
      </c>
    </row>
    <row r="173" ht="15.0" customHeight="1">
      <c r="A173" s="194">
        <v>19.0</v>
      </c>
      <c r="B173" s="195" t="s">
        <v>359</v>
      </c>
      <c r="C173" s="196" t="s">
        <v>360</v>
      </c>
      <c r="D173" s="196" t="s">
        <v>385</v>
      </c>
      <c r="E173" s="196"/>
      <c r="F173" s="196"/>
      <c r="G173" s="196" t="s">
        <v>288</v>
      </c>
      <c r="H173" s="197" t="s">
        <v>386</v>
      </c>
      <c r="I173" s="197" t="s">
        <v>105</v>
      </c>
      <c r="J173" s="196" t="s">
        <v>106</v>
      </c>
      <c r="K173" s="198">
        <v>4.87</v>
      </c>
      <c r="L173" s="199">
        <v>7005.0</v>
      </c>
      <c r="M173" s="198">
        <v>0.73</v>
      </c>
      <c r="N173" s="199">
        <v>1050.0</v>
      </c>
      <c r="O173" s="198">
        <v>0.0</v>
      </c>
      <c r="P173" s="199">
        <v>0.0</v>
      </c>
      <c r="Q173" s="200">
        <f t="shared" ref="Q173:R173" si="176">M173-O173</f>
        <v>0.73</v>
      </c>
      <c r="R173" s="201">
        <f t="shared" si="176"/>
        <v>1050</v>
      </c>
      <c r="S173" s="202">
        <v>1438.5</v>
      </c>
      <c r="T173" s="203">
        <v>15.0</v>
      </c>
      <c r="U173" s="204" t="s">
        <v>107</v>
      </c>
      <c r="V173" s="204"/>
      <c r="W173" s="167"/>
      <c r="X173" s="168">
        <f t="shared" si="3"/>
        <v>0.1498929336</v>
      </c>
      <c r="Y173" s="168">
        <f t="shared" si="4"/>
        <v>0</v>
      </c>
      <c r="Z173" s="169">
        <f t="shared" si="159"/>
        <v>0</v>
      </c>
    </row>
    <row r="174" ht="15.0" customHeight="1">
      <c r="A174" s="194">
        <v>20.0</v>
      </c>
      <c r="B174" s="195" t="s">
        <v>359</v>
      </c>
      <c r="C174" s="196" t="s">
        <v>360</v>
      </c>
      <c r="D174" s="196" t="s">
        <v>187</v>
      </c>
      <c r="E174" s="196"/>
      <c r="F174" s="196"/>
      <c r="G174" s="196" t="s">
        <v>131</v>
      </c>
      <c r="H174" s="197" t="s">
        <v>387</v>
      </c>
      <c r="I174" s="197" t="s">
        <v>105</v>
      </c>
      <c r="J174" s="196" t="s">
        <v>106</v>
      </c>
      <c r="K174" s="198">
        <v>5.21</v>
      </c>
      <c r="L174" s="199">
        <v>7432.0</v>
      </c>
      <c r="M174" s="198">
        <v>0.78</v>
      </c>
      <c r="N174" s="199">
        <v>1112.0</v>
      </c>
      <c r="O174" s="198">
        <v>0.76</v>
      </c>
      <c r="P174" s="199">
        <v>1084.0</v>
      </c>
      <c r="Q174" s="200">
        <f t="shared" ref="Q174:R174" si="177">M174-O174</f>
        <v>0.02</v>
      </c>
      <c r="R174" s="201">
        <f t="shared" si="177"/>
        <v>28</v>
      </c>
      <c r="S174" s="202">
        <v>1426.6</v>
      </c>
      <c r="T174" s="203">
        <v>15.0</v>
      </c>
      <c r="U174" s="204" t="s">
        <v>107</v>
      </c>
      <c r="V174" s="204"/>
      <c r="W174" s="167"/>
      <c r="X174" s="168">
        <f t="shared" si="3"/>
        <v>0.003767491927</v>
      </c>
      <c r="Y174" s="168">
        <f t="shared" si="4"/>
        <v>0.1362325081</v>
      </c>
      <c r="Z174" s="169">
        <f t="shared" si="159"/>
        <v>1010</v>
      </c>
    </row>
    <row r="175" ht="15.0" customHeight="1">
      <c r="A175" s="194">
        <v>21.0</v>
      </c>
      <c r="B175" s="195" t="s">
        <v>359</v>
      </c>
      <c r="C175" s="196" t="s">
        <v>360</v>
      </c>
      <c r="D175" s="196" t="s">
        <v>191</v>
      </c>
      <c r="E175" s="196"/>
      <c r="F175" s="196"/>
      <c r="G175" s="196" t="s">
        <v>135</v>
      </c>
      <c r="H175" s="197" t="s">
        <v>388</v>
      </c>
      <c r="I175" s="197" t="s">
        <v>105</v>
      </c>
      <c r="J175" s="196" t="s">
        <v>106</v>
      </c>
      <c r="K175" s="198">
        <v>14.24</v>
      </c>
      <c r="L175" s="199">
        <v>19941.0</v>
      </c>
      <c r="M175" s="198">
        <v>2.14</v>
      </c>
      <c r="N175" s="199">
        <v>2996.0</v>
      </c>
      <c r="O175" s="198">
        <v>2.14</v>
      </c>
      <c r="P175" s="199">
        <v>2996.0</v>
      </c>
      <c r="Q175" s="200">
        <f t="shared" ref="Q175:R175" si="178">M175-O175</f>
        <v>0</v>
      </c>
      <c r="R175" s="201">
        <f t="shared" si="178"/>
        <v>0</v>
      </c>
      <c r="S175" s="202">
        <v>1400.4</v>
      </c>
      <c r="T175" s="203">
        <v>15.0</v>
      </c>
      <c r="U175" s="204" t="s">
        <v>107</v>
      </c>
      <c r="V175" s="204"/>
      <c r="W175" s="167"/>
      <c r="X175" s="168">
        <f t="shared" si="3"/>
        <v>0</v>
      </c>
      <c r="Y175" s="168">
        <f t="shared" si="4"/>
        <v>0.14</v>
      </c>
      <c r="Z175" s="169">
        <f t="shared" si="159"/>
        <v>2790</v>
      </c>
    </row>
    <row r="176" ht="15.0" customHeight="1">
      <c r="A176" s="194">
        <v>22.0</v>
      </c>
      <c r="B176" s="195" t="s">
        <v>359</v>
      </c>
      <c r="C176" s="196" t="s">
        <v>360</v>
      </c>
      <c r="D176" s="196" t="s">
        <v>195</v>
      </c>
      <c r="E176" s="196"/>
      <c r="F176" s="196"/>
      <c r="G176" s="196" t="s">
        <v>139</v>
      </c>
      <c r="H176" s="197" t="s">
        <v>389</v>
      </c>
      <c r="I176" s="197" t="s">
        <v>105</v>
      </c>
      <c r="J176" s="196" t="s">
        <v>106</v>
      </c>
      <c r="K176" s="198">
        <v>6.84</v>
      </c>
      <c r="L176" s="199">
        <v>9562.0</v>
      </c>
      <c r="M176" s="198">
        <v>1.03</v>
      </c>
      <c r="N176" s="199">
        <v>1439.0</v>
      </c>
      <c r="O176" s="198">
        <v>0.75</v>
      </c>
      <c r="P176" s="199">
        <v>1048.0</v>
      </c>
      <c r="Q176" s="200">
        <f t="shared" ref="Q176:R176" si="179">M176-O176</f>
        <v>0.28</v>
      </c>
      <c r="R176" s="201">
        <f t="shared" si="179"/>
        <v>391</v>
      </c>
      <c r="S176" s="202">
        <v>1398.0</v>
      </c>
      <c r="T176" s="203">
        <v>15.0</v>
      </c>
      <c r="U176" s="204" t="s">
        <v>107</v>
      </c>
      <c r="V176" s="204"/>
      <c r="W176" s="167"/>
      <c r="X176" s="168">
        <f t="shared" si="3"/>
        <v>0.04089102698</v>
      </c>
      <c r="Y176" s="168">
        <f t="shared" si="4"/>
        <v>0.09910897302</v>
      </c>
      <c r="Z176" s="169">
        <f t="shared" si="159"/>
        <v>950</v>
      </c>
    </row>
    <row r="177" ht="15.0" customHeight="1">
      <c r="A177" s="194">
        <v>23.0</v>
      </c>
      <c r="B177" s="195" t="s">
        <v>359</v>
      </c>
      <c r="C177" s="196" t="s">
        <v>360</v>
      </c>
      <c r="D177" s="196" t="s">
        <v>390</v>
      </c>
      <c r="E177" s="196"/>
      <c r="F177" s="196"/>
      <c r="G177" s="196" t="s">
        <v>127</v>
      </c>
      <c r="H177" s="197" t="s">
        <v>391</v>
      </c>
      <c r="I177" s="197" t="s">
        <v>105</v>
      </c>
      <c r="J177" s="196" t="s">
        <v>106</v>
      </c>
      <c r="K177" s="198">
        <v>9.77</v>
      </c>
      <c r="L177" s="199">
        <v>13368.0</v>
      </c>
      <c r="M177" s="198">
        <v>1.47</v>
      </c>
      <c r="N177" s="199">
        <v>2011.0</v>
      </c>
      <c r="O177" s="198">
        <v>0.78</v>
      </c>
      <c r="P177" s="199">
        <v>1067.0</v>
      </c>
      <c r="Q177" s="200">
        <f t="shared" ref="Q177:R177" si="180">M177-O177</f>
        <v>0.69</v>
      </c>
      <c r="R177" s="201">
        <f t="shared" si="180"/>
        <v>944</v>
      </c>
      <c r="S177" s="202">
        <v>1368.3</v>
      </c>
      <c r="T177" s="203">
        <v>15.0</v>
      </c>
      <c r="U177" s="204" t="s">
        <v>107</v>
      </c>
      <c r="V177" s="204"/>
      <c r="W177" s="167"/>
      <c r="X177" s="168">
        <f t="shared" si="3"/>
        <v>0.07061639737</v>
      </c>
      <c r="Y177" s="168">
        <f t="shared" si="4"/>
        <v>0.06938360263</v>
      </c>
      <c r="Z177" s="169">
        <f t="shared" si="159"/>
        <v>930</v>
      </c>
    </row>
    <row r="178" ht="15.0" customHeight="1">
      <c r="A178" s="194">
        <v>24.0</v>
      </c>
      <c r="B178" s="195" t="s">
        <v>359</v>
      </c>
      <c r="C178" s="196" t="s">
        <v>360</v>
      </c>
      <c r="D178" s="196" t="s">
        <v>200</v>
      </c>
      <c r="E178" s="196"/>
      <c r="F178" s="196"/>
      <c r="G178" s="196" t="s">
        <v>288</v>
      </c>
      <c r="H178" s="197" t="s">
        <v>392</v>
      </c>
      <c r="I178" s="197" t="s">
        <v>105</v>
      </c>
      <c r="J178" s="196" t="s">
        <v>106</v>
      </c>
      <c r="K178" s="198">
        <v>4.7</v>
      </c>
      <c r="L178" s="199">
        <v>6492.0</v>
      </c>
      <c r="M178" s="198">
        <v>0.7</v>
      </c>
      <c r="N178" s="199">
        <v>966.0</v>
      </c>
      <c r="O178" s="198">
        <v>0.0</v>
      </c>
      <c r="P178" s="199">
        <v>0.0</v>
      </c>
      <c r="Q178" s="200">
        <f t="shared" ref="Q178:R178" si="181">M178-O178</f>
        <v>0.7</v>
      </c>
      <c r="R178" s="201">
        <f t="shared" si="181"/>
        <v>966</v>
      </c>
      <c r="S178" s="202">
        <v>1381.4</v>
      </c>
      <c r="T178" s="203">
        <v>15.0</v>
      </c>
      <c r="U178" s="204" t="s">
        <v>107</v>
      </c>
      <c r="V178" s="204"/>
      <c r="W178" s="167"/>
      <c r="X178" s="168">
        <f t="shared" si="3"/>
        <v>0.1487985213</v>
      </c>
      <c r="Y178" s="168">
        <f t="shared" si="4"/>
        <v>0</v>
      </c>
      <c r="Z178" s="169">
        <f t="shared" si="159"/>
        <v>0</v>
      </c>
    </row>
    <row r="179" ht="15.0" customHeight="1">
      <c r="A179" s="194">
        <v>25.0</v>
      </c>
      <c r="B179" s="195" t="s">
        <v>359</v>
      </c>
      <c r="C179" s="196" t="s">
        <v>360</v>
      </c>
      <c r="D179" s="196" t="s">
        <v>199</v>
      </c>
      <c r="E179" s="196"/>
      <c r="F179" s="196"/>
      <c r="G179" s="196" t="s">
        <v>131</v>
      </c>
      <c r="H179" s="197" t="s">
        <v>393</v>
      </c>
      <c r="I179" s="197" t="s">
        <v>105</v>
      </c>
      <c r="J179" s="196" t="s">
        <v>106</v>
      </c>
      <c r="K179" s="198">
        <v>5.88</v>
      </c>
      <c r="L179" s="199">
        <v>8096.0</v>
      </c>
      <c r="M179" s="198">
        <v>0.88</v>
      </c>
      <c r="N179" s="199">
        <v>1211.0</v>
      </c>
      <c r="O179" s="198">
        <v>0.85</v>
      </c>
      <c r="P179" s="199">
        <v>1170.0</v>
      </c>
      <c r="Q179" s="200">
        <f t="shared" ref="Q179:R179" si="182">M179-O179</f>
        <v>0.03</v>
      </c>
      <c r="R179" s="201">
        <f t="shared" si="182"/>
        <v>41</v>
      </c>
      <c r="S179" s="202">
        <v>1376.9</v>
      </c>
      <c r="T179" s="203">
        <v>15.0</v>
      </c>
      <c r="U179" s="204" t="s">
        <v>107</v>
      </c>
      <c r="V179" s="204"/>
      <c r="W179" s="167"/>
      <c r="X179" s="168">
        <f t="shared" si="3"/>
        <v>0.005064229249</v>
      </c>
      <c r="Y179" s="168">
        <f t="shared" si="4"/>
        <v>0.1349357708</v>
      </c>
      <c r="Z179" s="169">
        <f t="shared" si="159"/>
        <v>1090</v>
      </c>
    </row>
    <row r="180" ht="15.0" customHeight="1">
      <c r="A180" s="194">
        <v>26.0</v>
      </c>
      <c r="B180" s="195" t="s">
        <v>359</v>
      </c>
      <c r="C180" s="196" t="s">
        <v>360</v>
      </c>
      <c r="D180" s="196" t="s">
        <v>201</v>
      </c>
      <c r="E180" s="196"/>
      <c r="F180" s="196"/>
      <c r="G180" s="196" t="s">
        <v>135</v>
      </c>
      <c r="H180" s="197" t="s">
        <v>394</v>
      </c>
      <c r="I180" s="197" t="s">
        <v>105</v>
      </c>
      <c r="J180" s="196" t="s">
        <v>106</v>
      </c>
      <c r="K180" s="198">
        <v>8.82</v>
      </c>
      <c r="L180" s="199">
        <v>11985.0</v>
      </c>
      <c r="M180" s="198">
        <v>1.32</v>
      </c>
      <c r="N180" s="199">
        <v>1793.0</v>
      </c>
      <c r="O180" s="198">
        <v>1.32</v>
      </c>
      <c r="P180" s="199">
        <v>1793.0</v>
      </c>
      <c r="Q180" s="200">
        <f t="shared" ref="Q180:R180" si="183">M180-O180</f>
        <v>0</v>
      </c>
      <c r="R180" s="201">
        <f t="shared" si="183"/>
        <v>0</v>
      </c>
      <c r="S180" s="202">
        <v>1358.9</v>
      </c>
      <c r="T180" s="203">
        <v>15.0</v>
      </c>
      <c r="U180" s="204" t="s">
        <v>107</v>
      </c>
      <c r="V180" s="204"/>
      <c r="W180" s="167"/>
      <c r="X180" s="168">
        <f t="shared" si="3"/>
        <v>0</v>
      </c>
      <c r="Y180" s="168">
        <f t="shared" si="4"/>
        <v>0.14</v>
      </c>
      <c r="Z180" s="169">
        <f t="shared" si="159"/>
        <v>1680</v>
      </c>
    </row>
    <row r="181" ht="15.0" customHeight="1">
      <c r="A181" s="194">
        <v>27.0</v>
      </c>
      <c r="B181" s="195" t="s">
        <v>359</v>
      </c>
      <c r="C181" s="196" t="s">
        <v>360</v>
      </c>
      <c r="D181" s="196" t="s">
        <v>206</v>
      </c>
      <c r="E181" s="196"/>
      <c r="F181" s="196"/>
      <c r="G181" s="196" t="s">
        <v>139</v>
      </c>
      <c r="H181" s="197" t="s">
        <v>395</v>
      </c>
      <c r="I181" s="197" t="s">
        <v>105</v>
      </c>
      <c r="J181" s="196" t="s">
        <v>106</v>
      </c>
      <c r="K181" s="198">
        <v>3.63</v>
      </c>
      <c r="L181" s="199">
        <v>4961.0</v>
      </c>
      <c r="M181" s="198">
        <v>0.55</v>
      </c>
      <c r="N181" s="199">
        <v>751.0</v>
      </c>
      <c r="O181" s="198">
        <v>0.4</v>
      </c>
      <c r="P181" s="199">
        <v>546.0</v>
      </c>
      <c r="Q181" s="200">
        <f t="shared" ref="Q181:R181" si="184">M181-O181</f>
        <v>0.15</v>
      </c>
      <c r="R181" s="201">
        <f t="shared" si="184"/>
        <v>205</v>
      </c>
      <c r="S181" s="202">
        <v>1363.6</v>
      </c>
      <c r="T181" s="203">
        <v>15.0</v>
      </c>
      <c r="U181" s="204" t="s">
        <v>107</v>
      </c>
      <c r="V181" s="204"/>
      <c r="W181" s="167"/>
      <c r="X181" s="168">
        <f t="shared" si="3"/>
        <v>0.04132231405</v>
      </c>
      <c r="Y181" s="168">
        <f t="shared" si="4"/>
        <v>0.09867768595</v>
      </c>
      <c r="Z181" s="169">
        <f t="shared" si="159"/>
        <v>490</v>
      </c>
    </row>
    <row r="182" ht="15.0" customHeight="1">
      <c r="A182" s="194">
        <v>28.0</v>
      </c>
      <c r="B182" s="195" t="s">
        <v>359</v>
      </c>
      <c r="C182" s="196" t="s">
        <v>360</v>
      </c>
      <c r="D182" s="196" t="s">
        <v>213</v>
      </c>
      <c r="E182" s="196"/>
      <c r="F182" s="196"/>
      <c r="G182" s="196" t="s">
        <v>127</v>
      </c>
      <c r="H182" s="197" t="s">
        <v>396</v>
      </c>
      <c r="I182" s="197" t="s">
        <v>105</v>
      </c>
      <c r="J182" s="196" t="s">
        <v>106</v>
      </c>
      <c r="K182" s="198">
        <v>4.03</v>
      </c>
      <c r="L182" s="199">
        <v>5518.0</v>
      </c>
      <c r="M182" s="198">
        <v>0.6</v>
      </c>
      <c r="N182" s="199">
        <v>821.0</v>
      </c>
      <c r="O182" s="198">
        <v>0.31</v>
      </c>
      <c r="P182" s="199">
        <v>424.0</v>
      </c>
      <c r="Q182" s="200">
        <f t="shared" ref="Q182:R182" si="185">M182-O182</f>
        <v>0.29</v>
      </c>
      <c r="R182" s="201">
        <f t="shared" si="185"/>
        <v>397</v>
      </c>
      <c r="S182" s="202">
        <v>1369.4</v>
      </c>
      <c r="T182" s="203">
        <v>15.0</v>
      </c>
      <c r="U182" s="204" t="s">
        <v>107</v>
      </c>
      <c r="V182" s="204"/>
      <c r="W182" s="167"/>
      <c r="X182" s="168">
        <f t="shared" si="3"/>
        <v>0.07194635738</v>
      </c>
      <c r="Y182" s="168">
        <f t="shared" si="4"/>
        <v>0.06805364262</v>
      </c>
      <c r="Z182" s="169">
        <f t="shared" si="159"/>
        <v>380</v>
      </c>
    </row>
    <row r="183" ht="15.0" customHeight="1">
      <c r="A183" s="194">
        <v>29.0</v>
      </c>
      <c r="B183" s="195" t="s">
        <v>359</v>
      </c>
      <c r="C183" s="196" t="s">
        <v>360</v>
      </c>
      <c r="D183" s="196" t="s">
        <v>218</v>
      </c>
      <c r="E183" s="196"/>
      <c r="F183" s="196"/>
      <c r="G183" s="196" t="s">
        <v>288</v>
      </c>
      <c r="H183" s="197" t="s">
        <v>397</v>
      </c>
      <c r="I183" s="197" t="s">
        <v>105</v>
      </c>
      <c r="J183" s="196" t="s">
        <v>106</v>
      </c>
      <c r="K183" s="198">
        <v>4.88</v>
      </c>
      <c r="L183" s="199">
        <v>6605.0</v>
      </c>
      <c r="M183" s="198">
        <v>0.73</v>
      </c>
      <c r="N183" s="199">
        <v>988.0</v>
      </c>
      <c r="O183" s="198">
        <v>0.0</v>
      </c>
      <c r="P183" s="199">
        <v>0.0</v>
      </c>
      <c r="Q183" s="200">
        <f t="shared" ref="Q183:R183" si="186">M183-O183</f>
        <v>0.73</v>
      </c>
      <c r="R183" s="201">
        <f t="shared" si="186"/>
        <v>988</v>
      </c>
      <c r="S183" s="202">
        <v>1353.6</v>
      </c>
      <c r="T183" s="203">
        <v>15.0</v>
      </c>
      <c r="U183" s="204" t="s">
        <v>107</v>
      </c>
      <c r="V183" s="204"/>
      <c r="W183" s="167"/>
      <c r="X183" s="168">
        <f t="shared" si="3"/>
        <v>0.1495836488</v>
      </c>
      <c r="Y183" s="168">
        <f t="shared" si="4"/>
        <v>0</v>
      </c>
      <c r="Z183" s="169">
        <f t="shared" si="159"/>
        <v>0</v>
      </c>
    </row>
    <row r="184" ht="15.0" customHeight="1">
      <c r="A184" s="194">
        <v>30.0</v>
      </c>
      <c r="B184" s="195" t="s">
        <v>359</v>
      </c>
      <c r="C184" s="196" t="s">
        <v>360</v>
      </c>
      <c r="D184" s="196" t="s">
        <v>218</v>
      </c>
      <c r="E184" s="196"/>
      <c r="F184" s="196"/>
      <c r="G184" s="196" t="s">
        <v>131</v>
      </c>
      <c r="H184" s="197" t="s">
        <v>398</v>
      </c>
      <c r="I184" s="197" t="s">
        <v>105</v>
      </c>
      <c r="J184" s="196" t="s">
        <v>106</v>
      </c>
      <c r="K184" s="198">
        <v>4.28</v>
      </c>
      <c r="L184" s="199">
        <v>5793.0</v>
      </c>
      <c r="M184" s="198">
        <v>0.64</v>
      </c>
      <c r="N184" s="199">
        <v>866.0</v>
      </c>
      <c r="O184" s="198">
        <v>0.62</v>
      </c>
      <c r="P184" s="199">
        <v>839.0</v>
      </c>
      <c r="Q184" s="200">
        <f t="shared" ref="Q184:R184" si="187">M184-O184</f>
        <v>0.02</v>
      </c>
      <c r="R184" s="201">
        <f t="shared" si="187"/>
        <v>27</v>
      </c>
      <c r="S184" s="202">
        <v>1353.6</v>
      </c>
      <c r="T184" s="203">
        <v>15.0</v>
      </c>
      <c r="U184" s="204" t="s">
        <v>107</v>
      </c>
      <c r="V184" s="204"/>
      <c r="W184" s="167"/>
      <c r="X184" s="168">
        <f t="shared" si="3"/>
        <v>0.004660797514</v>
      </c>
      <c r="Y184" s="168">
        <f t="shared" si="4"/>
        <v>0.1353392025</v>
      </c>
      <c r="Z184" s="169">
        <f t="shared" si="159"/>
        <v>780</v>
      </c>
    </row>
    <row r="185" ht="15.0" customHeight="1">
      <c r="A185" s="194">
        <v>31.0</v>
      </c>
      <c r="B185" s="195" t="s">
        <v>359</v>
      </c>
      <c r="C185" s="196" t="s">
        <v>360</v>
      </c>
      <c r="D185" s="196" t="s">
        <v>218</v>
      </c>
      <c r="E185" s="196"/>
      <c r="F185" s="196"/>
      <c r="G185" s="196" t="s">
        <v>377</v>
      </c>
      <c r="H185" s="197" t="s">
        <v>399</v>
      </c>
      <c r="I185" s="197" t="s">
        <v>105</v>
      </c>
      <c r="J185" s="196" t="s">
        <v>106</v>
      </c>
      <c r="K185" s="198">
        <v>0.44</v>
      </c>
      <c r="L185" s="199">
        <v>595.0</v>
      </c>
      <c r="M185" s="198">
        <v>0.07</v>
      </c>
      <c r="N185" s="199">
        <v>94.0</v>
      </c>
      <c r="O185" s="198">
        <v>0.05</v>
      </c>
      <c r="P185" s="199">
        <v>67.0</v>
      </c>
      <c r="Q185" s="200">
        <f t="shared" ref="Q185:R185" si="188">M185-O185</f>
        <v>0.02</v>
      </c>
      <c r="R185" s="201">
        <f t="shared" si="188"/>
        <v>27</v>
      </c>
      <c r="S185" s="202">
        <v>1353.6</v>
      </c>
      <c r="T185" s="203">
        <v>15.0</v>
      </c>
      <c r="U185" s="204" t="s">
        <v>107</v>
      </c>
      <c r="V185" s="204"/>
      <c r="W185" s="167"/>
      <c r="X185" s="168">
        <f t="shared" si="3"/>
        <v>0.04537815126</v>
      </c>
      <c r="Y185" s="168">
        <f t="shared" si="4"/>
        <v>0.09462184874</v>
      </c>
      <c r="Z185" s="169">
        <f t="shared" si="159"/>
        <v>60</v>
      </c>
    </row>
    <row r="186" ht="15.0" customHeight="1">
      <c r="A186" s="194">
        <v>32.0</v>
      </c>
      <c r="B186" s="195" t="s">
        <v>359</v>
      </c>
      <c r="C186" s="196" t="s">
        <v>360</v>
      </c>
      <c r="D186" s="196" t="s">
        <v>400</v>
      </c>
      <c r="E186" s="196"/>
      <c r="F186" s="196"/>
      <c r="G186" s="196" t="s">
        <v>379</v>
      </c>
      <c r="H186" s="197" t="s">
        <v>401</v>
      </c>
      <c r="I186" s="197" t="s">
        <v>105</v>
      </c>
      <c r="J186" s="196" t="s">
        <v>106</v>
      </c>
      <c r="K186" s="198">
        <v>7.17</v>
      </c>
      <c r="L186" s="199">
        <v>9698.0</v>
      </c>
      <c r="M186" s="198">
        <v>1.08</v>
      </c>
      <c r="N186" s="199">
        <v>1460.0</v>
      </c>
      <c r="O186" s="198">
        <v>0.0</v>
      </c>
      <c r="P186" s="199">
        <v>0.0</v>
      </c>
      <c r="Q186" s="200">
        <f t="shared" ref="Q186:R186" si="189">M186-O186</f>
        <v>1.08</v>
      </c>
      <c r="R186" s="201">
        <f t="shared" si="189"/>
        <v>1460</v>
      </c>
      <c r="S186" s="202">
        <v>1352.6</v>
      </c>
      <c r="T186" s="203">
        <v>15.0</v>
      </c>
      <c r="U186" s="204" t="s">
        <v>107</v>
      </c>
      <c r="V186" s="204"/>
      <c r="W186" s="167"/>
      <c r="X186" s="168">
        <f t="shared" si="3"/>
        <v>0.1505465044</v>
      </c>
      <c r="Y186" s="168">
        <f t="shared" si="4"/>
        <v>0</v>
      </c>
      <c r="Z186" s="169">
        <f t="shared" si="159"/>
        <v>0</v>
      </c>
    </row>
    <row r="187" ht="15.0" customHeight="1">
      <c r="A187" s="194">
        <v>33.0</v>
      </c>
      <c r="B187" s="195" t="s">
        <v>359</v>
      </c>
      <c r="C187" s="196" t="s">
        <v>360</v>
      </c>
      <c r="D187" s="196" t="s">
        <v>226</v>
      </c>
      <c r="E187" s="196"/>
      <c r="F187" s="196"/>
      <c r="G187" s="196" t="s">
        <v>135</v>
      </c>
      <c r="H187" s="197" t="s">
        <v>402</v>
      </c>
      <c r="I187" s="197" t="s">
        <v>105</v>
      </c>
      <c r="J187" s="196" t="s">
        <v>106</v>
      </c>
      <c r="K187" s="198">
        <v>7.43</v>
      </c>
      <c r="L187" s="199">
        <v>10153.0</v>
      </c>
      <c r="M187" s="198">
        <v>1.11</v>
      </c>
      <c r="N187" s="199">
        <v>1516.0</v>
      </c>
      <c r="O187" s="198">
        <v>1.11</v>
      </c>
      <c r="P187" s="199">
        <v>1516.0</v>
      </c>
      <c r="Q187" s="200">
        <f t="shared" ref="Q187:R187" si="190">M187-O187</f>
        <v>0</v>
      </c>
      <c r="R187" s="201">
        <f t="shared" si="190"/>
        <v>0</v>
      </c>
      <c r="S187" s="202">
        <v>1366.6</v>
      </c>
      <c r="T187" s="203">
        <v>15.0</v>
      </c>
      <c r="U187" s="204" t="s">
        <v>107</v>
      </c>
      <c r="V187" s="204"/>
      <c r="W187" s="167"/>
      <c r="X187" s="168">
        <f t="shared" si="3"/>
        <v>0</v>
      </c>
      <c r="Y187" s="168">
        <f t="shared" si="4"/>
        <v>0.14</v>
      </c>
      <c r="Z187" s="169">
        <f t="shared" si="159"/>
        <v>1420</v>
      </c>
    </row>
    <row r="188" ht="15.0" customHeight="1">
      <c r="A188" s="194">
        <v>34.0</v>
      </c>
      <c r="B188" s="195" t="s">
        <v>359</v>
      </c>
      <c r="C188" s="196" t="s">
        <v>360</v>
      </c>
      <c r="D188" s="196" t="s">
        <v>232</v>
      </c>
      <c r="E188" s="196"/>
      <c r="F188" s="196"/>
      <c r="G188" s="196" t="s">
        <v>139</v>
      </c>
      <c r="H188" s="197" t="s">
        <v>403</v>
      </c>
      <c r="I188" s="197" t="s">
        <v>105</v>
      </c>
      <c r="J188" s="196" t="s">
        <v>106</v>
      </c>
      <c r="K188" s="198">
        <v>3.49</v>
      </c>
      <c r="L188" s="199">
        <v>4797.0</v>
      </c>
      <c r="M188" s="198">
        <v>0.52</v>
      </c>
      <c r="N188" s="199">
        <v>714.0</v>
      </c>
      <c r="O188" s="198">
        <v>0.38</v>
      </c>
      <c r="P188" s="199">
        <v>522.0</v>
      </c>
      <c r="Q188" s="200">
        <f t="shared" ref="Q188:R188" si="191">M188-O188</f>
        <v>0.14</v>
      </c>
      <c r="R188" s="201">
        <f t="shared" si="191"/>
        <v>192</v>
      </c>
      <c r="S188" s="202">
        <v>1374.7</v>
      </c>
      <c r="T188" s="203">
        <v>15.0</v>
      </c>
      <c r="U188" s="204" t="s">
        <v>107</v>
      </c>
      <c r="V188" s="204"/>
      <c r="W188" s="167"/>
      <c r="X188" s="168">
        <f t="shared" si="3"/>
        <v>0.04002501563</v>
      </c>
      <c r="Y188" s="168">
        <f t="shared" si="4"/>
        <v>0.09997498437</v>
      </c>
      <c r="Z188" s="169">
        <f t="shared" si="159"/>
        <v>480</v>
      </c>
    </row>
    <row r="189" ht="15.0" customHeight="1">
      <c r="A189" s="194">
        <v>35.0</v>
      </c>
      <c r="B189" s="195" t="s">
        <v>359</v>
      </c>
      <c r="C189" s="196" t="s">
        <v>360</v>
      </c>
      <c r="D189" s="196" t="s">
        <v>237</v>
      </c>
      <c r="E189" s="196"/>
      <c r="F189" s="196"/>
      <c r="G189" s="196" t="s">
        <v>103</v>
      </c>
      <c r="H189" s="197" t="s">
        <v>404</v>
      </c>
      <c r="I189" s="197" t="s">
        <v>105</v>
      </c>
      <c r="J189" s="196" t="s">
        <v>106</v>
      </c>
      <c r="K189" s="198">
        <v>102.15</v>
      </c>
      <c r="L189" s="199">
        <v>142182.0</v>
      </c>
      <c r="M189" s="198">
        <v>15.32</v>
      </c>
      <c r="N189" s="199">
        <v>21323.0</v>
      </c>
      <c r="O189" s="198">
        <v>10.39</v>
      </c>
      <c r="P189" s="199">
        <v>14461.0</v>
      </c>
      <c r="Q189" s="200">
        <f t="shared" ref="Q189:R189" si="192">M189-O189</f>
        <v>4.93</v>
      </c>
      <c r="R189" s="201">
        <f t="shared" si="192"/>
        <v>6862</v>
      </c>
      <c r="S189" s="202">
        <v>1391.9</v>
      </c>
      <c r="T189" s="203">
        <v>15.0</v>
      </c>
      <c r="U189" s="204" t="s">
        <v>107</v>
      </c>
      <c r="V189" s="204"/>
      <c r="W189" s="167"/>
      <c r="X189" s="168">
        <f t="shared" si="3"/>
        <v>0.04826208662</v>
      </c>
      <c r="Y189" s="168">
        <f t="shared" si="4"/>
        <v>0.09173791338</v>
      </c>
      <c r="Z189" s="169">
        <f t="shared" si="159"/>
        <v>13040</v>
      </c>
    </row>
    <row r="190" ht="15.0" customHeight="1">
      <c r="A190" s="194">
        <v>36.0</v>
      </c>
      <c r="B190" s="195" t="s">
        <v>359</v>
      </c>
      <c r="C190" s="196" t="s">
        <v>360</v>
      </c>
      <c r="D190" s="196" t="s">
        <v>101</v>
      </c>
      <c r="E190" s="196"/>
      <c r="F190" s="196"/>
      <c r="G190" s="196" t="s">
        <v>103</v>
      </c>
      <c r="H190" s="197" t="s">
        <v>405</v>
      </c>
      <c r="I190" s="197" t="s">
        <v>105</v>
      </c>
      <c r="J190" s="196" t="s">
        <v>106</v>
      </c>
      <c r="K190" s="198">
        <v>411.6</v>
      </c>
      <c r="L190" s="199">
        <v>567843.0</v>
      </c>
      <c r="M190" s="198">
        <v>61.74</v>
      </c>
      <c r="N190" s="199">
        <v>85176.0</v>
      </c>
      <c r="O190" s="198">
        <v>41.86</v>
      </c>
      <c r="P190" s="199">
        <v>57750.0</v>
      </c>
      <c r="Q190" s="200">
        <f t="shared" ref="Q190:R190" si="193">M190-O190</f>
        <v>19.88</v>
      </c>
      <c r="R190" s="201">
        <f t="shared" si="193"/>
        <v>27426</v>
      </c>
      <c r="S190" s="202">
        <v>1379.6</v>
      </c>
      <c r="T190" s="203">
        <v>15.0</v>
      </c>
      <c r="U190" s="204" t="s">
        <v>107</v>
      </c>
      <c r="V190" s="204"/>
      <c r="W190" s="167"/>
      <c r="X190" s="168">
        <f t="shared" si="3"/>
        <v>0.0482985614</v>
      </c>
      <c r="Y190" s="168">
        <f t="shared" si="4"/>
        <v>0.0917014386</v>
      </c>
      <c r="Z190" s="169">
        <f t="shared" si="159"/>
        <v>52070</v>
      </c>
    </row>
    <row r="191" ht="15.0" customHeight="1">
      <c r="A191" s="194">
        <v>37.0</v>
      </c>
      <c r="B191" s="195" t="s">
        <v>359</v>
      </c>
      <c r="C191" s="196" t="s">
        <v>360</v>
      </c>
      <c r="D191" s="196" t="s">
        <v>108</v>
      </c>
      <c r="E191" s="196"/>
      <c r="F191" s="196"/>
      <c r="G191" s="196" t="s">
        <v>103</v>
      </c>
      <c r="H191" s="197" t="s">
        <v>406</v>
      </c>
      <c r="I191" s="197" t="s">
        <v>105</v>
      </c>
      <c r="J191" s="196" t="s">
        <v>106</v>
      </c>
      <c r="K191" s="198">
        <v>403.2</v>
      </c>
      <c r="L191" s="199">
        <v>558391.0</v>
      </c>
      <c r="M191" s="198">
        <v>60.48</v>
      </c>
      <c r="N191" s="199">
        <v>83758.0</v>
      </c>
      <c r="O191" s="198">
        <v>41.01</v>
      </c>
      <c r="P191" s="199">
        <v>56794.0</v>
      </c>
      <c r="Q191" s="200">
        <f t="shared" ref="Q191:R191" si="194">M191-O191</f>
        <v>19.47</v>
      </c>
      <c r="R191" s="201">
        <f t="shared" si="194"/>
        <v>26964</v>
      </c>
      <c r="S191" s="202">
        <v>1384.9</v>
      </c>
      <c r="T191" s="203">
        <v>15.0</v>
      </c>
      <c r="U191" s="204" t="s">
        <v>107</v>
      </c>
      <c r="V191" s="204"/>
      <c r="W191" s="167"/>
      <c r="X191" s="168">
        <f t="shared" si="3"/>
        <v>0.04828874391</v>
      </c>
      <c r="Y191" s="168">
        <f t="shared" si="4"/>
        <v>0.09171125609</v>
      </c>
      <c r="Z191" s="169">
        <f t="shared" si="159"/>
        <v>51210</v>
      </c>
    </row>
    <row r="192" ht="15.0" customHeight="1">
      <c r="A192" s="194">
        <v>38.0</v>
      </c>
      <c r="B192" s="195" t="s">
        <v>359</v>
      </c>
      <c r="C192" s="196" t="s">
        <v>360</v>
      </c>
      <c r="D192" s="196" t="s">
        <v>110</v>
      </c>
      <c r="E192" s="196"/>
      <c r="F192" s="196"/>
      <c r="G192" s="196" t="s">
        <v>103</v>
      </c>
      <c r="H192" s="197" t="s">
        <v>407</v>
      </c>
      <c r="I192" s="197" t="s">
        <v>105</v>
      </c>
      <c r="J192" s="196" t="s">
        <v>106</v>
      </c>
      <c r="K192" s="198">
        <v>401.2</v>
      </c>
      <c r="L192" s="199">
        <v>556063.0</v>
      </c>
      <c r="M192" s="198">
        <v>60.18</v>
      </c>
      <c r="N192" s="199">
        <v>83409.0</v>
      </c>
      <c r="O192" s="198">
        <v>40.8</v>
      </c>
      <c r="P192" s="199">
        <v>56548.0</v>
      </c>
      <c r="Q192" s="200">
        <f t="shared" ref="Q192:R192" si="195">M192-O192</f>
        <v>19.38</v>
      </c>
      <c r="R192" s="201">
        <f t="shared" si="195"/>
        <v>26861</v>
      </c>
      <c r="S192" s="202">
        <v>1386.0</v>
      </c>
      <c r="T192" s="203">
        <v>15.0</v>
      </c>
      <c r="U192" s="204" t="s">
        <v>107</v>
      </c>
      <c r="V192" s="204"/>
      <c r="W192" s="167"/>
      <c r="X192" s="168">
        <f t="shared" si="3"/>
        <v>0.04830567759</v>
      </c>
      <c r="Y192" s="168">
        <f t="shared" si="4"/>
        <v>0.09169432241</v>
      </c>
      <c r="Z192" s="169">
        <f t="shared" si="159"/>
        <v>50990</v>
      </c>
    </row>
    <row r="193" ht="15.0" customHeight="1">
      <c r="A193" s="194">
        <v>39.0</v>
      </c>
      <c r="B193" s="195" t="s">
        <v>359</v>
      </c>
      <c r="C193" s="196" t="s">
        <v>360</v>
      </c>
      <c r="D193" s="196" t="s">
        <v>112</v>
      </c>
      <c r="E193" s="196"/>
      <c r="F193" s="196"/>
      <c r="G193" s="196" t="s">
        <v>103</v>
      </c>
      <c r="H193" s="197" t="s">
        <v>408</v>
      </c>
      <c r="I193" s="197" t="s">
        <v>105</v>
      </c>
      <c r="J193" s="196" t="s">
        <v>106</v>
      </c>
      <c r="K193" s="198">
        <v>402.4</v>
      </c>
      <c r="L193" s="199">
        <v>556197.0</v>
      </c>
      <c r="M193" s="198">
        <v>60.36</v>
      </c>
      <c r="N193" s="199">
        <v>83429.0</v>
      </c>
      <c r="O193" s="198">
        <v>40.93</v>
      </c>
      <c r="P193" s="199">
        <v>56573.0</v>
      </c>
      <c r="Q193" s="200">
        <f t="shared" ref="Q193:R193" si="196">M193-O193</f>
        <v>19.43</v>
      </c>
      <c r="R193" s="201">
        <f t="shared" si="196"/>
        <v>26856</v>
      </c>
      <c r="S193" s="202">
        <v>1382.2</v>
      </c>
      <c r="T193" s="203">
        <v>15.0</v>
      </c>
      <c r="U193" s="204" t="s">
        <v>107</v>
      </c>
      <c r="V193" s="204"/>
      <c r="W193" s="167"/>
      <c r="X193" s="168">
        <f t="shared" si="3"/>
        <v>0.04828505008</v>
      </c>
      <c r="Y193" s="168">
        <f t="shared" si="4"/>
        <v>0.09171494992</v>
      </c>
      <c r="Z193" s="169">
        <f t="shared" si="159"/>
        <v>51010</v>
      </c>
    </row>
    <row r="194" ht="15.0" customHeight="1">
      <c r="A194" s="194">
        <v>40.0</v>
      </c>
      <c r="B194" s="195" t="s">
        <v>359</v>
      </c>
      <c r="C194" s="196" t="s">
        <v>360</v>
      </c>
      <c r="D194" s="196" t="s">
        <v>245</v>
      </c>
      <c r="E194" s="196"/>
      <c r="F194" s="196"/>
      <c r="G194" s="196" t="s">
        <v>103</v>
      </c>
      <c r="H194" s="197" t="s">
        <v>409</v>
      </c>
      <c r="I194" s="197" t="s">
        <v>105</v>
      </c>
      <c r="J194" s="196" t="s">
        <v>106</v>
      </c>
      <c r="K194" s="198">
        <v>100.0</v>
      </c>
      <c r="L194" s="199">
        <v>138630.0</v>
      </c>
      <c r="M194" s="198">
        <v>15.0</v>
      </c>
      <c r="N194" s="199">
        <v>20794.0</v>
      </c>
      <c r="O194" s="198">
        <v>10.17</v>
      </c>
      <c r="P194" s="199">
        <v>14098.0</v>
      </c>
      <c r="Q194" s="200">
        <f t="shared" ref="Q194:R194" si="197">M194-O194</f>
        <v>4.83</v>
      </c>
      <c r="R194" s="201">
        <f t="shared" si="197"/>
        <v>6696</v>
      </c>
      <c r="S194" s="202">
        <v>1386.3</v>
      </c>
      <c r="T194" s="203">
        <v>15.0</v>
      </c>
      <c r="U194" s="204" t="s">
        <v>107</v>
      </c>
      <c r="V194" s="204"/>
      <c r="W194" s="167"/>
      <c r="X194" s="168">
        <f t="shared" si="3"/>
        <v>0.0483012335</v>
      </c>
      <c r="Y194" s="168">
        <f t="shared" si="4"/>
        <v>0.0916987665</v>
      </c>
      <c r="Z194" s="169">
        <f t="shared" si="159"/>
        <v>12710</v>
      </c>
    </row>
    <row r="195" ht="15.0" customHeight="1">
      <c r="A195" s="194">
        <v>41.0</v>
      </c>
      <c r="B195" s="195" t="s">
        <v>359</v>
      </c>
      <c r="C195" s="196" t="s">
        <v>360</v>
      </c>
      <c r="D195" s="196" t="s">
        <v>247</v>
      </c>
      <c r="E195" s="196"/>
      <c r="F195" s="196"/>
      <c r="G195" s="196" t="s">
        <v>103</v>
      </c>
      <c r="H195" s="197" t="s">
        <v>410</v>
      </c>
      <c r="I195" s="197" t="s">
        <v>105</v>
      </c>
      <c r="J195" s="196" t="s">
        <v>106</v>
      </c>
      <c r="K195" s="198">
        <v>94.9</v>
      </c>
      <c r="L195" s="199">
        <v>131692.0</v>
      </c>
      <c r="M195" s="198">
        <v>14.23</v>
      </c>
      <c r="N195" s="199">
        <v>19746.0</v>
      </c>
      <c r="O195" s="198">
        <v>9.65</v>
      </c>
      <c r="P195" s="199">
        <v>13391.0</v>
      </c>
      <c r="Q195" s="200">
        <f t="shared" ref="Q195:R195" si="198">M195-O195</f>
        <v>4.58</v>
      </c>
      <c r="R195" s="201">
        <f t="shared" si="198"/>
        <v>6355</v>
      </c>
      <c r="S195" s="202">
        <v>1387.7</v>
      </c>
      <c r="T195" s="203">
        <v>15.0</v>
      </c>
      <c r="U195" s="204" t="s">
        <v>107</v>
      </c>
      <c r="V195" s="204"/>
      <c r="W195" s="167"/>
      <c r="X195" s="168">
        <f t="shared" si="3"/>
        <v>0.04825653798</v>
      </c>
      <c r="Y195" s="168">
        <f t="shared" si="4"/>
        <v>0.09174346202</v>
      </c>
      <c r="Z195" s="169">
        <f t="shared" si="159"/>
        <v>12080</v>
      </c>
    </row>
    <row r="196" ht="15.0" customHeight="1">
      <c r="A196" s="194">
        <v>42.0</v>
      </c>
      <c r="B196" s="195" t="s">
        <v>359</v>
      </c>
      <c r="C196" s="196" t="s">
        <v>360</v>
      </c>
      <c r="D196" s="196" t="s">
        <v>114</v>
      </c>
      <c r="E196" s="196"/>
      <c r="F196" s="196"/>
      <c r="G196" s="196" t="s">
        <v>116</v>
      </c>
      <c r="H196" s="197" t="s">
        <v>411</v>
      </c>
      <c r="I196" s="197" t="s">
        <v>105</v>
      </c>
      <c r="J196" s="196" t="s">
        <v>106</v>
      </c>
      <c r="K196" s="198">
        <v>602.78</v>
      </c>
      <c r="L196" s="199">
        <v>838949.0</v>
      </c>
      <c r="M196" s="198">
        <v>90.42</v>
      </c>
      <c r="N196" s="199">
        <v>125846.0</v>
      </c>
      <c r="O196" s="198">
        <v>3.46</v>
      </c>
      <c r="P196" s="199">
        <v>4815.0</v>
      </c>
      <c r="Q196" s="200">
        <f t="shared" ref="Q196:R196" si="199">M196-O196</f>
        <v>86.96</v>
      </c>
      <c r="R196" s="201">
        <f t="shared" si="199"/>
        <v>121031</v>
      </c>
      <c r="S196" s="202">
        <v>1391.8</v>
      </c>
      <c r="T196" s="203">
        <v>15.0</v>
      </c>
      <c r="U196" s="204" t="s">
        <v>107</v>
      </c>
      <c r="V196" s="204"/>
      <c r="W196" s="167"/>
      <c r="X196" s="168">
        <f t="shared" si="3"/>
        <v>0.1442650268</v>
      </c>
      <c r="Y196" s="168">
        <f t="shared" si="4"/>
        <v>0</v>
      </c>
      <c r="Z196" s="169">
        <f t="shared" si="159"/>
        <v>0</v>
      </c>
    </row>
    <row r="197" ht="15.0" customHeight="1">
      <c r="A197" s="194">
        <v>43.0</v>
      </c>
      <c r="B197" s="195" t="s">
        <v>359</v>
      </c>
      <c r="C197" s="196" t="s">
        <v>360</v>
      </c>
      <c r="D197" s="196" t="s">
        <v>114</v>
      </c>
      <c r="E197" s="196"/>
      <c r="F197" s="196"/>
      <c r="G197" s="196" t="s">
        <v>103</v>
      </c>
      <c r="H197" s="197" t="s">
        <v>412</v>
      </c>
      <c r="I197" s="197" t="s">
        <v>105</v>
      </c>
      <c r="J197" s="196" t="s">
        <v>106</v>
      </c>
      <c r="K197" s="198">
        <v>90.0</v>
      </c>
      <c r="L197" s="199">
        <v>125262.0</v>
      </c>
      <c r="M197" s="198">
        <v>13.5</v>
      </c>
      <c r="N197" s="199">
        <v>18789.0</v>
      </c>
      <c r="O197" s="198">
        <v>9.15</v>
      </c>
      <c r="P197" s="199">
        <v>12734.0</v>
      </c>
      <c r="Q197" s="200">
        <f t="shared" ref="Q197:R197" si="200">M197-O197</f>
        <v>4.35</v>
      </c>
      <c r="R197" s="201">
        <f t="shared" si="200"/>
        <v>6055</v>
      </c>
      <c r="S197" s="202">
        <v>1391.8</v>
      </c>
      <c r="T197" s="203">
        <v>15.0</v>
      </c>
      <c r="U197" s="204" t="s">
        <v>107</v>
      </c>
      <c r="V197" s="204"/>
      <c r="W197" s="167"/>
      <c r="X197" s="168">
        <f t="shared" si="3"/>
        <v>0.04833868212</v>
      </c>
      <c r="Y197" s="168">
        <f t="shared" si="4"/>
        <v>0.09166131788</v>
      </c>
      <c r="Z197" s="169">
        <f t="shared" si="159"/>
        <v>11480</v>
      </c>
    </row>
    <row r="198" ht="15.0" customHeight="1">
      <c r="A198" s="194">
        <v>44.0</v>
      </c>
      <c r="B198" s="195" t="s">
        <v>359</v>
      </c>
      <c r="C198" s="196" t="s">
        <v>360</v>
      </c>
      <c r="D198" s="196" t="s">
        <v>413</v>
      </c>
      <c r="E198" s="196"/>
      <c r="F198" s="196"/>
      <c r="G198" s="196" t="s">
        <v>103</v>
      </c>
      <c r="H198" s="197" t="s">
        <v>414</v>
      </c>
      <c r="I198" s="197" t="s">
        <v>105</v>
      </c>
      <c r="J198" s="196" t="s">
        <v>106</v>
      </c>
      <c r="K198" s="198">
        <v>92.8</v>
      </c>
      <c r="L198" s="199">
        <v>128945.0</v>
      </c>
      <c r="M198" s="198">
        <v>13.92</v>
      </c>
      <c r="N198" s="199">
        <v>19341.0</v>
      </c>
      <c r="O198" s="198">
        <v>9.44</v>
      </c>
      <c r="P198" s="199">
        <v>13116.0</v>
      </c>
      <c r="Q198" s="200">
        <f t="shared" ref="Q198:R198" si="201">M198-O198</f>
        <v>4.48</v>
      </c>
      <c r="R198" s="201">
        <f t="shared" si="201"/>
        <v>6225</v>
      </c>
      <c r="S198" s="202">
        <v>1389.5</v>
      </c>
      <c r="T198" s="203">
        <v>15.0</v>
      </c>
      <c r="U198" s="204" t="s">
        <v>107</v>
      </c>
      <c r="V198" s="204"/>
      <c r="W198" s="167"/>
      <c r="X198" s="168">
        <f t="shared" si="3"/>
        <v>0.04827639691</v>
      </c>
      <c r="Y198" s="168">
        <f t="shared" si="4"/>
        <v>0.09172360309</v>
      </c>
      <c r="Z198" s="169">
        <f t="shared" si="159"/>
        <v>11830</v>
      </c>
    </row>
    <row r="199" ht="15.0" customHeight="1">
      <c r="A199" s="194">
        <v>45.0</v>
      </c>
      <c r="B199" s="195" t="s">
        <v>359</v>
      </c>
      <c r="C199" s="196" t="s">
        <v>360</v>
      </c>
      <c r="D199" s="196" t="s">
        <v>256</v>
      </c>
      <c r="E199" s="196"/>
      <c r="F199" s="196"/>
      <c r="G199" s="196" t="s">
        <v>103</v>
      </c>
      <c r="H199" s="197" t="s">
        <v>415</v>
      </c>
      <c r="I199" s="197" t="s">
        <v>105</v>
      </c>
      <c r="J199" s="196" t="s">
        <v>106</v>
      </c>
      <c r="K199" s="198">
        <v>92.6</v>
      </c>
      <c r="L199" s="199">
        <v>128213.0</v>
      </c>
      <c r="M199" s="198">
        <v>13.89</v>
      </c>
      <c r="N199" s="199">
        <v>19232.0</v>
      </c>
      <c r="O199" s="198">
        <v>9.42</v>
      </c>
      <c r="P199" s="199">
        <v>13042.0</v>
      </c>
      <c r="Q199" s="200">
        <f t="shared" ref="Q199:R199" si="202">M199-O199</f>
        <v>4.47</v>
      </c>
      <c r="R199" s="201">
        <f t="shared" si="202"/>
        <v>6190</v>
      </c>
      <c r="S199" s="202">
        <v>1384.6</v>
      </c>
      <c r="T199" s="203">
        <v>15.0</v>
      </c>
      <c r="U199" s="204" t="s">
        <v>107</v>
      </c>
      <c r="V199" s="204"/>
      <c r="W199" s="167"/>
      <c r="X199" s="168">
        <f t="shared" si="3"/>
        <v>0.04827903567</v>
      </c>
      <c r="Y199" s="168">
        <f t="shared" si="4"/>
        <v>0.09172096433</v>
      </c>
      <c r="Z199" s="169">
        <f t="shared" si="159"/>
        <v>11760</v>
      </c>
    </row>
    <row r="200" ht="15.0" customHeight="1">
      <c r="A200" s="194">
        <v>46.0</v>
      </c>
      <c r="B200" s="195" t="s">
        <v>359</v>
      </c>
      <c r="C200" s="196" t="s">
        <v>360</v>
      </c>
      <c r="D200" s="196" t="s">
        <v>258</v>
      </c>
      <c r="E200" s="196"/>
      <c r="F200" s="196"/>
      <c r="G200" s="196" t="s">
        <v>103</v>
      </c>
      <c r="H200" s="197" t="s">
        <v>416</v>
      </c>
      <c r="I200" s="197" t="s">
        <v>105</v>
      </c>
      <c r="J200" s="196" t="s">
        <v>106</v>
      </c>
      <c r="K200" s="198">
        <v>92.1</v>
      </c>
      <c r="L200" s="199">
        <v>130008.0</v>
      </c>
      <c r="M200" s="198">
        <v>13.81</v>
      </c>
      <c r="N200" s="199">
        <v>19494.0</v>
      </c>
      <c r="O200" s="198">
        <v>9.36</v>
      </c>
      <c r="P200" s="199">
        <v>13212.0</v>
      </c>
      <c r="Q200" s="200">
        <f t="shared" ref="Q200:R200" si="203">M200-O200</f>
        <v>4.45</v>
      </c>
      <c r="R200" s="201">
        <f t="shared" si="203"/>
        <v>6282</v>
      </c>
      <c r="S200" s="202">
        <v>1411.6</v>
      </c>
      <c r="T200" s="203">
        <v>15.0</v>
      </c>
      <c r="U200" s="204" t="s">
        <v>107</v>
      </c>
      <c r="V200" s="204"/>
      <c r="W200" s="167"/>
      <c r="X200" s="168">
        <f t="shared" si="3"/>
        <v>0.04832010338</v>
      </c>
      <c r="Y200" s="168">
        <f t="shared" si="4"/>
        <v>0.09167989662</v>
      </c>
      <c r="Z200" s="169">
        <f t="shared" si="159"/>
        <v>11920</v>
      </c>
    </row>
    <row r="201" ht="15.0" customHeight="1">
      <c r="A201" s="194">
        <v>47.0</v>
      </c>
      <c r="B201" s="195" t="s">
        <v>359</v>
      </c>
      <c r="C201" s="196" t="s">
        <v>360</v>
      </c>
      <c r="D201" s="196" t="s">
        <v>417</v>
      </c>
      <c r="E201" s="196"/>
      <c r="F201" s="196"/>
      <c r="G201" s="196" t="s">
        <v>288</v>
      </c>
      <c r="H201" s="197" t="s">
        <v>418</v>
      </c>
      <c r="I201" s="197" t="s">
        <v>105</v>
      </c>
      <c r="J201" s="196" t="s">
        <v>106</v>
      </c>
      <c r="K201" s="198">
        <v>3.72</v>
      </c>
      <c r="L201" s="199">
        <v>5483.0</v>
      </c>
      <c r="M201" s="198">
        <v>0.56</v>
      </c>
      <c r="N201" s="199">
        <v>825.0</v>
      </c>
      <c r="O201" s="198">
        <v>0.0</v>
      </c>
      <c r="P201" s="199">
        <v>0.0</v>
      </c>
      <c r="Q201" s="200">
        <f t="shared" ref="Q201:R201" si="204">M201-O201</f>
        <v>0.56</v>
      </c>
      <c r="R201" s="201">
        <f t="shared" si="204"/>
        <v>825</v>
      </c>
      <c r="S201" s="202">
        <v>1474.1</v>
      </c>
      <c r="T201" s="203">
        <v>15.0</v>
      </c>
      <c r="U201" s="204" t="s">
        <v>107</v>
      </c>
      <c r="V201" s="204"/>
      <c r="W201" s="205"/>
      <c r="X201" s="168">
        <f t="shared" si="3"/>
        <v>0.1504650739</v>
      </c>
      <c r="Y201" s="168">
        <f t="shared" si="4"/>
        <v>0</v>
      </c>
      <c r="Z201" s="169">
        <f t="shared" si="159"/>
        <v>0</v>
      </c>
    </row>
    <row r="202" ht="15.75" customHeight="1">
      <c r="A202" s="206" t="s">
        <v>419</v>
      </c>
      <c r="B202" s="207"/>
      <c r="C202" s="208"/>
      <c r="D202" s="208"/>
      <c r="E202" s="208"/>
      <c r="F202" s="208"/>
      <c r="G202" s="208"/>
      <c r="H202" s="208"/>
      <c r="I202" s="208"/>
      <c r="J202" s="208"/>
      <c r="K202" s="209">
        <f>SUMIF(B3:B201,"삼성증권",K3:K201)</f>
        <v>245.75</v>
      </c>
      <c r="L202" s="210">
        <f>SUMIF(B3:B201,"삼성증권",L3:L201)</f>
        <v>340941</v>
      </c>
      <c r="M202" s="209">
        <f>SUMIF(B3:B201,"삼성증권",M3:M201)</f>
        <v>36.87</v>
      </c>
      <c r="N202" s="210">
        <f>SUMIF(B3:B201,"삼성증권",N3:N201)</f>
        <v>51149</v>
      </c>
      <c r="O202" s="209">
        <f>SUMIF(B3:B201,"삼성증권",O3:O201)</f>
        <v>14.84</v>
      </c>
      <c r="P202" s="210">
        <f>SUMIF(B3:B201,"삼성증권",P3:P201)</f>
        <v>20540</v>
      </c>
      <c r="Q202" s="209">
        <f>SUMIF(B3:B201,"삼성증권",Q3:Q201)</f>
        <v>22.03</v>
      </c>
      <c r="R202" s="210">
        <f>SUMIF($B3:B201,"삼성증권",R3:R201)</f>
        <v>30609</v>
      </c>
      <c r="S202" s="208"/>
      <c r="T202" s="211">
        <f>IFERROR(SUMIF(B3:B201,"삼성증권",Q3:Q201)/SUMIF(B3:B201,"삼성증권",K3:K201),"")</f>
        <v>0.0896439471</v>
      </c>
      <c r="U202" s="212" t="s">
        <v>99</v>
      </c>
      <c r="V202" s="213"/>
      <c r="W202" s="214">
        <v>17730.0</v>
      </c>
      <c r="X202" s="215"/>
      <c r="Y202" s="216"/>
      <c r="Z202" s="210">
        <f>SUMIF($B3:J201,"삼성증권",Z3:Z201)</f>
        <v>17750</v>
      </c>
    </row>
    <row r="203" ht="15.75" customHeight="1">
      <c r="A203" s="217" t="s">
        <v>420</v>
      </c>
      <c r="B203" s="207"/>
      <c r="C203" s="218"/>
      <c r="D203" s="218"/>
      <c r="E203" s="218"/>
      <c r="F203" s="218"/>
      <c r="G203" s="218"/>
      <c r="H203" s="218"/>
      <c r="I203" s="218"/>
      <c r="J203" s="218"/>
      <c r="K203" s="219">
        <f>SUMIF(B3:B201,"미래에셋증권",K3:K201)</f>
        <v>24682.45</v>
      </c>
      <c r="L203" s="220">
        <f>SUMIF(B3:B201,"미래에셋증권",L3:L201)</f>
        <v>34854031</v>
      </c>
      <c r="M203" s="219">
        <f>SUMIF(B3:B201,"미래에셋증권",M3:M201)</f>
        <v>3702.55</v>
      </c>
      <c r="N203" s="220">
        <f>SUMIF(B3:B201,"미래에셋증권",N3:N201)</f>
        <v>5228538</v>
      </c>
      <c r="O203" s="219">
        <f>SUMIF(B3:B201,"미래에셋증권",O3:O201)</f>
        <v>2385.42</v>
      </c>
      <c r="P203" s="220">
        <f>SUMIF(B3:B201,"미래에셋증권",P3:P201)</f>
        <v>3356681</v>
      </c>
      <c r="Q203" s="219">
        <f>SUMIF(B3:B201,"미래에셋증권",Q3:Q201)</f>
        <v>1317.13</v>
      </c>
      <c r="R203" s="220">
        <f>SUMIF($B3:B201,"미래에셋증권",R3:R201)</f>
        <v>1871857</v>
      </c>
      <c r="S203" s="218"/>
      <c r="T203" s="221">
        <f>IFERROR(SUMIF(B3:B201,"미래에셋증권",Q3:Q201)/SUMIF(B3:B201,"미래에셋증권",K3:K201),"")</f>
        <v>0.05336301704</v>
      </c>
      <c r="U203" s="222" t="s">
        <v>118</v>
      </c>
      <c r="V203" s="223"/>
      <c r="W203" s="224">
        <v>3043700.0</v>
      </c>
      <c r="X203" s="215"/>
      <c r="Y203" s="216"/>
      <c r="Z203" s="220">
        <f>SUM(Z99:Z154)*14/15.4</f>
        <v>3039621.818</v>
      </c>
    </row>
    <row r="204" ht="15.75" customHeight="1">
      <c r="A204" s="225" t="s">
        <v>421</v>
      </c>
      <c r="B204" s="207"/>
      <c r="C204" s="226"/>
      <c r="D204" s="226"/>
      <c r="E204" s="226"/>
      <c r="F204" s="226"/>
      <c r="G204" s="226"/>
      <c r="H204" s="226"/>
      <c r="I204" s="226"/>
      <c r="J204" s="226"/>
      <c r="K204" s="227">
        <f>SUMIF(B3:B201,"토스증권",K3:K201)</f>
        <v>3083.78</v>
      </c>
      <c r="L204" s="228">
        <f>SUMIF(B3:B201,"토스증권",L3:L201)</f>
        <v>4282632</v>
      </c>
      <c r="M204" s="227">
        <f>SUMIF(B3:B201,"토스증권",M3:M201)</f>
        <v>462.57</v>
      </c>
      <c r="N204" s="228">
        <f>SUMIF(B3:B201,"토스증권",N3:N201)</f>
        <v>642376</v>
      </c>
      <c r="O204" s="227">
        <f>SUMIF(B3:B201,"토스증권",O3:O201)</f>
        <v>255.71</v>
      </c>
      <c r="P204" s="228">
        <f>SUMIF(B3:B201,"토스증권",P3:P201)</f>
        <v>354928</v>
      </c>
      <c r="Q204" s="227">
        <f>SUMIF(B3:B201,"토스증권",Q3:Q201)</f>
        <v>206.86</v>
      </c>
      <c r="R204" s="228">
        <f>SUMIF($B3:B201,"토스증권",R3:R201)</f>
        <v>287448</v>
      </c>
      <c r="S204" s="226"/>
      <c r="T204" s="229">
        <f>IFERROR(SUMIF(B3:B201,"토스증권",Q3:Q201)/SUMIF(B3:B201,"토스증권",K3:K201),"")</f>
        <v>0.06708001219</v>
      </c>
      <c r="U204" s="230" t="s">
        <v>359</v>
      </c>
      <c r="V204" s="231"/>
      <c r="W204" s="232">
        <f>306560-100-170-910-10</f>
        <v>305370</v>
      </c>
      <c r="X204" s="215"/>
      <c r="Y204" s="216"/>
      <c r="Z204" s="228">
        <f>SUMIF($B3:J201,"토스증권",Z3:Z201)</f>
        <v>316200</v>
      </c>
    </row>
    <row r="205" ht="15.75" customHeight="1">
      <c r="A205" s="233" t="s">
        <v>422</v>
      </c>
      <c r="B205" s="207"/>
      <c r="C205" s="234"/>
      <c r="D205" s="234"/>
      <c r="E205" s="234"/>
      <c r="F205" s="234"/>
      <c r="G205" s="234"/>
      <c r="H205" s="234"/>
      <c r="I205" s="234"/>
      <c r="J205" s="234"/>
      <c r="K205" s="235">
        <f t="shared" ref="K205:R205" si="205">SUM(K3:K201)</f>
        <v>28011.98</v>
      </c>
      <c r="L205" s="236">
        <f t="shared" si="205"/>
        <v>39477604</v>
      </c>
      <c r="M205" s="235">
        <f t="shared" si="205"/>
        <v>4201.99</v>
      </c>
      <c r="N205" s="236">
        <f t="shared" si="205"/>
        <v>5922063</v>
      </c>
      <c r="O205" s="235">
        <f t="shared" si="205"/>
        <v>2655.97</v>
      </c>
      <c r="P205" s="236">
        <f t="shared" si="205"/>
        <v>3732149</v>
      </c>
      <c r="Q205" s="235">
        <f t="shared" si="205"/>
        <v>1546.02</v>
      </c>
      <c r="R205" s="236">
        <f t="shared" si="205"/>
        <v>2189914</v>
      </c>
      <c r="S205" s="234"/>
      <c r="T205" s="237">
        <f>IFERROR(SUM(Q3:Q201)/SUM(K3:K201),"")</f>
        <v>0.05519138597</v>
      </c>
      <c r="U205" s="238" t="s">
        <v>423</v>
      </c>
      <c r="V205" s="239"/>
      <c r="W205" s="240">
        <f>SUM(W202:W204)</f>
        <v>3366800</v>
      </c>
      <c r="X205" s="215"/>
      <c r="Y205" s="216"/>
      <c r="Z205" s="236">
        <f>SUM(Z202:Z204)</f>
        <v>3373571.818</v>
      </c>
    </row>
    <row r="206" ht="15.75" customHeight="1">
      <c r="K206" s="241">
        <f>O206+Q206</f>
        <v>28013.27</v>
      </c>
      <c r="O206" s="241">
        <f>round(O205/0.15,2)</f>
        <v>17706.47</v>
      </c>
      <c r="Q206" s="241">
        <f>round(Q205/0.15,2)</f>
        <v>10306.8</v>
      </c>
      <c r="W206" s="150"/>
      <c r="X206" s="151"/>
      <c r="Y206" s="151"/>
      <c r="Z206" s="151"/>
    </row>
    <row r="207" ht="15.75" customHeight="1">
      <c r="K207" s="241">
        <f>K206-K205</f>
        <v>1.29</v>
      </c>
      <c r="W207" s="150"/>
      <c r="X207" s="151"/>
      <c r="Y207" s="151"/>
      <c r="Z207" s="151"/>
    </row>
    <row r="208" ht="15.75" customHeight="1">
      <c r="W208" s="150"/>
      <c r="X208" s="151"/>
      <c r="Y208" s="151"/>
      <c r="Z208" s="151"/>
    </row>
    <row r="209" ht="15.75" customHeight="1">
      <c r="W209" s="150"/>
      <c r="X209" s="151"/>
      <c r="Y209" s="151"/>
      <c r="Z209" s="151"/>
    </row>
    <row r="210" ht="15.75" customHeight="1">
      <c r="W210" s="150"/>
      <c r="X210" s="151"/>
      <c r="Y210" s="151"/>
      <c r="Z210" s="151"/>
    </row>
    <row r="211" ht="15.75" customHeight="1">
      <c r="W211" s="150"/>
      <c r="X211" s="151"/>
      <c r="Y211" s="151"/>
      <c r="Z211" s="151"/>
    </row>
    <row r="212" ht="15.75" customHeight="1">
      <c r="W212" s="150"/>
      <c r="X212" s="151"/>
      <c r="Y212" s="151"/>
      <c r="Z212" s="151"/>
    </row>
    <row r="213" ht="15.75" customHeight="1">
      <c r="W213" s="150"/>
      <c r="X213" s="151"/>
      <c r="Y213" s="151"/>
      <c r="Z213" s="151"/>
    </row>
    <row r="214" ht="15.75" customHeight="1">
      <c r="W214" s="150"/>
      <c r="X214" s="151"/>
      <c r="Y214" s="151"/>
      <c r="Z214" s="151"/>
    </row>
    <row r="215" ht="15.75" customHeight="1">
      <c r="W215" s="150"/>
      <c r="X215" s="151"/>
      <c r="Y215" s="151"/>
      <c r="Z215" s="151"/>
    </row>
    <row r="216" ht="15.75" customHeight="1">
      <c r="W216" s="150"/>
      <c r="X216" s="151"/>
      <c r="Y216" s="151"/>
      <c r="Z216" s="151"/>
    </row>
    <row r="217" ht="15.75" customHeight="1">
      <c r="W217" s="150"/>
      <c r="X217" s="151"/>
      <c r="Y217" s="151"/>
      <c r="Z217" s="151"/>
    </row>
    <row r="218" ht="15.75" customHeight="1">
      <c r="W218" s="150"/>
      <c r="X218" s="151"/>
      <c r="Y218" s="151"/>
      <c r="Z218" s="151"/>
    </row>
    <row r="219" ht="15.75" customHeight="1">
      <c r="W219" s="150"/>
      <c r="X219" s="151"/>
      <c r="Y219" s="151"/>
      <c r="Z219" s="151"/>
    </row>
    <row r="220" ht="15.75" customHeight="1">
      <c r="W220" s="150"/>
      <c r="X220" s="151"/>
      <c r="Y220" s="151"/>
      <c r="Z220" s="151"/>
    </row>
    <row r="221" ht="15.75" customHeight="1">
      <c r="W221" s="150"/>
      <c r="X221" s="151"/>
      <c r="Y221" s="151"/>
      <c r="Z221" s="151"/>
    </row>
    <row r="222" ht="15.75" customHeight="1">
      <c r="W222" s="150"/>
      <c r="X222" s="151"/>
      <c r="Y222" s="151"/>
      <c r="Z222" s="151"/>
    </row>
    <row r="223" ht="15.75" customHeight="1">
      <c r="W223" s="150"/>
      <c r="X223" s="151"/>
      <c r="Y223" s="151"/>
      <c r="Z223" s="151"/>
    </row>
    <row r="224" ht="15.75" customHeight="1">
      <c r="W224" s="150"/>
      <c r="X224" s="151"/>
      <c r="Y224" s="151"/>
      <c r="Z224" s="151"/>
    </row>
    <row r="225" ht="15.75" customHeight="1">
      <c r="W225" s="150"/>
      <c r="X225" s="151"/>
      <c r="Y225" s="151"/>
      <c r="Z225" s="151"/>
    </row>
    <row r="226" ht="15.75" customHeight="1">
      <c r="W226" s="150"/>
      <c r="X226" s="151"/>
      <c r="Y226" s="151"/>
      <c r="Z226" s="151"/>
    </row>
    <row r="227" ht="15.75" customHeight="1">
      <c r="W227" s="150"/>
      <c r="X227" s="151"/>
      <c r="Y227" s="151"/>
      <c r="Z227" s="151"/>
    </row>
    <row r="228" ht="15.75" customHeight="1">
      <c r="W228" s="150"/>
      <c r="X228" s="151"/>
      <c r="Y228" s="151"/>
      <c r="Z228" s="151"/>
    </row>
    <row r="229" ht="15.75" customHeight="1">
      <c r="W229" s="150"/>
      <c r="X229" s="151"/>
      <c r="Y229" s="151"/>
      <c r="Z229" s="151"/>
    </row>
    <row r="230" ht="15.75" customHeight="1">
      <c r="W230" s="150"/>
      <c r="X230" s="151"/>
      <c r="Y230" s="151"/>
      <c r="Z230" s="151"/>
    </row>
    <row r="231" ht="15.75" customHeight="1">
      <c r="W231" s="150"/>
      <c r="X231" s="151"/>
      <c r="Y231" s="151"/>
      <c r="Z231" s="151"/>
    </row>
    <row r="232" ht="15.75" customHeight="1">
      <c r="W232" s="150"/>
      <c r="X232" s="151"/>
      <c r="Y232" s="151"/>
      <c r="Z232" s="151"/>
    </row>
    <row r="233" ht="15.75" customHeight="1">
      <c r="W233" s="150"/>
      <c r="X233" s="151"/>
      <c r="Y233" s="151"/>
      <c r="Z233" s="151"/>
    </row>
    <row r="234" ht="15.75" customHeight="1">
      <c r="W234" s="150"/>
      <c r="X234" s="151"/>
      <c r="Y234" s="151"/>
      <c r="Z234" s="151"/>
    </row>
    <row r="235" ht="15.75" customHeight="1">
      <c r="W235" s="150"/>
      <c r="X235" s="151"/>
      <c r="Y235" s="151"/>
      <c r="Z235" s="151"/>
    </row>
    <row r="236" ht="15.75" customHeight="1">
      <c r="W236" s="150"/>
      <c r="X236" s="151"/>
      <c r="Y236" s="151"/>
      <c r="Z236" s="151"/>
    </row>
    <row r="237" ht="15.75" customHeight="1">
      <c r="W237" s="150"/>
      <c r="X237" s="151"/>
      <c r="Y237" s="151"/>
      <c r="Z237" s="151"/>
    </row>
    <row r="238" ht="15.75" customHeight="1">
      <c r="W238" s="150"/>
      <c r="X238" s="151"/>
      <c r="Y238" s="151"/>
      <c r="Z238" s="151"/>
    </row>
    <row r="239" ht="15.75" customHeight="1">
      <c r="W239" s="150"/>
      <c r="X239" s="151"/>
      <c r="Y239" s="151"/>
      <c r="Z239" s="151"/>
    </row>
    <row r="240" ht="15.75" customHeight="1">
      <c r="W240" s="150"/>
      <c r="X240" s="151"/>
      <c r="Y240" s="151"/>
      <c r="Z240" s="151"/>
    </row>
    <row r="241" ht="15.75" customHeight="1">
      <c r="W241" s="150"/>
      <c r="X241" s="151"/>
      <c r="Y241" s="151"/>
      <c r="Z241" s="151"/>
    </row>
    <row r="242" ht="15.75" customHeight="1">
      <c r="W242" s="150"/>
      <c r="X242" s="151"/>
      <c r="Y242" s="151"/>
      <c r="Z242" s="151"/>
    </row>
    <row r="243" ht="15.75" customHeight="1">
      <c r="W243" s="150"/>
      <c r="X243" s="151"/>
      <c r="Y243" s="151"/>
      <c r="Z243" s="151"/>
    </row>
    <row r="244" ht="15.75" customHeight="1">
      <c r="W244" s="150"/>
      <c r="X244" s="151"/>
      <c r="Y244" s="151"/>
      <c r="Z244" s="151"/>
    </row>
    <row r="245" ht="15.75" customHeight="1">
      <c r="W245" s="150"/>
      <c r="X245" s="151"/>
      <c r="Y245" s="151"/>
      <c r="Z245" s="151"/>
    </row>
    <row r="246" ht="15.75" customHeight="1">
      <c r="W246" s="150"/>
      <c r="X246" s="151"/>
      <c r="Y246" s="151"/>
      <c r="Z246" s="151"/>
    </row>
    <row r="247" ht="15.75" customHeight="1">
      <c r="W247" s="150"/>
      <c r="X247" s="151"/>
      <c r="Y247" s="151"/>
      <c r="Z247" s="151"/>
    </row>
    <row r="248" ht="15.75" customHeight="1">
      <c r="W248" s="150"/>
      <c r="X248" s="151"/>
      <c r="Y248" s="151"/>
      <c r="Z248" s="151"/>
    </row>
    <row r="249" ht="15.75" customHeight="1">
      <c r="W249" s="150"/>
      <c r="X249" s="151"/>
      <c r="Y249" s="151"/>
      <c r="Z249" s="151"/>
    </row>
    <row r="250" ht="15.75" customHeight="1">
      <c r="W250" s="150"/>
      <c r="X250" s="151"/>
      <c r="Y250" s="151"/>
      <c r="Z250" s="151"/>
    </row>
    <row r="251" ht="15.75" customHeight="1">
      <c r="W251" s="150"/>
      <c r="X251" s="151"/>
      <c r="Y251" s="151"/>
      <c r="Z251" s="151"/>
    </row>
    <row r="252" ht="15.75" customHeight="1">
      <c r="W252" s="150"/>
      <c r="X252" s="151"/>
      <c r="Y252" s="151"/>
      <c r="Z252" s="151"/>
    </row>
    <row r="253" ht="15.75" customHeight="1">
      <c r="W253" s="150"/>
      <c r="X253" s="151"/>
      <c r="Y253" s="151"/>
      <c r="Z253" s="151"/>
    </row>
    <row r="254" ht="15.75" customHeight="1">
      <c r="W254" s="150"/>
      <c r="X254" s="151"/>
      <c r="Y254" s="151"/>
      <c r="Z254" s="151"/>
    </row>
    <row r="255" ht="15.75" customHeight="1">
      <c r="W255" s="150"/>
      <c r="X255" s="151"/>
      <c r="Y255" s="151"/>
      <c r="Z255" s="151"/>
    </row>
    <row r="256" ht="15.75" customHeight="1">
      <c r="W256" s="150"/>
      <c r="X256" s="151"/>
      <c r="Y256" s="151"/>
      <c r="Z256" s="151"/>
    </row>
    <row r="257" ht="15.75" customHeight="1">
      <c r="W257" s="150"/>
      <c r="X257" s="151"/>
      <c r="Y257" s="151"/>
      <c r="Z257" s="151"/>
    </row>
    <row r="258" ht="15.75" customHeight="1">
      <c r="W258" s="150"/>
      <c r="X258" s="151"/>
      <c r="Y258" s="151"/>
      <c r="Z258" s="151"/>
    </row>
    <row r="259" ht="15.75" customHeight="1">
      <c r="W259" s="150"/>
      <c r="X259" s="151"/>
      <c r="Y259" s="151"/>
      <c r="Z259" s="151"/>
    </row>
    <row r="260" ht="15.75" customHeight="1">
      <c r="W260" s="150"/>
      <c r="X260" s="151"/>
      <c r="Y260" s="151"/>
      <c r="Z260" s="151"/>
    </row>
    <row r="261" ht="15.75" customHeight="1">
      <c r="W261" s="150"/>
      <c r="X261" s="151"/>
      <c r="Y261" s="151"/>
      <c r="Z261" s="151"/>
    </row>
    <row r="262" ht="15.75" customHeight="1">
      <c r="W262" s="150"/>
      <c r="X262" s="151"/>
      <c r="Y262" s="151"/>
      <c r="Z262" s="151"/>
    </row>
    <row r="263" ht="15.75" customHeight="1">
      <c r="W263" s="150"/>
      <c r="X263" s="151"/>
      <c r="Y263" s="151"/>
      <c r="Z263" s="151"/>
    </row>
    <row r="264" ht="15.75" customHeight="1">
      <c r="W264" s="150"/>
      <c r="X264" s="151"/>
      <c r="Y264" s="151"/>
      <c r="Z264" s="151"/>
    </row>
    <row r="265" ht="15.75" customHeight="1">
      <c r="W265" s="150"/>
      <c r="X265" s="151"/>
      <c r="Y265" s="151"/>
      <c r="Z265" s="151"/>
    </row>
    <row r="266" ht="15.75" customHeight="1">
      <c r="W266" s="150"/>
      <c r="X266" s="151"/>
      <c r="Y266" s="151"/>
      <c r="Z266" s="151"/>
    </row>
    <row r="267" ht="15.75" customHeight="1">
      <c r="W267" s="150"/>
      <c r="X267" s="151"/>
      <c r="Y267" s="151"/>
      <c r="Z267" s="151"/>
    </row>
    <row r="268" ht="15.75" customHeight="1">
      <c r="W268" s="150"/>
      <c r="X268" s="151"/>
      <c r="Y268" s="151"/>
      <c r="Z268" s="151"/>
    </row>
    <row r="269" ht="15.75" customHeight="1">
      <c r="W269" s="150"/>
      <c r="X269" s="151"/>
      <c r="Y269" s="151"/>
      <c r="Z269" s="151"/>
    </row>
    <row r="270" ht="15.75" customHeight="1">
      <c r="W270" s="150"/>
      <c r="X270" s="151"/>
      <c r="Y270" s="151"/>
      <c r="Z270" s="151"/>
    </row>
    <row r="271" ht="15.75" customHeight="1">
      <c r="W271" s="150"/>
      <c r="X271" s="151"/>
      <c r="Y271" s="151"/>
      <c r="Z271" s="151"/>
    </row>
    <row r="272" ht="15.75" customHeight="1">
      <c r="W272" s="150"/>
      <c r="X272" s="151"/>
      <c r="Y272" s="151"/>
      <c r="Z272" s="151"/>
    </row>
    <row r="273" ht="15.75" customHeight="1">
      <c r="W273" s="150"/>
      <c r="X273" s="151"/>
      <c r="Y273" s="151"/>
      <c r="Z273" s="151"/>
    </row>
    <row r="274" ht="15.75" customHeight="1">
      <c r="W274" s="150"/>
      <c r="X274" s="151"/>
      <c r="Y274" s="151"/>
      <c r="Z274" s="151"/>
    </row>
    <row r="275" ht="15.75" customHeight="1">
      <c r="W275" s="150"/>
      <c r="X275" s="151"/>
      <c r="Y275" s="151"/>
      <c r="Z275" s="151"/>
    </row>
    <row r="276" ht="15.75" customHeight="1">
      <c r="W276" s="150"/>
      <c r="X276" s="151"/>
      <c r="Y276" s="151"/>
      <c r="Z276" s="151"/>
    </row>
    <row r="277" ht="15.75" customHeight="1">
      <c r="W277" s="150"/>
      <c r="X277" s="151"/>
      <c r="Y277" s="151"/>
      <c r="Z277" s="151"/>
    </row>
    <row r="278" ht="15.75" customHeight="1">
      <c r="W278" s="150"/>
      <c r="X278" s="151"/>
      <c r="Y278" s="151"/>
      <c r="Z278" s="151"/>
    </row>
    <row r="279" ht="15.75" customHeight="1">
      <c r="W279" s="150"/>
      <c r="X279" s="151"/>
      <c r="Y279" s="151"/>
      <c r="Z279" s="151"/>
    </row>
    <row r="280" ht="15.75" customHeight="1">
      <c r="W280" s="150"/>
      <c r="X280" s="151"/>
      <c r="Y280" s="151"/>
      <c r="Z280" s="151"/>
    </row>
    <row r="281" ht="15.75" customHeight="1">
      <c r="W281" s="150"/>
      <c r="X281" s="151"/>
      <c r="Y281" s="151"/>
      <c r="Z281" s="151"/>
    </row>
    <row r="282" ht="15.75" customHeight="1">
      <c r="W282" s="150"/>
      <c r="X282" s="151"/>
      <c r="Y282" s="151"/>
      <c r="Z282" s="151"/>
    </row>
    <row r="283" ht="15.75" customHeight="1">
      <c r="W283" s="150"/>
      <c r="X283" s="151"/>
      <c r="Y283" s="151"/>
      <c r="Z283" s="151"/>
    </row>
    <row r="284" ht="15.75" customHeight="1">
      <c r="W284" s="150"/>
      <c r="X284" s="151"/>
      <c r="Y284" s="151"/>
      <c r="Z284" s="151"/>
    </row>
    <row r="285" ht="15.75" customHeight="1">
      <c r="W285" s="150"/>
      <c r="X285" s="151"/>
      <c r="Y285" s="151"/>
      <c r="Z285" s="151"/>
    </row>
    <row r="286" ht="15.75" customHeight="1">
      <c r="W286" s="150"/>
      <c r="X286" s="151"/>
      <c r="Y286" s="151"/>
      <c r="Z286" s="151"/>
    </row>
    <row r="287" ht="15.75" customHeight="1">
      <c r="W287" s="150"/>
      <c r="X287" s="151"/>
      <c r="Y287" s="151"/>
      <c r="Z287" s="151"/>
    </row>
    <row r="288" ht="15.75" customHeight="1">
      <c r="W288" s="150"/>
      <c r="X288" s="151"/>
      <c r="Y288" s="151"/>
      <c r="Z288" s="151"/>
    </row>
    <row r="289" ht="15.75" customHeight="1">
      <c r="W289" s="150"/>
      <c r="X289" s="151"/>
      <c r="Y289" s="151"/>
      <c r="Z289" s="151"/>
    </row>
    <row r="290" ht="15.75" customHeight="1">
      <c r="W290" s="150"/>
      <c r="X290" s="151"/>
      <c r="Y290" s="151"/>
      <c r="Z290" s="151"/>
    </row>
    <row r="291" ht="15.75" customHeight="1">
      <c r="W291" s="150"/>
      <c r="X291" s="151"/>
      <c r="Y291" s="151"/>
      <c r="Z291" s="151"/>
    </row>
    <row r="292" ht="15.75" customHeight="1">
      <c r="W292" s="150"/>
      <c r="X292" s="151"/>
      <c r="Y292" s="151"/>
      <c r="Z292" s="151"/>
    </row>
    <row r="293" ht="15.75" customHeight="1">
      <c r="W293" s="150"/>
      <c r="X293" s="151"/>
      <c r="Y293" s="151"/>
      <c r="Z293" s="151"/>
    </row>
    <row r="294" ht="15.75" customHeight="1">
      <c r="W294" s="150"/>
      <c r="X294" s="151"/>
      <c r="Y294" s="151"/>
      <c r="Z294" s="151"/>
    </row>
    <row r="295" ht="15.75" customHeight="1">
      <c r="W295" s="150"/>
      <c r="X295" s="151"/>
      <c r="Y295" s="151"/>
      <c r="Z295" s="151"/>
    </row>
    <row r="296" ht="15.75" customHeight="1">
      <c r="W296" s="150"/>
      <c r="X296" s="151"/>
      <c r="Y296" s="151"/>
      <c r="Z296" s="151"/>
    </row>
    <row r="297" ht="15.75" customHeight="1">
      <c r="W297" s="150"/>
      <c r="X297" s="151"/>
      <c r="Y297" s="151"/>
      <c r="Z297" s="151"/>
    </row>
    <row r="298" ht="15.75" customHeight="1">
      <c r="W298" s="150"/>
      <c r="X298" s="151"/>
      <c r="Y298" s="151"/>
      <c r="Z298" s="151"/>
    </row>
    <row r="299" ht="15.75" customHeight="1">
      <c r="W299" s="150"/>
      <c r="X299" s="151"/>
      <c r="Y299" s="151"/>
      <c r="Z299" s="151"/>
    </row>
    <row r="300" ht="15.75" customHeight="1">
      <c r="W300" s="150"/>
      <c r="X300" s="151"/>
      <c r="Y300" s="151"/>
      <c r="Z300" s="151"/>
    </row>
    <row r="301" ht="15.75" customHeight="1">
      <c r="W301" s="150"/>
      <c r="X301" s="151"/>
      <c r="Y301" s="151"/>
      <c r="Z301" s="151"/>
    </row>
    <row r="302" ht="15.75" customHeight="1">
      <c r="W302" s="150"/>
      <c r="X302" s="151"/>
      <c r="Y302" s="151"/>
      <c r="Z302" s="151"/>
    </row>
    <row r="303" ht="15.75" customHeight="1">
      <c r="W303" s="150"/>
      <c r="X303" s="151"/>
      <c r="Y303" s="151"/>
      <c r="Z303" s="151"/>
    </row>
    <row r="304" ht="15.75" customHeight="1">
      <c r="W304" s="150"/>
      <c r="X304" s="151"/>
      <c r="Y304" s="151"/>
      <c r="Z304" s="151"/>
    </row>
    <row r="305" ht="15.75" customHeight="1">
      <c r="W305" s="150"/>
      <c r="X305" s="151"/>
      <c r="Y305" s="151"/>
      <c r="Z305" s="151"/>
    </row>
    <row r="306" ht="15.75" customHeight="1">
      <c r="W306" s="150"/>
      <c r="X306" s="151"/>
      <c r="Y306" s="151"/>
      <c r="Z306" s="151"/>
    </row>
    <row r="307" ht="15.75" customHeight="1">
      <c r="W307" s="150"/>
      <c r="X307" s="151"/>
      <c r="Y307" s="151"/>
      <c r="Z307" s="151"/>
    </row>
    <row r="308" ht="15.75" customHeight="1">
      <c r="W308" s="150"/>
      <c r="X308" s="151"/>
      <c r="Y308" s="151"/>
      <c r="Z308" s="151"/>
    </row>
    <row r="309" ht="15.75" customHeight="1">
      <c r="W309" s="150"/>
      <c r="X309" s="151"/>
      <c r="Y309" s="151"/>
      <c r="Z309" s="151"/>
    </row>
    <row r="310" ht="15.75" customHeight="1">
      <c r="W310" s="150"/>
      <c r="X310" s="151"/>
      <c r="Y310" s="151"/>
      <c r="Z310" s="151"/>
    </row>
    <row r="311" ht="15.75" customHeight="1">
      <c r="W311" s="150"/>
      <c r="X311" s="151"/>
      <c r="Y311" s="151"/>
      <c r="Z311" s="151"/>
    </row>
    <row r="312" ht="15.75" customHeight="1">
      <c r="W312" s="150"/>
      <c r="X312" s="151"/>
      <c r="Y312" s="151"/>
      <c r="Z312" s="151"/>
    </row>
    <row r="313" ht="15.75" customHeight="1">
      <c r="W313" s="150"/>
      <c r="X313" s="151"/>
      <c r="Y313" s="151"/>
      <c r="Z313" s="151"/>
    </row>
    <row r="314" ht="15.75" customHeight="1">
      <c r="W314" s="150"/>
      <c r="X314" s="151"/>
      <c r="Y314" s="151"/>
      <c r="Z314" s="151"/>
    </row>
    <row r="315" ht="15.75" customHeight="1">
      <c r="W315" s="150"/>
      <c r="X315" s="151"/>
      <c r="Y315" s="151"/>
      <c r="Z315" s="151"/>
    </row>
    <row r="316" ht="15.75" customHeight="1">
      <c r="W316" s="150"/>
      <c r="X316" s="151"/>
      <c r="Y316" s="151"/>
      <c r="Z316" s="151"/>
    </row>
    <row r="317" ht="15.75" customHeight="1">
      <c r="W317" s="150"/>
      <c r="X317" s="151"/>
      <c r="Y317" s="151"/>
      <c r="Z317" s="151"/>
    </row>
    <row r="318" ht="15.75" customHeight="1">
      <c r="W318" s="150"/>
      <c r="X318" s="151"/>
      <c r="Y318" s="151"/>
      <c r="Z318" s="151"/>
    </row>
    <row r="319" ht="15.75" customHeight="1">
      <c r="W319" s="150"/>
      <c r="X319" s="151"/>
      <c r="Y319" s="151"/>
      <c r="Z319" s="151"/>
    </row>
    <row r="320" ht="15.75" customHeight="1">
      <c r="W320" s="150"/>
      <c r="X320" s="151"/>
      <c r="Y320" s="151"/>
      <c r="Z320" s="151"/>
    </row>
    <row r="321" ht="15.75" customHeight="1">
      <c r="W321" s="150"/>
      <c r="X321" s="151"/>
      <c r="Y321" s="151"/>
      <c r="Z321" s="151"/>
    </row>
    <row r="322" ht="15.75" customHeight="1">
      <c r="W322" s="150"/>
      <c r="X322" s="151"/>
      <c r="Y322" s="151"/>
      <c r="Z322" s="151"/>
    </row>
    <row r="323" ht="15.75" customHeight="1">
      <c r="W323" s="150"/>
      <c r="X323" s="151"/>
      <c r="Y323" s="151"/>
      <c r="Z323" s="151"/>
    </row>
    <row r="324" ht="15.75" customHeight="1">
      <c r="W324" s="150"/>
      <c r="X324" s="151"/>
      <c r="Y324" s="151"/>
      <c r="Z324" s="151"/>
    </row>
    <row r="325" ht="15.75" customHeight="1">
      <c r="W325" s="150"/>
      <c r="X325" s="151"/>
      <c r="Y325" s="151"/>
      <c r="Z325" s="151"/>
    </row>
    <row r="326" ht="15.75" customHeight="1">
      <c r="W326" s="150"/>
      <c r="X326" s="151"/>
      <c r="Y326" s="151"/>
      <c r="Z326" s="151"/>
    </row>
    <row r="327" ht="15.75" customHeight="1">
      <c r="W327" s="150"/>
      <c r="X327" s="151"/>
      <c r="Y327" s="151"/>
      <c r="Z327" s="151"/>
    </row>
    <row r="328" ht="15.75" customHeight="1">
      <c r="W328" s="150"/>
      <c r="X328" s="151"/>
      <c r="Y328" s="151"/>
      <c r="Z328" s="151"/>
    </row>
    <row r="329" ht="15.75" customHeight="1">
      <c r="W329" s="150"/>
      <c r="X329" s="151"/>
      <c r="Y329" s="151"/>
      <c r="Z329" s="151"/>
    </row>
    <row r="330" ht="15.75" customHeight="1">
      <c r="W330" s="150"/>
      <c r="X330" s="151"/>
      <c r="Y330" s="151"/>
      <c r="Z330" s="151"/>
    </row>
    <row r="331" ht="15.75" customHeight="1">
      <c r="W331" s="150"/>
      <c r="X331" s="151"/>
      <c r="Y331" s="151"/>
      <c r="Z331" s="151"/>
    </row>
    <row r="332" ht="15.75" customHeight="1">
      <c r="W332" s="150"/>
      <c r="X332" s="151"/>
      <c r="Y332" s="151"/>
      <c r="Z332" s="151"/>
    </row>
    <row r="333" ht="15.75" customHeight="1">
      <c r="W333" s="150"/>
      <c r="X333" s="151"/>
      <c r="Y333" s="151"/>
      <c r="Z333" s="151"/>
    </row>
    <row r="334" ht="15.75" customHeight="1">
      <c r="W334" s="150"/>
      <c r="X334" s="151"/>
      <c r="Y334" s="151"/>
      <c r="Z334" s="151"/>
    </row>
    <row r="335" ht="15.75" customHeight="1">
      <c r="W335" s="150"/>
      <c r="X335" s="151"/>
      <c r="Y335" s="151"/>
      <c r="Z335" s="151"/>
    </row>
    <row r="336" ht="15.75" customHeight="1">
      <c r="W336" s="150"/>
      <c r="X336" s="151"/>
      <c r="Y336" s="151"/>
      <c r="Z336" s="151"/>
    </row>
    <row r="337" ht="15.75" customHeight="1">
      <c r="W337" s="150"/>
      <c r="X337" s="151"/>
      <c r="Y337" s="151"/>
      <c r="Z337" s="151"/>
    </row>
    <row r="338" ht="15.75" customHeight="1">
      <c r="W338" s="150"/>
      <c r="X338" s="151"/>
      <c r="Y338" s="151"/>
      <c r="Z338" s="151"/>
    </row>
    <row r="339" ht="15.75" customHeight="1">
      <c r="W339" s="150"/>
      <c r="X339" s="151"/>
      <c r="Y339" s="151"/>
      <c r="Z339" s="151"/>
    </row>
    <row r="340" ht="15.75" customHeight="1">
      <c r="W340" s="150"/>
      <c r="X340" s="151"/>
      <c r="Y340" s="151"/>
      <c r="Z340" s="151"/>
    </row>
    <row r="341" ht="15.75" customHeight="1">
      <c r="W341" s="150"/>
      <c r="X341" s="151"/>
      <c r="Y341" s="151"/>
      <c r="Z341" s="151"/>
    </row>
    <row r="342" ht="15.75" customHeight="1">
      <c r="W342" s="150"/>
      <c r="X342" s="151"/>
      <c r="Y342" s="151"/>
      <c r="Z342" s="151"/>
    </row>
    <row r="343" ht="15.75" customHeight="1">
      <c r="W343" s="150"/>
      <c r="X343" s="151"/>
      <c r="Y343" s="151"/>
      <c r="Z343" s="151"/>
    </row>
    <row r="344" ht="15.75" customHeight="1">
      <c r="W344" s="150"/>
      <c r="X344" s="151"/>
      <c r="Y344" s="151"/>
      <c r="Z344" s="151"/>
    </row>
    <row r="345" ht="15.75" customHeight="1">
      <c r="W345" s="150"/>
      <c r="X345" s="151"/>
      <c r="Y345" s="151"/>
      <c r="Z345" s="151"/>
    </row>
    <row r="346" ht="15.75" customHeight="1">
      <c r="W346" s="150"/>
      <c r="X346" s="151"/>
      <c r="Y346" s="151"/>
      <c r="Z346" s="151"/>
    </row>
    <row r="347" ht="15.75" customHeight="1">
      <c r="W347" s="150"/>
      <c r="X347" s="151"/>
      <c r="Y347" s="151"/>
      <c r="Z347" s="151"/>
    </row>
    <row r="348" ht="15.75" customHeight="1">
      <c r="W348" s="150"/>
      <c r="X348" s="151"/>
      <c r="Y348" s="151"/>
      <c r="Z348" s="151"/>
    </row>
    <row r="349" ht="15.75" customHeight="1">
      <c r="W349" s="150"/>
      <c r="X349" s="151"/>
      <c r="Y349" s="151"/>
      <c r="Z349" s="151"/>
    </row>
    <row r="350" ht="15.75" customHeight="1">
      <c r="W350" s="150"/>
      <c r="X350" s="151"/>
      <c r="Y350" s="151"/>
      <c r="Z350" s="151"/>
    </row>
    <row r="351" ht="15.75" customHeight="1">
      <c r="W351" s="150"/>
      <c r="X351" s="151"/>
      <c r="Y351" s="151"/>
      <c r="Z351" s="151"/>
    </row>
    <row r="352" ht="15.75" customHeight="1">
      <c r="W352" s="150"/>
      <c r="X352" s="151"/>
      <c r="Y352" s="151"/>
      <c r="Z352" s="151"/>
    </row>
    <row r="353" ht="15.75" customHeight="1">
      <c r="W353" s="150"/>
      <c r="X353" s="151"/>
      <c r="Y353" s="151"/>
      <c r="Z353" s="151"/>
    </row>
    <row r="354" ht="15.75" customHeight="1">
      <c r="W354" s="150"/>
      <c r="X354" s="151"/>
      <c r="Y354" s="151"/>
      <c r="Z354" s="151"/>
    </row>
    <row r="355" ht="15.75" customHeight="1">
      <c r="W355" s="150"/>
      <c r="X355" s="151"/>
      <c r="Y355" s="151"/>
      <c r="Z355" s="151"/>
    </row>
    <row r="356" ht="15.75" customHeight="1">
      <c r="W356" s="150"/>
      <c r="X356" s="151"/>
      <c r="Y356" s="151"/>
      <c r="Z356" s="151"/>
    </row>
    <row r="357" ht="15.75" customHeight="1">
      <c r="W357" s="150"/>
      <c r="X357" s="151"/>
      <c r="Y357" s="151"/>
      <c r="Z357" s="151"/>
    </row>
    <row r="358" ht="15.75" customHeight="1">
      <c r="W358" s="150"/>
      <c r="X358" s="151"/>
      <c r="Y358" s="151"/>
      <c r="Z358" s="151"/>
    </row>
    <row r="359" ht="15.75" customHeight="1">
      <c r="W359" s="150"/>
      <c r="X359" s="151"/>
      <c r="Y359" s="151"/>
      <c r="Z359" s="151"/>
    </row>
    <row r="360" ht="15.75" customHeight="1">
      <c r="W360" s="150"/>
      <c r="X360" s="151"/>
      <c r="Y360" s="151"/>
      <c r="Z360" s="151"/>
    </row>
    <row r="361" ht="15.75" customHeight="1">
      <c r="W361" s="150"/>
      <c r="X361" s="151"/>
      <c r="Y361" s="151"/>
      <c r="Z361" s="151"/>
    </row>
    <row r="362" ht="15.75" customHeight="1">
      <c r="W362" s="150"/>
      <c r="X362" s="151"/>
      <c r="Y362" s="151"/>
      <c r="Z362" s="151"/>
    </row>
    <row r="363" ht="15.75" customHeight="1">
      <c r="W363" s="150"/>
      <c r="X363" s="151"/>
      <c r="Y363" s="151"/>
      <c r="Z363" s="151"/>
    </row>
    <row r="364" ht="15.75" customHeight="1">
      <c r="W364" s="150"/>
      <c r="X364" s="151"/>
      <c r="Y364" s="151"/>
      <c r="Z364" s="151"/>
    </row>
    <row r="365" ht="15.75" customHeight="1">
      <c r="W365" s="150"/>
      <c r="X365" s="151"/>
      <c r="Y365" s="151"/>
      <c r="Z365" s="151"/>
    </row>
    <row r="366" ht="15.75" customHeight="1">
      <c r="W366" s="150"/>
      <c r="X366" s="151"/>
      <c r="Y366" s="151"/>
      <c r="Z366" s="151"/>
    </row>
    <row r="367" ht="15.75" customHeight="1">
      <c r="W367" s="150"/>
      <c r="X367" s="151"/>
      <c r="Y367" s="151"/>
      <c r="Z367" s="151"/>
    </row>
    <row r="368" ht="15.75" customHeight="1">
      <c r="W368" s="150"/>
      <c r="X368" s="151"/>
      <c r="Y368" s="151"/>
      <c r="Z368" s="151"/>
    </row>
    <row r="369" ht="15.75" customHeight="1">
      <c r="W369" s="150"/>
      <c r="X369" s="151"/>
      <c r="Y369" s="151"/>
      <c r="Z369" s="151"/>
    </row>
    <row r="370" ht="15.75" customHeight="1">
      <c r="W370" s="150"/>
      <c r="X370" s="151"/>
      <c r="Y370" s="151"/>
      <c r="Z370" s="151"/>
    </row>
    <row r="371" ht="15.75" customHeight="1">
      <c r="W371" s="150"/>
      <c r="X371" s="151"/>
      <c r="Y371" s="151"/>
      <c r="Z371" s="151"/>
    </row>
    <row r="372" ht="15.75" customHeight="1">
      <c r="W372" s="150"/>
      <c r="X372" s="151"/>
      <c r="Y372" s="151"/>
      <c r="Z372" s="151"/>
    </row>
    <row r="373" ht="15.75" customHeight="1">
      <c r="W373" s="150"/>
      <c r="X373" s="151"/>
      <c r="Y373" s="151"/>
      <c r="Z373" s="151"/>
    </row>
    <row r="374" ht="15.75" customHeight="1">
      <c r="W374" s="150"/>
      <c r="X374" s="151"/>
      <c r="Y374" s="151"/>
      <c r="Z374" s="151"/>
    </row>
    <row r="375" ht="15.75" customHeight="1">
      <c r="W375" s="150"/>
      <c r="X375" s="151"/>
      <c r="Y375" s="151"/>
      <c r="Z375" s="151"/>
    </row>
    <row r="376" ht="15.75" customHeight="1">
      <c r="W376" s="150"/>
      <c r="X376" s="151"/>
      <c r="Y376" s="151"/>
      <c r="Z376" s="151"/>
    </row>
    <row r="377" ht="15.75" customHeight="1">
      <c r="W377" s="150"/>
      <c r="X377" s="151"/>
      <c r="Y377" s="151"/>
      <c r="Z377" s="151"/>
    </row>
    <row r="378" ht="15.75" customHeight="1">
      <c r="W378" s="150"/>
      <c r="X378" s="151"/>
      <c r="Y378" s="151"/>
      <c r="Z378" s="151"/>
    </row>
    <row r="379" ht="15.75" customHeight="1">
      <c r="W379" s="150"/>
      <c r="X379" s="151"/>
      <c r="Y379" s="151"/>
      <c r="Z379" s="151"/>
    </row>
    <row r="380" ht="15.75" customHeight="1">
      <c r="W380" s="150"/>
      <c r="X380" s="151"/>
      <c r="Y380" s="151"/>
      <c r="Z380" s="151"/>
    </row>
    <row r="381" ht="15.75" customHeight="1">
      <c r="W381" s="150"/>
      <c r="X381" s="151"/>
      <c r="Y381" s="151"/>
      <c r="Z381" s="151"/>
    </row>
    <row r="382" ht="15.75" customHeight="1">
      <c r="W382" s="150"/>
      <c r="X382" s="151"/>
      <c r="Y382" s="151"/>
      <c r="Z382" s="151"/>
    </row>
    <row r="383" ht="15.75" customHeight="1">
      <c r="W383" s="150"/>
      <c r="X383" s="151"/>
      <c r="Y383" s="151"/>
      <c r="Z383" s="151"/>
    </row>
    <row r="384" ht="15.75" customHeight="1">
      <c r="W384" s="150"/>
      <c r="X384" s="151"/>
      <c r="Y384" s="151"/>
      <c r="Z384" s="151"/>
    </row>
    <row r="385" ht="15.75" customHeight="1">
      <c r="W385" s="150"/>
      <c r="X385" s="151"/>
      <c r="Y385" s="151"/>
      <c r="Z385" s="151"/>
    </row>
    <row r="386" ht="15.75" customHeight="1">
      <c r="W386" s="150"/>
      <c r="X386" s="151"/>
      <c r="Y386" s="151"/>
      <c r="Z386" s="151"/>
    </row>
    <row r="387" ht="15.75" customHeight="1">
      <c r="W387" s="150"/>
      <c r="X387" s="151"/>
      <c r="Y387" s="151"/>
      <c r="Z387" s="151"/>
    </row>
    <row r="388" ht="15.75" customHeight="1">
      <c r="W388" s="150"/>
      <c r="X388" s="151"/>
      <c r="Y388" s="151"/>
      <c r="Z388" s="151"/>
    </row>
    <row r="389" ht="15.75" customHeight="1">
      <c r="W389" s="150"/>
      <c r="X389" s="151"/>
      <c r="Y389" s="151"/>
      <c r="Z389" s="151"/>
    </row>
    <row r="390" ht="15.75" customHeight="1">
      <c r="W390" s="150"/>
      <c r="X390" s="151"/>
      <c r="Y390" s="151"/>
      <c r="Z390" s="151"/>
    </row>
    <row r="391" ht="15.75" customHeight="1">
      <c r="W391" s="150"/>
      <c r="X391" s="151"/>
      <c r="Y391" s="151"/>
      <c r="Z391" s="151"/>
    </row>
    <row r="392" ht="15.75" customHeight="1">
      <c r="W392" s="150"/>
      <c r="X392" s="151"/>
      <c r="Y392" s="151"/>
      <c r="Z392" s="151"/>
    </row>
    <row r="393" ht="15.75" customHeight="1">
      <c r="W393" s="150"/>
      <c r="X393" s="151"/>
      <c r="Y393" s="151"/>
      <c r="Z393" s="151"/>
    </row>
    <row r="394" ht="15.75" customHeight="1">
      <c r="W394" s="150"/>
      <c r="X394" s="151"/>
      <c r="Y394" s="151"/>
      <c r="Z394" s="151"/>
    </row>
    <row r="395" ht="15.75" customHeight="1">
      <c r="W395" s="150"/>
      <c r="X395" s="151"/>
      <c r="Y395" s="151"/>
      <c r="Z395" s="151"/>
    </row>
    <row r="396" ht="15.75" customHeight="1">
      <c r="W396" s="150"/>
      <c r="X396" s="151"/>
      <c r="Y396" s="151"/>
      <c r="Z396" s="151"/>
    </row>
    <row r="397" ht="15.75" customHeight="1">
      <c r="W397" s="150"/>
      <c r="X397" s="151"/>
      <c r="Y397" s="151"/>
      <c r="Z397" s="151"/>
    </row>
    <row r="398" ht="15.75" customHeight="1">
      <c r="W398" s="150"/>
      <c r="X398" s="151"/>
      <c r="Y398" s="151"/>
      <c r="Z398" s="151"/>
    </row>
    <row r="399" ht="15.75" customHeight="1">
      <c r="W399" s="150"/>
      <c r="X399" s="151"/>
      <c r="Y399" s="151"/>
      <c r="Z399" s="151"/>
    </row>
    <row r="400" ht="15.75" customHeight="1">
      <c r="W400" s="150"/>
      <c r="X400" s="151"/>
      <c r="Y400" s="151"/>
      <c r="Z400" s="151"/>
    </row>
    <row r="401" ht="15.75" customHeight="1">
      <c r="W401" s="150"/>
      <c r="X401" s="151"/>
      <c r="Y401" s="151"/>
      <c r="Z401" s="151"/>
    </row>
    <row r="402" ht="15.75" customHeight="1">
      <c r="W402" s="150"/>
      <c r="X402" s="151"/>
      <c r="Y402" s="151"/>
      <c r="Z402" s="151"/>
    </row>
    <row r="403" ht="15.75" customHeight="1">
      <c r="W403" s="150"/>
      <c r="X403" s="151"/>
      <c r="Y403" s="151"/>
      <c r="Z403" s="151"/>
    </row>
    <row r="404" ht="15.75" customHeight="1">
      <c r="W404" s="150"/>
      <c r="X404" s="151"/>
      <c r="Y404" s="151"/>
      <c r="Z404" s="151"/>
    </row>
    <row r="405" ht="15.75" customHeight="1">
      <c r="W405" s="150"/>
      <c r="X405" s="151"/>
      <c r="Y405" s="151"/>
      <c r="Z405" s="151"/>
    </row>
    <row r="406" ht="15.75" customHeight="1">
      <c r="W406" s="150"/>
      <c r="X406" s="151"/>
      <c r="Y406" s="151"/>
      <c r="Z406" s="151"/>
    </row>
    <row r="407" ht="15.75" customHeight="1">
      <c r="W407" s="150"/>
      <c r="X407" s="151"/>
      <c r="Y407" s="151"/>
      <c r="Z407" s="151"/>
    </row>
    <row r="408" ht="15.75" customHeight="1">
      <c r="W408" s="150"/>
      <c r="X408" s="151"/>
      <c r="Y408" s="151"/>
      <c r="Z408" s="151"/>
    </row>
    <row r="409" ht="15.75" customHeight="1">
      <c r="W409" s="150"/>
      <c r="X409" s="151"/>
      <c r="Y409" s="151"/>
      <c r="Z409" s="151"/>
    </row>
    <row r="410" ht="15.75" customHeight="1">
      <c r="W410" s="150"/>
      <c r="X410" s="151"/>
      <c r="Y410" s="151"/>
      <c r="Z410" s="151"/>
    </row>
    <row r="411" ht="15.75" customHeight="1">
      <c r="W411" s="150"/>
      <c r="X411" s="151"/>
      <c r="Y411" s="151"/>
      <c r="Z411" s="151"/>
    </row>
    <row r="412" ht="15.75" customHeight="1">
      <c r="W412" s="150"/>
      <c r="X412" s="151"/>
      <c r="Y412" s="151"/>
      <c r="Z412" s="151"/>
    </row>
    <row r="413" ht="15.75" customHeight="1">
      <c r="W413" s="150"/>
      <c r="X413" s="151"/>
      <c r="Y413" s="151"/>
      <c r="Z413" s="151"/>
    </row>
    <row r="414" ht="15.75" customHeight="1">
      <c r="W414" s="150"/>
      <c r="X414" s="151"/>
      <c r="Y414" s="151"/>
      <c r="Z414" s="151"/>
    </row>
    <row r="415" ht="15.75" customHeight="1">
      <c r="W415" s="150"/>
      <c r="X415" s="151"/>
      <c r="Y415" s="151"/>
      <c r="Z415" s="151"/>
    </row>
    <row r="416" ht="15.75" customHeight="1">
      <c r="W416" s="150"/>
      <c r="X416" s="151"/>
      <c r="Y416" s="151"/>
      <c r="Z416" s="151"/>
    </row>
    <row r="417" ht="15.75" customHeight="1">
      <c r="W417" s="150"/>
      <c r="X417" s="151"/>
      <c r="Y417" s="151"/>
      <c r="Z417" s="151"/>
    </row>
    <row r="418" ht="15.75" customHeight="1">
      <c r="W418" s="150"/>
      <c r="X418" s="151"/>
      <c r="Y418" s="151"/>
      <c r="Z418" s="151"/>
    </row>
    <row r="419" ht="15.75" customHeight="1">
      <c r="W419" s="150"/>
      <c r="X419" s="151"/>
      <c r="Y419" s="151"/>
      <c r="Z419" s="151"/>
    </row>
    <row r="420" ht="15.75" customHeight="1">
      <c r="W420" s="150"/>
      <c r="X420" s="151"/>
      <c r="Y420" s="151"/>
      <c r="Z420" s="151"/>
    </row>
    <row r="421" ht="15.75" customHeight="1">
      <c r="W421" s="150"/>
      <c r="X421" s="151"/>
      <c r="Y421" s="151"/>
      <c r="Z421" s="151"/>
    </row>
    <row r="422" ht="15.75" customHeight="1">
      <c r="W422" s="150"/>
      <c r="X422" s="151"/>
      <c r="Y422" s="151"/>
      <c r="Z422" s="151"/>
    </row>
    <row r="423" ht="15.75" customHeight="1">
      <c r="W423" s="150"/>
      <c r="X423" s="151"/>
      <c r="Y423" s="151"/>
      <c r="Z423" s="151"/>
    </row>
    <row r="424" ht="15.75" customHeight="1">
      <c r="W424" s="150"/>
      <c r="X424" s="151"/>
      <c r="Y424" s="151"/>
      <c r="Z424" s="151"/>
    </row>
    <row r="425" ht="15.75" customHeight="1">
      <c r="W425" s="150"/>
      <c r="X425" s="151"/>
      <c r="Y425" s="151"/>
      <c r="Z425" s="151"/>
    </row>
    <row r="426" ht="15.75" customHeight="1">
      <c r="W426" s="150"/>
      <c r="X426" s="151"/>
      <c r="Y426" s="151"/>
      <c r="Z426" s="151"/>
    </row>
    <row r="427" ht="15.75" customHeight="1">
      <c r="W427" s="150"/>
      <c r="X427" s="151"/>
      <c r="Y427" s="151"/>
      <c r="Z427" s="151"/>
    </row>
    <row r="428" ht="15.75" customHeight="1">
      <c r="W428" s="150"/>
      <c r="X428" s="151"/>
      <c r="Y428" s="151"/>
      <c r="Z428" s="151"/>
    </row>
    <row r="429" ht="15.75" customHeight="1">
      <c r="W429" s="150"/>
      <c r="X429" s="151"/>
      <c r="Y429" s="151"/>
      <c r="Z429" s="151"/>
    </row>
    <row r="430" ht="15.75" customHeight="1">
      <c r="W430" s="150"/>
      <c r="X430" s="151"/>
      <c r="Y430" s="151"/>
      <c r="Z430" s="151"/>
    </row>
    <row r="431" ht="15.75" customHeight="1">
      <c r="W431" s="150"/>
      <c r="X431" s="151"/>
      <c r="Y431" s="151"/>
      <c r="Z431" s="151"/>
    </row>
    <row r="432" ht="15.75" customHeight="1">
      <c r="W432" s="150"/>
      <c r="X432" s="151"/>
      <c r="Y432" s="151"/>
      <c r="Z432" s="151"/>
    </row>
    <row r="433" ht="15.75" customHeight="1">
      <c r="W433" s="150"/>
      <c r="X433" s="151"/>
      <c r="Y433" s="151"/>
      <c r="Z433" s="151"/>
    </row>
    <row r="434" ht="15.75" customHeight="1">
      <c r="W434" s="150"/>
      <c r="X434" s="151"/>
      <c r="Y434" s="151"/>
      <c r="Z434" s="151"/>
    </row>
    <row r="435" ht="15.75" customHeight="1">
      <c r="W435" s="150"/>
      <c r="X435" s="151"/>
      <c r="Y435" s="151"/>
      <c r="Z435" s="151"/>
    </row>
    <row r="436" ht="15.75" customHeight="1">
      <c r="W436" s="150"/>
      <c r="X436" s="151"/>
      <c r="Y436" s="151"/>
      <c r="Z436" s="151"/>
    </row>
    <row r="437" ht="15.75" customHeight="1">
      <c r="W437" s="150"/>
      <c r="X437" s="151"/>
      <c r="Y437" s="151"/>
      <c r="Z437" s="151"/>
    </row>
    <row r="438" ht="15.75" customHeight="1">
      <c r="W438" s="150"/>
      <c r="X438" s="151"/>
      <c r="Y438" s="151"/>
      <c r="Z438" s="151"/>
    </row>
    <row r="439" ht="15.75" customHeight="1">
      <c r="W439" s="150"/>
      <c r="X439" s="151"/>
      <c r="Y439" s="151"/>
      <c r="Z439" s="151"/>
    </row>
    <row r="440" ht="15.75" customHeight="1">
      <c r="W440" s="150"/>
      <c r="X440" s="151"/>
      <c r="Y440" s="151"/>
      <c r="Z440" s="151"/>
    </row>
    <row r="441" ht="15.75" customHeight="1">
      <c r="W441" s="150"/>
      <c r="X441" s="151"/>
      <c r="Y441" s="151"/>
      <c r="Z441" s="151"/>
    </row>
    <row r="442" ht="15.75" customHeight="1">
      <c r="W442" s="150"/>
      <c r="X442" s="151"/>
      <c r="Y442" s="151"/>
      <c r="Z442" s="151"/>
    </row>
    <row r="443" ht="15.75" customHeight="1">
      <c r="W443" s="150"/>
      <c r="X443" s="151"/>
      <c r="Y443" s="151"/>
      <c r="Z443" s="151"/>
    </row>
    <row r="444" ht="15.75" customHeight="1">
      <c r="W444" s="150"/>
      <c r="X444" s="151"/>
      <c r="Y444" s="151"/>
      <c r="Z444" s="151"/>
    </row>
    <row r="445" ht="15.75" customHeight="1">
      <c r="W445" s="150"/>
      <c r="X445" s="151"/>
      <c r="Y445" s="151"/>
      <c r="Z445" s="151"/>
    </row>
    <row r="446" ht="15.75" customHeight="1">
      <c r="W446" s="150"/>
      <c r="X446" s="151"/>
      <c r="Y446" s="151"/>
      <c r="Z446" s="151"/>
    </row>
    <row r="447" ht="15.75" customHeight="1">
      <c r="W447" s="150"/>
      <c r="X447" s="151"/>
      <c r="Y447" s="151"/>
      <c r="Z447" s="151"/>
    </row>
    <row r="448" ht="15.75" customHeight="1">
      <c r="W448" s="150"/>
      <c r="X448" s="151"/>
      <c r="Y448" s="151"/>
      <c r="Z448" s="151"/>
    </row>
    <row r="449" ht="15.75" customHeight="1">
      <c r="W449" s="150"/>
      <c r="X449" s="151"/>
      <c r="Y449" s="151"/>
      <c r="Z449" s="151"/>
    </row>
    <row r="450" ht="15.75" customHeight="1">
      <c r="W450" s="150"/>
      <c r="X450" s="151"/>
      <c r="Y450" s="151"/>
      <c r="Z450" s="151"/>
    </row>
    <row r="451" ht="15.75" customHeight="1">
      <c r="W451" s="150"/>
      <c r="X451" s="151"/>
      <c r="Y451" s="151"/>
      <c r="Z451" s="151"/>
    </row>
    <row r="452" ht="15.75" customHeight="1">
      <c r="W452" s="150"/>
      <c r="X452" s="151"/>
      <c r="Y452" s="151"/>
      <c r="Z452" s="151"/>
    </row>
    <row r="453" ht="15.75" customHeight="1">
      <c r="W453" s="150"/>
      <c r="X453" s="151"/>
      <c r="Y453" s="151"/>
      <c r="Z453" s="151"/>
    </row>
    <row r="454" ht="15.75" customHeight="1">
      <c r="W454" s="150"/>
      <c r="X454" s="151"/>
      <c r="Y454" s="151"/>
      <c r="Z454" s="151"/>
    </row>
    <row r="455" ht="15.75" customHeight="1">
      <c r="W455" s="150"/>
      <c r="X455" s="151"/>
      <c r="Y455" s="151"/>
      <c r="Z455" s="151"/>
    </row>
    <row r="456" ht="15.75" customHeight="1">
      <c r="W456" s="150"/>
      <c r="X456" s="151"/>
      <c r="Y456" s="151"/>
      <c r="Z456" s="151"/>
    </row>
    <row r="457" ht="15.75" customHeight="1">
      <c r="W457" s="150"/>
      <c r="X457" s="151"/>
      <c r="Y457" s="151"/>
      <c r="Z457" s="151"/>
    </row>
    <row r="458" ht="15.75" customHeight="1">
      <c r="W458" s="150"/>
      <c r="X458" s="151"/>
      <c r="Y458" s="151"/>
      <c r="Z458" s="151"/>
    </row>
    <row r="459" ht="15.75" customHeight="1">
      <c r="W459" s="150"/>
      <c r="X459" s="151"/>
      <c r="Y459" s="151"/>
      <c r="Z459" s="151"/>
    </row>
    <row r="460" ht="15.75" customHeight="1">
      <c r="W460" s="150"/>
      <c r="X460" s="151"/>
      <c r="Y460" s="151"/>
      <c r="Z460" s="151"/>
    </row>
    <row r="461" ht="15.75" customHeight="1">
      <c r="W461" s="150"/>
      <c r="X461" s="151"/>
      <c r="Y461" s="151"/>
      <c r="Z461" s="151"/>
    </row>
    <row r="462" ht="15.75" customHeight="1">
      <c r="W462" s="150"/>
      <c r="X462" s="151"/>
      <c r="Y462" s="151"/>
      <c r="Z462" s="151"/>
    </row>
    <row r="463" ht="15.75" customHeight="1">
      <c r="W463" s="150"/>
      <c r="X463" s="151"/>
      <c r="Y463" s="151"/>
      <c r="Z463" s="151"/>
    </row>
    <row r="464" ht="15.75" customHeight="1">
      <c r="W464" s="150"/>
      <c r="X464" s="151"/>
      <c r="Y464" s="151"/>
      <c r="Z464" s="151"/>
    </row>
    <row r="465" ht="15.75" customHeight="1">
      <c r="W465" s="150"/>
      <c r="X465" s="151"/>
      <c r="Y465" s="151"/>
      <c r="Z465" s="151"/>
    </row>
    <row r="466" ht="15.75" customHeight="1">
      <c r="W466" s="150"/>
      <c r="X466" s="151"/>
      <c r="Y466" s="151"/>
      <c r="Z466" s="151"/>
    </row>
    <row r="467" ht="15.75" customHeight="1">
      <c r="W467" s="150"/>
      <c r="X467" s="151"/>
      <c r="Y467" s="151"/>
      <c r="Z467" s="151"/>
    </row>
    <row r="468" ht="15.75" customHeight="1">
      <c r="W468" s="150"/>
      <c r="X468" s="151"/>
      <c r="Y468" s="151"/>
      <c r="Z468" s="151"/>
    </row>
    <row r="469" ht="15.75" customHeight="1">
      <c r="W469" s="150"/>
      <c r="X469" s="151"/>
      <c r="Y469" s="151"/>
      <c r="Z469" s="151"/>
    </row>
    <row r="470" ht="15.75" customHeight="1">
      <c r="W470" s="150"/>
      <c r="X470" s="151"/>
      <c r="Y470" s="151"/>
      <c r="Z470" s="151"/>
    </row>
    <row r="471" ht="15.75" customHeight="1">
      <c r="W471" s="150"/>
      <c r="X471" s="151"/>
      <c r="Y471" s="151"/>
      <c r="Z471" s="151"/>
    </row>
    <row r="472" ht="15.75" customHeight="1">
      <c r="W472" s="150"/>
      <c r="X472" s="151"/>
      <c r="Y472" s="151"/>
      <c r="Z472" s="151"/>
    </row>
    <row r="473" ht="15.75" customHeight="1">
      <c r="W473" s="150"/>
      <c r="X473" s="151"/>
      <c r="Y473" s="151"/>
      <c r="Z473" s="151"/>
    </row>
    <row r="474" ht="15.75" customHeight="1">
      <c r="W474" s="150"/>
      <c r="X474" s="151"/>
      <c r="Y474" s="151"/>
      <c r="Z474" s="151"/>
    </row>
    <row r="475" ht="15.75" customHeight="1">
      <c r="W475" s="150"/>
      <c r="X475" s="151"/>
      <c r="Y475" s="151"/>
      <c r="Z475" s="151"/>
    </row>
    <row r="476" ht="15.75" customHeight="1">
      <c r="W476" s="150"/>
      <c r="X476" s="151"/>
      <c r="Y476" s="151"/>
      <c r="Z476" s="151"/>
    </row>
    <row r="477" ht="15.75" customHeight="1">
      <c r="W477" s="150"/>
      <c r="X477" s="151"/>
      <c r="Y477" s="151"/>
      <c r="Z477" s="151"/>
    </row>
    <row r="478" ht="15.75" customHeight="1">
      <c r="W478" s="150"/>
      <c r="X478" s="151"/>
      <c r="Y478" s="151"/>
      <c r="Z478" s="151"/>
    </row>
    <row r="479" ht="15.75" customHeight="1">
      <c r="W479" s="150"/>
      <c r="X479" s="151"/>
      <c r="Y479" s="151"/>
      <c r="Z479" s="151"/>
    </row>
    <row r="480" ht="15.75" customHeight="1">
      <c r="W480" s="150"/>
      <c r="X480" s="151"/>
      <c r="Y480" s="151"/>
      <c r="Z480" s="151"/>
    </row>
    <row r="481" ht="15.75" customHeight="1">
      <c r="W481" s="150"/>
      <c r="X481" s="151"/>
      <c r="Y481" s="151"/>
      <c r="Z481" s="151"/>
    </row>
    <row r="482" ht="15.75" customHeight="1">
      <c r="W482" s="150"/>
      <c r="X482" s="151"/>
      <c r="Y482" s="151"/>
      <c r="Z482" s="151"/>
    </row>
    <row r="483" ht="15.75" customHeight="1">
      <c r="W483" s="150"/>
      <c r="X483" s="151"/>
      <c r="Y483" s="151"/>
      <c r="Z483" s="151"/>
    </row>
    <row r="484" ht="15.75" customHeight="1">
      <c r="W484" s="150"/>
      <c r="X484" s="151"/>
      <c r="Y484" s="151"/>
      <c r="Z484" s="151"/>
    </row>
    <row r="485" ht="15.75" customHeight="1">
      <c r="W485" s="150"/>
      <c r="X485" s="151"/>
      <c r="Y485" s="151"/>
      <c r="Z485" s="151"/>
    </row>
    <row r="486" ht="15.75" customHeight="1">
      <c r="W486" s="150"/>
      <c r="X486" s="151"/>
      <c r="Y486" s="151"/>
      <c r="Z486" s="151"/>
    </row>
    <row r="487" ht="15.75" customHeight="1">
      <c r="W487" s="150"/>
      <c r="X487" s="151"/>
      <c r="Y487" s="151"/>
      <c r="Z487" s="151"/>
    </row>
    <row r="488" ht="15.75" customHeight="1">
      <c r="W488" s="150"/>
      <c r="X488" s="151"/>
      <c r="Y488" s="151"/>
      <c r="Z488" s="151"/>
    </row>
    <row r="489" ht="15.75" customHeight="1">
      <c r="W489" s="150"/>
      <c r="X489" s="151"/>
      <c r="Y489" s="151"/>
      <c r="Z489" s="151"/>
    </row>
    <row r="490" ht="15.75" customHeight="1">
      <c r="W490" s="150"/>
      <c r="X490" s="151"/>
      <c r="Y490" s="151"/>
      <c r="Z490" s="151"/>
    </row>
    <row r="491" ht="15.75" customHeight="1">
      <c r="W491" s="150"/>
      <c r="X491" s="151"/>
      <c r="Y491" s="151"/>
      <c r="Z491" s="151"/>
    </row>
    <row r="492" ht="15.75" customHeight="1">
      <c r="W492" s="150"/>
      <c r="X492" s="151"/>
      <c r="Y492" s="151"/>
      <c r="Z492" s="151"/>
    </row>
    <row r="493" ht="15.75" customHeight="1">
      <c r="W493" s="150"/>
      <c r="X493" s="151"/>
      <c r="Y493" s="151"/>
      <c r="Z493" s="151"/>
    </row>
    <row r="494" ht="15.75" customHeight="1">
      <c r="W494" s="150"/>
      <c r="X494" s="151"/>
      <c r="Y494" s="151"/>
      <c r="Z494" s="151"/>
    </row>
    <row r="495" ht="15.75" customHeight="1">
      <c r="W495" s="150"/>
      <c r="X495" s="151"/>
      <c r="Y495" s="151"/>
      <c r="Z495" s="151"/>
    </row>
    <row r="496" ht="15.75" customHeight="1">
      <c r="W496" s="150"/>
      <c r="X496" s="151"/>
      <c r="Y496" s="151"/>
      <c r="Z496" s="151"/>
    </row>
    <row r="497" ht="15.75" customHeight="1">
      <c r="W497" s="150"/>
      <c r="X497" s="151"/>
      <c r="Y497" s="151"/>
      <c r="Z497" s="151"/>
    </row>
    <row r="498" ht="15.75" customHeight="1">
      <c r="W498" s="150"/>
      <c r="X498" s="151"/>
      <c r="Y498" s="151"/>
      <c r="Z498" s="151"/>
    </row>
    <row r="499" ht="15.75" customHeight="1">
      <c r="W499" s="150"/>
      <c r="X499" s="151"/>
      <c r="Y499" s="151"/>
      <c r="Z499" s="151"/>
    </row>
    <row r="500" ht="15.75" customHeight="1">
      <c r="W500" s="150"/>
      <c r="X500" s="151"/>
      <c r="Y500" s="151"/>
      <c r="Z500" s="151"/>
    </row>
    <row r="501" ht="15.75" customHeight="1">
      <c r="W501" s="150"/>
      <c r="X501" s="151"/>
      <c r="Y501" s="151"/>
      <c r="Z501" s="151"/>
    </row>
    <row r="502" ht="15.75" customHeight="1">
      <c r="W502" s="150"/>
      <c r="X502" s="151"/>
      <c r="Y502" s="151"/>
      <c r="Z502" s="151"/>
    </row>
    <row r="503" ht="15.75" customHeight="1">
      <c r="W503" s="150"/>
      <c r="X503" s="151"/>
      <c r="Y503" s="151"/>
      <c r="Z503" s="151"/>
    </row>
    <row r="504" ht="15.75" customHeight="1">
      <c r="W504" s="150"/>
      <c r="X504" s="151"/>
      <c r="Y504" s="151"/>
      <c r="Z504" s="151"/>
    </row>
    <row r="505" ht="15.75" customHeight="1">
      <c r="W505" s="150"/>
      <c r="X505" s="151"/>
      <c r="Y505" s="151"/>
      <c r="Z505" s="151"/>
    </row>
    <row r="506" ht="15.75" customHeight="1">
      <c r="W506" s="150"/>
      <c r="X506" s="151"/>
      <c r="Y506" s="151"/>
      <c r="Z506" s="151"/>
    </row>
    <row r="507" ht="15.75" customHeight="1">
      <c r="W507" s="150"/>
      <c r="X507" s="151"/>
      <c r="Y507" s="151"/>
      <c r="Z507" s="151"/>
    </row>
    <row r="508" ht="15.75" customHeight="1">
      <c r="W508" s="150"/>
      <c r="X508" s="151"/>
      <c r="Y508" s="151"/>
      <c r="Z508" s="151"/>
    </row>
    <row r="509" ht="15.75" customHeight="1">
      <c r="W509" s="150"/>
      <c r="X509" s="151"/>
      <c r="Y509" s="151"/>
      <c r="Z509" s="151"/>
    </row>
    <row r="510" ht="15.75" customHeight="1">
      <c r="W510" s="150"/>
      <c r="X510" s="151"/>
      <c r="Y510" s="151"/>
      <c r="Z510" s="151"/>
    </row>
    <row r="511" ht="15.75" customHeight="1">
      <c r="W511" s="150"/>
      <c r="X511" s="151"/>
      <c r="Y511" s="151"/>
      <c r="Z511" s="151"/>
    </row>
    <row r="512" ht="15.75" customHeight="1">
      <c r="W512" s="150"/>
      <c r="X512" s="151"/>
      <c r="Y512" s="151"/>
      <c r="Z512" s="151"/>
    </row>
    <row r="513" ht="15.75" customHeight="1">
      <c r="W513" s="150"/>
      <c r="X513" s="151"/>
      <c r="Y513" s="151"/>
      <c r="Z513" s="151"/>
    </row>
    <row r="514" ht="15.75" customHeight="1">
      <c r="W514" s="150"/>
      <c r="X514" s="151"/>
      <c r="Y514" s="151"/>
      <c r="Z514" s="151"/>
    </row>
    <row r="515" ht="15.75" customHeight="1">
      <c r="W515" s="150"/>
      <c r="X515" s="151"/>
      <c r="Y515" s="151"/>
      <c r="Z515" s="151"/>
    </row>
    <row r="516" ht="15.75" customHeight="1">
      <c r="W516" s="150"/>
      <c r="X516" s="151"/>
      <c r="Y516" s="151"/>
      <c r="Z516" s="151"/>
    </row>
    <row r="517" ht="15.75" customHeight="1">
      <c r="W517" s="150"/>
      <c r="X517" s="151"/>
      <c r="Y517" s="151"/>
      <c r="Z517" s="151"/>
    </row>
    <row r="518" ht="15.75" customHeight="1">
      <c r="W518" s="150"/>
      <c r="X518" s="151"/>
      <c r="Y518" s="151"/>
      <c r="Z518" s="151"/>
    </row>
    <row r="519" ht="15.75" customHeight="1">
      <c r="W519" s="150"/>
      <c r="X519" s="151"/>
      <c r="Y519" s="151"/>
      <c r="Z519" s="151"/>
    </row>
    <row r="520" ht="15.75" customHeight="1">
      <c r="W520" s="150"/>
      <c r="X520" s="151"/>
      <c r="Y520" s="151"/>
      <c r="Z520" s="151"/>
    </row>
    <row r="521" ht="15.75" customHeight="1">
      <c r="W521" s="150"/>
      <c r="X521" s="151"/>
      <c r="Y521" s="151"/>
      <c r="Z521" s="151"/>
    </row>
    <row r="522" ht="15.75" customHeight="1">
      <c r="W522" s="150"/>
      <c r="X522" s="151"/>
      <c r="Y522" s="151"/>
      <c r="Z522" s="151"/>
    </row>
    <row r="523" ht="15.75" customHeight="1">
      <c r="W523" s="150"/>
      <c r="X523" s="151"/>
      <c r="Y523" s="151"/>
      <c r="Z523" s="151"/>
    </row>
    <row r="524" ht="15.75" customHeight="1">
      <c r="W524" s="150"/>
      <c r="X524" s="151"/>
      <c r="Y524" s="151"/>
      <c r="Z524" s="151"/>
    </row>
    <row r="525" ht="15.75" customHeight="1">
      <c r="W525" s="150"/>
      <c r="X525" s="151"/>
      <c r="Y525" s="151"/>
      <c r="Z525" s="151"/>
    </row>
    <row r="526" ht="15.75" customHeight="1">
      <c r="W526" s="150"/>
      <c r="X526" s="151"/>
      <c r="Y526" s="151"/>
      <c r="Z526" s="151"/>
    </row>
    <row r="527" ht="15.75" customHeight="1">
      <c r="W527" s="150"/>
      <c r="X527" s="151"/>
      <c r="Y527" s="151"/>
      <c r="Z527" s="151"/>
    </row>
    <row r="528" ht="15.75" customHeight="1">
      <c r="W528" s="150"/>
      <c r="X528" s="151"/>
      <c r="Y528" s="151"/>
      <c r="Z528" s="151"/>
    </row>
    <row r="529" ht="15.75" customHeight="1">
      <c r="W529" s="150"/>
      <c r="X529" s="151"/>
      <c r="Y529" s="151"/>
      <c r="Z529" s="151"/>
    </row>
    <row r="530" ht="15.75" customHeight="1">
      <c r="W530" s="150"/>
      <c r="X530" s="151"/>
      <c r="Y530" s="151"/>
      <c r="Z530" s="151"/>
    </row>
    <row r="531" ht="15.75" customHeight="1">
      <c r="W531" s="150"/>
      <c r="X531" s="151"/>
      <c r="Y531" s="151"/>
      <c r="Z531" s="151"/>
    </row>
    <row r="532" ht="15.75" customHeight="1">
      <c r="W532" s="150"/>
      <c r="X532" s="151"/>
      <c r="Y532" s="151"/>
      <c r="Z532" s="151"/>
    </row>
    <row r="533" ht="15.75" customHeight="1">
      <c r="W533" s="150"/>
      <c r="X533" s="151"/>
      <c r="Y533" s="151"/>
      <c r="Z533" s="151"/>
    </row>
    <row r="534" ht="15.75" customHeight="1">
      <c r="W534" s="150"/>
      <c r="X534" s="151"/>
      <c r="Y534" s="151"/>
      <c r="Z534" s="151"/>
    </row>
    <row r="535" ht="15.75" customHeight="1">
      <c r="W535" s="150"/>
      <c r="X535" s="151"/>
      <c r="Y535" s="151"/>
      <c r="Z535" s="151"/>
    </row>
    <row r="536" ht="15.75" customHeight="1">
      <c r="W536" s="150"/>
      <c r="X536" s="151"/>
      <c r="Y536" s="151"/>
      <c r="Z536" s="151"/>
    </row>
    <row r="537" ht="15.75" customHeight="1">
      <c r="W537" s="150"/>
      <c r="X537" s="151"/>
      <c r="Y537" s="151"/>
      <c r="Z537" s="151"/>
    </row>
    <row r="538" ht="15.75" customHeight="1">
      <c r="W538" s="150"/>
      <c r="X538" s="151"/>
      <c r="Y538" s="151"/>
      <c r="Z538" s="151"/>
    </row>
    <row r="539" ht="15.75" customHeight="1">
      <c r="W539" s="150"/>
      <c r="X539" s="151"/>
      <c r="Y539" s="151"/>
      <c r="Z539" s="151"/>
    </row>
    <row r="540" ht="15.75" customHeight="1">
      <c r="W540" s="150"/>
      <c r="X540" s="151"/>
      <c r="Y540" s="151"/>
      <c r="Z540" s="151"/>
    </row>
    <row r="541" ht="15.75" customHeight="1">
      <c r="W541" s="150"/>
      <c r="X541" s="151"/>
      <c r="Y541" s="151"/>
      <c r="Z541" s="151"/>
    </row>
    <row r="542" ht="15.75" customHeight="1">
      <c r="W542" s="150"/>
      <c r="X542" s="151"/>
      <c r="Y542" s="151"/>
      <c r="Z542" s="151"/>
    </row>
    <row r="543" ht="15.75" customHeight="1">
      <c r="W543" s="150"/>
      <c r="X543" s="151"/>
      <c r="Y543" s="151"/>
      <c r="Z543" s="151"/>
    </row>
    <row r="544" ht="15.75" customHeight="1">
      <c r="W544" s="150"/>
      <c r="X544" s="151"/>
      <c r="Y544" s="151"/>
      <c r="Z544" s="151"/>
    </row>
    <row r="545" ht="15.75" customHeight="1">
      <c r="W545" s="150"/>
      <c r="X545" s="151"/>
      <c r="Y545" s="151"/>
      <c r="Z545" s="151"/>
    </row>
    <row r="546" ht="15.75" customHeight="1">
      <c r="W546" s="150"/>
      <c r="X546" s="151"/>
      <c r="Y546" s="151"/>
      <c r="Z546" s="151"/>
    </row>
    <row r="547" ht="15.75" customHeight="1">
      <c r="W547" s="150"/>
      <c r="X547" s="151"/>
      <c r="Y547" s="151"/>
      <c r="Z547" s="151"/>
    </row>
    <row r="548" ht="15.75" customHeight="1">
      <c r="W548" s="150"/>
      <c r="X548" s="151"/>
      <c r="Y548" s="151"/>
      <c r="Z548" s="151"/>
    </row>
    <row r="549" ht="15.75" customHeight="1">
      <c r="W549" s="150"/>
      <c r="X549" s="151"/>
      <c r="Y549" s="151"/>
      <c r="Z549" s="151"/>
    </row>
    <row r="550" ht="15.75" customHeight="1">
      <c r="W550" s="150"/>
      <c r="X550" s="151"/>
      <c r="Y550" s="151"/>
      <c r="Z550" s="151"/>
    </row>
    <row r="551" ht="15.75" customHeight="1">
      <c r="W551" s="150"/>
      <c r="X551" s="151"/>
      <c r="Y551" s="151"/>
      <c r="Z551" s="151"/>
    </row>
    <row r="552" ht="15.75" customHeight="1">
      <c r="W552" s="150"/>
      <c r="X552" s="151"/>
      <c r="Y552" s="151"/>
      <c r="Z552" s="151"/>
    </row>
    <row r="553" ht="15.75" customHeight="1">
      <c r="W553" s="150"/>
      <c r="X553" s="151"/>
      <c r="Y553" s="151"/>
      <c r="Z553" s="151"/>
    </row>
    <row r="554" ht="15.75" customHeight="1">
      <c r="W554" s="150"/>
      <c r="X554" s="151"/>
      <c r="Y554" s="151"/>
      <c r="Z554" s="151"/>
    </row>
    <row r="555" ht="15.75" customHeight="1">
      <c r="W555" s="150"/>
      <c r="X555" s="151"/>
      <c r="Y555" s="151"/>
      <c r="Z555" s="151"/>
    </row>
    <row r="556" ht="15.75" customHeight="1">
      <c r="W556" s="150"/>
      <c r="X556" s="151"/>
      <c r="Y556" s="151"/>
      <c r="Z556" s="151"/>
    </row>
    <row r="557" ht="15.75" customHeight="1">
      <c r="W557" s="150"/>
      <c r="X557" s="151"/>
      <c r="Y557" s="151"/>
      <c r="Z557" s="151"/>
    </row>
    <row r="558" ht="15.75" customHeight="1">
      <c r="W558" s="150"/>
      <c r="X558" s="151"/>
      <c r="Y558" s="151"/>
      <c r="Z558" s="151"/>
    </row>
    <row r="559" ht="15.75" customHeight="1">
      <c r="W559" s="150"/>
      <c r="X559" s="151"/>
      <c r="Y559" s="151"/>
      <c r="Z559" s="151"/>
    </row>
    <row r="560" ht="15.75" customHeight="1">
      <c r="W560" s="150"/>
      <c r="X560" s="151"/>
      <c r="Y560" s="151"/>
      <c r="Z560" s="151"/>
    </row>
    <row r="561" ht="15.75" customHeight="1">
      <c r="W561" s="150"/>
      <c r="X561" s="151"/>
      <c r="Y561" s="151"/>
      <c r="Z561" s="151"/>
    </row>
    <row r="562" ht="15.75" customHeight="1">
      <c r="W562" s="150"/>
      <c r="X562" s="151"/>
      <c r="Y562" s="151"/>
      <c r="Z562" s="151"/>
    </row>
    <row r="563" ht="15.75" customHeight="1">
      <c r="W563" s="150"/>
      <c r="X563" s="151"/>
      <c r="Y563" s="151"/>
      <c r="Z563" s="151"/>
    </row>
    <row r="564" ht="15.75" customHeight="1">
      <c r="W564" s="150"/>
      <c r="X564" s="151"/>
      <c r="Y564" s="151"/>
      <c r="Z564" s="151"/>
    </row>
    <row r="565" ht="15.75" customHeight="1">
      <c r="W565" s="150"/>
      <c r="X565" s="151"/>
      <c r="Y565" s="151"/>
      <c r="Z565" s="151"/>
    </row>
    <row r="566" ht="15.75" customHeight="1">
      <c r="W566" s="150"/>
      <c r="X566" s="151"/>
      <c r="Y566" s="151"/>
      <c r="Z566" s="151"/>
    </row>
    <row r="567" ht="15.75" customHeight="1">
      <c r="W567" s="150"/>
      <c r="X567" s="151"/>
      <c r="Y567" s="151"/>
      <c r="Z567" s="151"/>
    </row>
    <row r="568" ht="15.75" customHeight="1">
      <c r="W568" s="150"/>
      <c r="X568" s="151"/>
      <c r="Y568" s="151"/>
      <c r="Z568" s="151"/>
    </row>
    <row r="569" ht="15.75" customHeight="1">
      <c r="W569" s="150"/>
      <c r="X569" s="151"/>
      <c r="Y569" s="151"/>
      <c r="Z569" s="151"/>
    </row>
    <row r="570" ht="15.75" customHeight="1">
      <c r="W570" s="150"/>
      <c r="X570" s="151"/>
      <c r="Y570" s="151"/>
      <c r="Z570" s="151"/>
    </row>
    <row r="571" ht="15.75" customHeight="1">
      <c r="W571" s="150"/>
      <c r="X571" s="151"/>
      <c r="Y571" s="151"/>
      <c r="Z571" s="151"/>
    </row>
    <row r="572" ht="15.75" customHeight="1">
      <c r="W572" s="150"/>
      <c r="X572" s="151"/>
      <c r="Y572" s="151"/>
      <c r="Z572" s="151"/>
    </row>
    <row r="573" ht="15.75" customHeight="1">
      <c r="W573" s="150"/>
      <c r="X573" s="151"/>
      <c r="Y573" s="151"/>
      <c r="Z573" s="151"/>
    </row>
    <row r="574" ht="15.75" customHeight="1">
      <c r="W574" s="150"/>
      <c r="X574" s="151"/>
      <c r="Y574" s="151"/>
      <c r="Z574" s="151"/>
    </row>
    <row r="575" ht="15.75" customHeight="1">
      <c r="W575" s="150"/>
      <c r="X575" s="151"/>
      <c r="Y575" s="151"/>
      <c r="Z575" s="151"/>
    </row>
    <row r="576" ht="15.75" customHeight="1">
      <c r="W576" s="150"/>
      <c r="X576" s="151"/>
      <c r="Y576" s="151"/>
      <c r="Z576" s="151"/>
    </row>
    <row r="577" ht="15.75" customHeight="1">
      <c r="W577" s="150"/>
      <c r="X577" s="151"/>
      <c r="Y577" s="151"/>
      <c r="Z577" s="151"/>
    </row>
    <row r="578" ht="15.75" customHeight="1">
      <c r="W578" s="150"/>
      <c r="X578" s="151"/>
      <c r="Y578" s="151"/>
      <c r="Z578" s="151"/>
    </row>
    <row r="579" ht="15.75" customHeight="1">
      <c r="W579" s="150"/>
      <c r="X579" s="151"/>
      <c r="Y579" s="151"/>
      <c r="Z579" s="151"/>
    </row>
    <row r="580" ht="15.75" customHeight="1">
      <c r="W580" s="150"/>
      <c r="X580" s="151"/>
      <c r="Y580" s="151"/>
      <c r="Z580" s="151"/>
    </row>
    <row r="581" ht="15.75" customHeight="1">
      <c r="W581" s="150"/>
      <c r="X581" s="151"/>
      <c r="Y581" s="151"/>
      <c r="Z581" s="151"/>
    </row>
    <row r="582" ht="15.75" customHeight="1">
      <c r="W582" s="150"/>
      <c r="X582" s="151"/>
      <c r="Y582" s="151"/>
      <c r="Z582" s="151"/>
    </row>
    <row r="583" ht="15.75" customHeight="1">
      <c r="W583" s="150"/>
      <c r="X583" s="151"/>
      <c r="Y583" s="151"/>
      <c r="Z583" s="151"/>
    </row>
    <row r="584" ht="15.75" customHeight="1">
      <c r="W584" s="150"/>
      <c r="X584" s="151"/>
      <c r="Y584" s="151"/>
      <c r="Z584" s="151"/>
    </row>
    <row r="585" ht="15.75" customHeight="1">
      <c r="W585" s="150"/>
      <c r="X585" s="151"/>
      <c r="Y585" s="151"/>
      <c r="Z585" s="151"/>
    </row>
    <row r="586" ht="15.75" customHeight="1">
      <c r="W586" s="150"/>
      <c r="X586" s="151"/>
      <c r="Y586" s="151"/>
      <c r="Z586" s="151"/>
    </row>
    <row r="587" ht="15.75" customHeight="1">
      <c r="W587" s="150"/>
      <c r="X587" s="151"/>
      <c r="Y587" s="151"/>
      <c r="Z587" s="151"/>
    </row>
    <row r="588" ht="15.75" customHeight="1">
      <c r="W588" s="150"/>
      <c r="X588" s="151"/>
      <c r="Y588" s="151"/>
      <c r="Z588" s="151"/>
    </row>
    <row r="589" ht="15.75" customHeight="1">
      <c r="W589" s="150"/>
      <c r="X589" s="151"/>
      <c r="Y589" s="151"/>
      <c r="Z589" s="151"/>
    </row>
    <row r="590" ht="15.75" customHeight="1">
      <c r="W590" s="150"/>
      <c r="X590" s="151"/>
      <c r="Y590" s="151"/>
      <c r="Z590" s="151"/>
    </row>
    <row r="591" ht="15.75" customHeight="1">
      <c r="W591" s="150"/>
      <c r="X591" s="151"/>
      <c r="Y591" s="151"/>
      <c r="Z591" s="151"/>
    </row>
    <row r="592" ht="15.75" customHeight="1">
      <c r="W592" s="150"/>
      <c r="X592" s="151"/>
      <c r="Y592" s="151"/>
      <c r="Z592" s="151"/>
    </row>
    <row r="593" ht="15.75" customHeight="1">
      <c r="W593" s="150"/>
      <c r="X593" s="151"/>
      <c r="Y593" s="151"/>
      <c r="Z593" s="151"/>
    </row>
    <row r="594" ht="15.75" customHeight="1">
      <c r="W594" s="150"/>
      <c r="X594" s="151"/>
      <c r="Y594" s="151"/>
      <c r="Z594" s="151"/>
    </row>
    <row r="595" ht="15.75" customHeight="1">
      <c r="W595" s="150"/>
      <c r="X595" s="151"/>
      <c r="Y595" s="151"/>
      <c r="Z595" s="151"/>
    </row>
    <row r="596" ht="15.75" customHeight="1">
      <c r="W596" s="150"/>
      <c r="X596" s="151"/>
      <c r="Y596" s="151"/>
      <c r="Z596" s="151"/>
    </row>
    <row r="597" ht="15.75" customHeight="1">
      <c r="W597" s="150"/>
      <c r="X597" s="151"/>
      <c r="Y597" s="151"/>
      <c r="Z597" s="151"/>
    </row>
    <row r="598" ht="15.75" customHeight="1">
      <c r="W598" s="150"/>
      <c r="X598" s="151"/>
      <c r="Y598" s="151"/>
      <c r="Z598" s="151"/>
    </row>
    <row r="599" ht="15.75" customHeight="1">
      <c r="W599" s="150"/>
      <c r="X599" s="151"/>
      <c r="Y599" s="151"/>
      <c r="Z599" s="151"/>
    </row>
    <row r="600" ht="15.75" customHeight="1">
      <c r="W600" s="150"/>
      <c r="X600" s="151"/>
      <c r="Y600" s="151"/>
      <c r="Z600" s="151"/>
    </row>
    <row r="601" ht="15.75" customHeight="1">
      <c r="W601" s="150"/>
      <c r="X601" s="151"/>
      <c r="Y601" s="151"/>
      <c r="Z601" s="151"/>
    </row>
    <row r="602" ht="15.75" customHeight="1">
      <c r="W602" s="150"/>
      <c r="X602" s="151"/>
      <c r="Y602" s="151"/>
      <c r="Z602" s="151"/>
    </row>
    <row r="603" ht="15.75" customHeight="1">
      <c r="W603" s="150"/>
      <c r="X603" s="151"/>
      <c r="Y603" s="151"/>
      <c r="Z603" s="151"/>
    </row>
    <row r="604" ht="15.75" customHeight="1">
      <c r="W604" s="150"/>
      <c r="X604" s="151"/>
      <c r="Y604" s="151"/>
      <c r="Z604" s="151"/>
    </row>
    <row r="605" ht="15.75" customHeight="1">
      <c r="W605" s="150"/>
      <c r="X605" s="151"/>
      <c r="Y605" s="151"/>
      <c r="Z605" s="151"/>
    </row>
    <row r="606" ht="15.75" customHeight="1">
      <c r="W606" s="150"/>
      <c r="X606" s="151"/>
      <c r="Y606" s="151"/>
      <c r="Z606" s="151"/>
    </row>
    <row r="607" ht="15.75" customHeight="1">
      <c r="W607" s="150"/>
      <c r="X607" s="151"/>
      <c r="Y607" s="151"/>
      <c r="Z607" s="151"/>
    </row>
    <row r="608" ht="15.75" customHeight="1">
      <c r="W608" s="150"/>
      <c r="X608" s="151"/>
      <c r="Y608" s="151"/>
      <c r="Z608" s="151"/>
    </row>
    <row r="609" ht="15.75" customHeight="1">
      <c r="W609" s="150"/>
      <c r="X609" s="151"/>
      <c r="Y609" s="151"/>
      <c r="Z609" s="151"/>
    </row>
    <row r="610" ht="15.75" customHeight="1">
      <c r="W610" s="150"/>
      <c r="X610" s="151"/>
      <c r="Y610" s="151"/>
      <c r="Z610" s="151"/>
    </row>
    <row r="611" ht="15.75" customHeight="1">
      <c r="W611" s="150"/>
      <c r="X611" s="151"/>
      <c r="Y611" s="151"/>
      <c r="Z611" s="151"/>
    </row>
    <row r="612" ht="15.75" customHeight="1">
      <c r="W612" s="150"/>
      <c r="X612" s="151"/>
      <c r="Y612" s="151"/>
      <c r="Z612" s="151"/>
    </row>
    <row r="613" ht="15.75" customHeight="1">
      <c r="W613" s="150"/>
      <c r="X613" s="151"/>
      <c r="Y613" s="151"/>
      <c r="Z613" s="151"/>
    </row>
    <row r="614" ht="15.75" customHeight="1">
      <c r="W614" s="150"/>
      <c r="X614" s="151"/>
      <c r="Y614" s="151"/>
      <c r="Z614" s="151"/>
    </row>
    <row r="615" ht="15.75" customHeight="1">
      <c r="W615" s="150"/>
      <c r="X615" s="151"/>
      <c r="Y615" s="151"/>
      <c r="Z615" s="151"/>
    </row>
    <row r="616" ht="15.75" customHeight="1">
      <c r="W616" s="150"/>
      <c r="X616" s="151"/>
      <c r="Y616" s="151"/>
      <c r="Z616" s="151"/>
    </row>
    <row r="617" ht="15.75" customHeight="1">
      <c r="W617" s="150"/>
      <c r="X617" s="151"/>
      <c r="Y617" s="151"/>
      <c r="Z617" s="151"/>
    </row>
    <row r="618" ht="15.75" customHeight="1">
      <c r="W618" s="150"/>
      <c r="X618" s="151"/>
      <c r="Y618" s="151"/>
      <c r="Z618" s="151"/>
    </row>
    <row r="619" ht="15.75" customHeight="1">
      <c r="W619" s="150"/>
      <c r="X619" s="151"/>
      <c r="Y619" s="151"/>
      <c r="Z619" s="151"/>
    </row>
    <row r="620" ht="15.75" customHeight="1">
      <c r="W620" s="150"/>
      <c r="X620" s="151"/>
      <c r="Y620" s="151"/>
      <c r="Z620" s="151"/>
    </row>
    <row r="621" ht="15.75" customHeight="1">
      <c r="W621" s="150"/>
      <c r="X621" s="151"/>
      <c r="Y621" s="151"/>
      <c r="Z621" s="151"/>
    </row>
    <row r="622" ht="15.75" customHeight="1">
      <c r="W622" s="150"/>
      <c r="X622" s="151"/>
      <c r="Y622" s="151"/>
      <c r="Z622" s="151"/>
    </row>
    <row r="623" ht="15.75" customHeight="1">
      <c r="W623" s="150"/>
      <c r="X623" s="151"/>
      <c r="Y623" s="151"/>
      <c r="Z623" s="151"/>
    </row>
    <row r="624" ht="15.75" customHeight="1">
      <c r="W624" s="150"/>
      <c r="X624" s="151"/>
      <c r="Y624" s="151"/>
      <c r="Z624" s="151"/>
    </row>
    <row r="625" ht="15.75" customHeight="1">
      <c r="W625" s="150"/>
      <c r="X625" s="151"/>
      <c r="Y625" s="151"/>
      <c r="Z625" s="151"/>
    </row>
    <row r="626" ht="15.75" customHeight="1">
      <c r="W626" s="150"/>
      <c r="X626" s="151"/>
      <c r="Y626" s="151"/>
      <c r="Z626" s="151"/>
    </row>
    <row r="627" ht="15.75" customHeight="1">
      <c r="W627" s="150"/>
      <c r="X627" s="151"/>
      <c r="Y627" s="151"/>
      <c r="Z627" s="151"/>
    </row>
    <row r="628" ht="15.75" customHeight="1">
      <c r="W628" s="150"/>
      <c r="X628" s="151"/>
      <c r="Y628" s="151"/>
      <c r="Z628" s="151"/>
    </row>
    <row r="629" ht="15.75" customHeight="1">
      <c r="W629" s="150"/>
      <c r="X629" s="151"/>
      <c r="Y629" s="151"/>
      <c r="Z629" s="151"/>
    </row>
    <row r="630" ht="15.75" customHeight="1">
      <c r="W630" s="150"/>
      <c r="X630" s="151"/>
      <c r="Y630" s="151"/>
      <c r="Z630" s="151"/>
    </row>
    <row r="631" ht="15.75" customHeight="1">
      <c r="W631" s="150"/>
      <c r="X631" s="151"/>
      <c r="Y631" s="151"/>
      <c r="Z631" s="151"/>
    </row>
    <row r="632" ht="15.75" customHeight="1">
      <c r="W632" s="150"/>
      <c r="X632" s="151"/>
      <c r="Y632" s="151"/>
      <c r="Z632" s="151"/>
    </row>
    <row r="633" ht="15.75" customHeight="1">
      <c r="W633" s="150"/>
      <c r="X633" s="151"/>
      <c r="Y633" s="151"/>
      <c r="Z633" s="151"/>
    </row>
    <row r="634" ht="15.75" customHeight="1">
      <c r="W634" s="150"/>
      <c r="X634" s="151"/>
      <c r="Y634" s="151"/>
      <c r="Z634" s="151"/>
    </row>
    <row r="635" ht="15.75" customHeight="1">
      <c r="W635" s="150"/>
      <c r="X635" s="151"/>
      <c r="Y635" s="151"/>
      <c r="Z635" s="151"/>
    </row>
    <row r="636" ht="15.75" customHeight="1">
      <c r="W636" s="150"/>
      <c r="X636" s="151"/>
      <c r="Y636" s="151"/>
      <c r="Z636" s="151"/>
    </row>
    <row r="637" ht="15.75" customHeight="1">
      <c r="W637" s="150"/>
      <c r="X637" s="151"/>
      <c r="Y637" s="151"/>
      <c r="Z637" s="151"/>
    </row>
    <row r="638" ht="15.75" customHeight="1">
      <c r="W638" s="150"/>
      <c r="X638" s="151"/>
      <c r="Y638" s="151"/>
      <c r="Z638" s="151"/>
    </row>
    <row r="639" ht="15.75" customHeight="1">
      <c r="W639" s="150"/>
      <c r="X639" s="151"/>
      <c r="Y639" s="151"/>
      <c r="Z639" s="151"/>
    </row>
    <row r="640" ht="15.75" customHeight="1">
      <c r="W640" s="150"/>
      <c r="X640" s="151"/>
      <c r="Y640" s="151"/>
      <c r="Z640" s="151"/>
    </row>
    <row r="641" ht="15.75" customHeight="1">
      <c r="W641" s="150"/>
      <c r="X641" s="151"/>
      <c r="Y641" s="151"/>
      <c r="Z641" s="151"/>
    </row>
    <row r="642" ht="15.75" customHeight="1">
      <c r="W642" s="150"/>
      <c r="X642" s="151"/>
      <c r="Y642" s="151"/>
      <c r="Z642" s="151"/>
    </row>
    <row r="643" ht="15.75" customHeight="1">
      <c r="W643" s="150"/>
      <c r="X643" s="151"/>
      <c r="Y643" s="151"/>
      <c r="Z643" s="151"/>
    </row>
    <row r="644" ht="15.75" customHeight="1">
      <c r="W644" s="150"/>
      <c r="X644" s="151"/>
      <c r="Y644" s="151"/>
      <c r="Z644" s="151"/>
    </row>
    <row r="645" ht="15.75" customHeight="1">
      <c r="W645" s="150"/>
      <c r="X645" s="151"/>
      <c r="Y645" s="151"/>
      <c r="Z645" s="151"/>
    </row>
    <row r="646" ht="15.75" customHeight="1">
      <c r="W646" s="150"/>
      <c r="X646" s="151"/>
      <c r="Y646" s="151"/>
      <c r="Z646" s="151"/>
    </row>
    <row r="647" ht="15.75" customHeight="1">
      <c r="W647" s="150"/>
      <c r="X647" s="151"/>
      <c r="Y647" s="151"/>
      <c r="Z647" s="151"/>
    </row>
    <row r="648" ht="15.75" customHeight="1">
      <c r="W648" s="150"/>
      <c r="X648" s="151"/>
      <c r="Y648" s="151"/>
      <c r="Z648" s="151"/>
    </row>
    <row r="649" ht="15.75" customHeight="1">
      <c r="W649" s="150"/>
      <c r="X649" s="151"/>
      <c r="Y649" s="151"/>
      <c r="Z649" s="151"/>
    </row>
    <row r="650" ht="15.75" customHeight="1">
      <c r="W650" s="150"/>
      <c r="X650" s="151"/>
      <c r="Y650" s="151"/>
      <c r="Z650" s="151"/>
    </row>
    <row r="651" ht="15.75" customHeight="1">
      <c r="W651" s="150"/>
      <c r="X651" s="151"/>
      <c r="Y651" s="151"/>
      <c r="Z651" s="151"/>
    </row>
    <row r="652" ht="15.75" customHeight="1">
      <c r="W652" s="150"/>
      <c r="X652" s="151"/>
      <c r="Y652" s="151"/>
      <c r="Z652" s="151"/>
    </row>
    <row r="653" ht="15.75" customHeight="1">
      <c r="W653" s="150"/>
      <c r="X653" s="151"/>
      <c r="Y653" s="151"/>
      <c r="Z653" s="151"/>
    </row>
    <row r="654" ht="15.75" customHeight="1">
      <c r="W654" s="150"/>
      <c r="X654" s="151"/>
      <c r="Y654" s="151"/>
      <c r="Z654" s="151"/>
    </row>
    <row r="655" ht="15.75" customHeight="1">
      <c r="W655" s="150"/>
      <c r="X655" s="151"/>
      <c r="Y655" s="151"/>
      <c r="Z655" s="151"/>
    </row>
    <row r="656" ht="15.75" customHeight="1">
      <c r="W656" s="150"/>
      <c r="X656" s="151"/>
      <c r="Y656" s="151"/>
      <c r="Z656" s="151"/>
    </row>
    <row r="657" ht="15.75" customHeight="1">
      <c r="W657" s="150"/>
      <c r="X657" s="151"/>
      <c r="Y657" s="151"/>
      <c r="Z657" s="151"/>
    </row>
    <row r="658" ht="15.75" customHeight="1">
      <c r="W658" s="150"/>
      <c r="X658" s="151"/>
      <c r="Y658" s="151"/>
      <c r="Z658" s="151"/>
    </row>
    <row r="659" ht="15.75" customHeight="1">
      <c r="W659" s="150"/>
      <c r="X659" s="151"/>
      <c r="Y659" s="151"/>
      <c r="Z659" s="151"/>
    </row>
    <row r="660" ht="15.75" customHeight="1">
      <c r="W660" s="150"/>
      <c r="X660" s="151"/>
      <c r="Y660" s="151"/>
      <c r="Z660" s="151"/>
    </row>
    <row r="661" ht="15.75" customHeight="1">
      <c r="W661" s="150"/>
      <c r="X661" s="151"/>
      <c r="Y661" s="151"/>
      <c r="Z661" s="151"/>
    </row>
    <row r="662" ht="15.75" customHeight="1">
      <c r="W662" s="150"/>
      <c r="X662" s="151"/>
      <c r="Y662" s="151"/>
      <c r="Z662" s="151"/>
    </row>
    <row r="663" ht="15.75" customHeight="1">
      <c r="W663" s="150"/>
      <c r="X663" s="151"/>
      <c r="Y663" s="151"/>
      <c r="Z663" s="151"/>
    </row>
    <row r="664" ht="15.75" customHeight="1">
      <c r="W664" s="150"/>
      <c r="X664" s="151"/>
      <c r="Y664" s="151"/>
      <c r="Z664" s="151"/>
    </row>
    <row r="665" ht="15.75" customHeight="1">
      <c r="W665" s="150"/>
      <c r="X665" s="151"/>
      <c r="Y665" s="151"/>
      <c r="Z665" s="151"/>
    </row>
    <row r="666" ht="15.75" customHeight="1">
      <c r="W666" s="150"/>
      <c r="X666" s="151"/>
      <c r="Y666" s="151"/>
      <c r="Z666" s="151"/>
    </row>
    <row r="667" ht="15.75" customHeight="1">
      <c r="W667" s="150"/>
      <c r="X667" s="151"/>
      <c r="Y667" s="151"/>
      <c r="Z667" s="151"/>
    </row>
    <row r="668" ht="15.75" customHeight="1">
      <c r="W668" s="150"/>
      <c r="X668" s="151"/>
      <c r="Y668" s="151"/>
      <c r="Z668" s="151"/>
    </row>
    <row r="669" ht="15.75" customHeight="1">
      <c r="W669" s="150"/>
      <c r="X669" s="151"/>
      <c r="Y669" s="151"/>
      <c r="Z669" s="151"/>
    </row>
    <row r="670" ht="15.75" customHeight="1">
      <c r="W670" s="150"/>
      <c r="X670" s="151"/>
      <c r="Y670" s="151"/>
      <c r="Z670" s="151"/>
    </row>
    <row r="671" ht="15.75" customHeight="1">
      <c r="W671" s="150"/>
      <c r="X671" s="151"/>
      <c r="Y671" s="151"/>
      <c r="Z671" s="151"/>
    </row>
    <row r="672" ht="15.75" customHeight="1">
      <c r="W672" s="150"/>
      <c r="X672" s="151"/>
      <c r="Y672" s="151"/>
      <c r="Z672" s="151"/>
    </row>
    <row r="673" ht="15.75" customHeight="1">
      <c r="W673" s="150"/>
      <c r="X673" s="151"/>
      <c r="Y673" s="151"/>
      <c r="Z673" s="151"/>
    </row>
    <row r="674" ht="15.75" customHeight="1">
      <c r="W674" s="150"/>
      <c r="X674" s="151"/>
      <c r="Y674" s="151"/>
      <c r="Z674" s="151"/>
    </row>
    <row r="675" ht="15.75" customHeight="1">
      <c r="W675" s="150"/>
      <c r="X675" s="151"/>
      <c r="Y675" s="151"/>
      <c r="Z675" s="151"/>
    </row>
    <row r="676" ht="15.75" customHeight="1">
      <c r="W676" s="150"/>
      <c r="X676" s="151"/>
      <c r="Y676" s="151"/>
      <c r="Z676" s="151"/>
    </row>
    <row r="677" ht="15.75" customHeight="1">
      <c r="W677" s="150"/>
      <c r="X677" s="151"/>
      <c r="Y677" s="151"/>
      <c r="Z677" s="151"/>
    </row>
    <row r="678" ht="15.75" customHeight="1">
      <c r="W678" s="150"/>
      <c r="X678" s="151"/>
      <c r="Y678" s="151"/>
      <c r="Z678" s="151"/>
    </row>
    <row r="679" ht="15.75" customHeight="1">
      <c r="W679" s="150"/>
      <c r="X679" s="151"/>
      <c r="Y679" s="151"/>
      <c r="Z679" s="151"/>
    </row>
    <row r="680" ht="15.75" customHeight="1">
      <c r="W680" s="150"/>
      <c r="X680" s="151"/>
      <c r="Y680" s="151"/>
      <c r="Z680" s="151"/>
    </row>
    <row r="681" ht="15.75" customHeight="1">
      <c r="W681" s="150"/>
      <c r="X681" s="151"/>
      <c r="Y681" s="151"/>
      <c r="Z681" s="151"/>
    </row>
    <row r="682" ht="15.75" customHeight="1">
      <c r="W682" s="150"/>
      <c r="X682" s="151"/>
      <c r="Y682" s="151"/>
      <c r="Z682" s="151"/>
    </row>
    <row r="683" ht="15.75" customHeight="1">
      <c r="W683" s="150"/>
      <c r="X683" s="151"/>
      <c r="Y683" s="151"/>
      <c r="Z683" s="151"/>
    </row>
    <row r="684" ht="15.75" customHeight="1">
      <c r="W684" s="150"/>
      <c r="X684" s="151"/>
      <c r="Y684" s="151"/>
      <c r="Z684" s="151"/>
    </row>
    <row r="685" ht="15.75" customHeight="1">
      <c r="W685" s="150"/>
      <c r="X685" s="151"/>
      <c r="Y685" s="151"/>
      <c r="Z685" s="151"/>
    </row>
    <row r="686" ht="15.75" customHeight="1">
      <c r="W686" s="150"/>
      <c r="X686" s="151"/>
      <c r="Y686" s="151"/>
      <c r="Z686" s="151"/>
    </row>
    <row r="687" ht="15.75" customHeight="1">
      <c r="W687" s="150"/>
      <c r="X687" s="151"/>
      <c r="Y687" s="151"/>
      <c r="Z687" s="151"/>
    </row>
    <row r="688" ht="15.75" customHeight="1">
      <c r="W688" s="150"/>
      <c r="X688" s="151"/>
      <c r="Y688" s="151"/>
      <c r="Z688" s="151"/>
    </row>
    <row r="689" ht="15.75" customHeight="1">
      <c r="W689" s="150"/>
      <c r="X689" s="151"/>
      <c r="Y689" s="151"/>
      <c r="Z689" s="151"/>
    </row>
    <row r="690" ht="15.75" customHeight="1">
      <c r="W690" s="150"/>
      <c r="X690" s="151"/>
      <c r="Y690" s="151"/>
      <c r="Z690" s="151"/>
    </row>
    <row r="691" ht="15.75" customHeight="1">
      <c r="W691" s="150"/>
      <c r="X691" s="151"/>
      <c r="Y691" s="151"/>
      <c r="Z691" s="151"/>
    </row>
    <row r="692" ht="15.75" customHeight="1">
      <c r="W692" s="150"/>
      <c r="X692" s="151"/>
      <c r="Y692" s="151"/>
      <c r="Z692" s="151"/>
    </row>
    <row r="693" ht="15.75" customHeight="1">
      <c r="W693" s="150"/>
      <c r="X693" s="151"/>
      <c r="Y693" s="151"/>
      <c r="Z693" s="151"/>
    </row>
    <row r="694" ht="15.75" customHeight="1">
      <c r="W694" s="150"/>
      <c r="X694" s="151"/>
      <c r="Y694" s="151"/>
      <c r="Z694" s="151"/>
    </row>
    <row r="695" ht="15.75" customHeight="1">
      <c r="W695" s="150"/>
      <c r="X695" s="151"/>
      <c r="Y695" s="151"/>
      <c r="Z695" s="151"/>
    </row>
    <row r="696" ht="15.75" customHeight="1">
      <c r="W696" s="150"/>
      <c r="X696" s="151"/>
      <c r="Y696" s="151"/>
      <c r="Z696" s="151"/>
    </row>
    <row r="697" ht="15.75" customHeight="1">
      <c r="W697" s="150"/>
      <c r="X697" s="151"/>
      <c r="Y697" s="151"/>
      <c r="Z697" s="151"/>
    </row>
    <row r="698" ht="15.75" customHeight="1">
      <c r="W698" s="150"/>
      <c r="X698" s="151"/>
      <c r="Y698" s="151"/>
      <c r="Z698" s="151"/>
    </row>
    <row r="699" ht="15.75" customHeight="1">
      <c r="W699" s="150"/>
      <c r="X699" s="151"/>
      <c r="Y699" s="151"/>
      <c r="Z699" s="151"/>
    </row>
    <row r="700" ht="15.75" customHeight="1">
      <c r="W700" s="150"/>
      <c r="X700" s="151"/>
      <c r="Y700" s="151"/>
      <c r="Z700" s="151"/>
    </row>
    <row r="701" ht="15.75" customHeight="1">
      <c r="W701" s="150"/>
      <c r="X701" s="151"/>
      <c r="Y701" s="151"/>
      <c r="Z701" s="151"/>
    </row>
    <row r="702" ht="15.75" customHeight="1">
      <c r="W702" s="150"/>
      <c r="X702" s="151"/>
      <c r="Y702" s="151"/>
      <c r="Z702" s="151"/>
    </row>
    <row r="703" ht="15.75" customHeight="1">
      <c r="W703" s="150"/>
      <c r="X703" s="151"/>
      <c r="Y703" s="151"/>
      <c r="Z703" s="151"/>
    </row>
    <row r="704" ht="15.75" customHeight="1">
      <c r="W704" s="150"/>
      <c r="X704" s="151"/>
      <c r="Y704" s="151"/>
      <c r="Z704" s="151"/>
    </row>
    <row r="705" ht="15.75" customHeight="1">
      <c r="W705" s="150"/>
      <c r="X705" s="151"/>
      <c r="Y705" s="151"/>
      <c r="Z705" s="151"/>
    </row>
    <row r="706" ht="15.75" customHeight="1">
      <c r="W706" s="150"/>
      <c r="X706" s="151"/>
      <c r="Y706" s="151"/>
      <c r="Z706" s="151"/>
    </row>
    <row r="707" ht="15.75" customHeight="1">
      <c r="W707" s="150"/>
      <c r="X707" s="151"/>
      <c r="Y707" s="151"/>
      <c r="Z707" s="151"/>
    </row>
    <row r="708" ht="15.75" customHeight="1">
      <c r="W708" s="150"/>
      <c r="X708" s="151"/>
      <c r="Y708" s="151"/>
      <c r="Z708" s="151"/>
    </row>
    <row r="709" ht="15.75" customHeight="1">
      <c r="W709" s="150"/>
      <c r="X709" s="151"/>
      <c r="Y709" s="151"/>
      <c r="Z709" s="151"/>
    </row>
    <row r="710" ht="15.75" customHeight="1">
      <c r="W710" s="150"/>
      <c r="X710" s="151"/>
      <c r="Y710" s="151"/>
      <c r="Z710" s="151"/>
    </row>
    <row r="711" ht="15.75" customHeight="1">
      <c r="W711" s="150"/>
      <c r="X711" s="151"/>
      <c r="Y711" s="151"/>
      <c r="Z711" s="151"/>
    </row>
    <row r="712" ht="15.75" customHeight="1">
      <c r="W712" s="150"/>
      <c r="X712" s="151"/>
      <c r="Y712" s="151"/>
      <c r="Z712" s="151"/>
    </row>
    <row r="713" ht="15.75" customHeight="1">
      <c r="W713" s="150"/>
      <c r="X713" s="151"/>
      <c r="Y713" s="151"/>
      <c r="Z713" s="151"/>
    </row>
    <row r="714" ht="15.75" customHeight="1">
      <c r="W714" s="150"/>
      <c r="X714" s="151"/>
      <c r="Y714" s="151"/>
      <c r="Z714" s="151"/>
    </row>
    <row r="715" ht="15.75" customHeight="1">
      <c r="W715" s="150"/>
      <c r="X715" s="151"/>
      <c r="Y715" s="151"/>
      <c r="Z715" s="151"/>
    </row>
    <row r="716" ht="15.75" customHeight="1">
      <c r="W716" s="150"/>
      <c r="X716" s="151"/>
      <c r="Y716" s="151"/>
      <c r="Z716" s="151"/>
    </row>
    <row r="717" ht="15.75" customHeight="1">
      <c r="W717" s="150"/>
      <c r="X717" s="151"/>
      <c r="Y717" s="151"/>
      <c r="Z717" s="151"/>
    </row>
    <row r="718" ht="15.75" customHeight="1">
      <c r="W718" s="150"/>
      <c r="X718" s="151"/>
      <c r="Y718" s="151"/>
      <c r="Z718" s="151"/>
    </row>
    <row r="719" ht="15.75" customHeight="1">
      <c r="W719" s="150"/>
      <c r="X719" s="151"/>
      <c r="Y719" s="151"/>
      <c r="Z719" s="151"/>
    </row>
    <row r="720" ht="15.75" customHeight="1">
      <c r="W720" s="150"/>
      <c r="X720" s="151"/>
      <c r="Y720" s="151"/>
      <c r="Z720" s="151"/>
    </row>
    <row r="721" ht="15.75" customHeight="1">
      <c r="W721" s="150"/>
      <c r="X721" s="151"/>
      <c r="Y721" s="151"/>
      <c r="Z721" s="151"/>
    </row>
    <row r="722" ht="15.75" customHeight="1">
      <c r="W722" s="150"/>
      <c r="X722" s="151"/>
      <c r="Y722" s="151"/>
      <c r="Z722" s="151"/>
    </row>
    <row r="723" ht="15.75" customHeight="1">
      <c r="W723" s="150"/>
      <c r="X723" s="151"/>
      <c r="Y723" s="151"/>
      <c r="Z723" s="151"/>
    </row>
    <row r="724" ht="15.75" customHeight="1">
      <c r="W724" s="150"/>
      <c r="X724" s="151"/>
      <c r="Y724" s="151"/>
      <c r="Z724" s="151"/>
    </row>
    <row r="725" ht="15.75" customHeight="1">
      <c r="W725" s="150"/>
      <c r="X725" s="151"/>
      <c r="Y725" s="151"/>
      <c r="Z725" s="151"/>
    </row>
    <row r="726" ht="15.75" customHeight="1">
      <c r="W726" s="150"/>
      <c r="X726" s="151"/>
      <c r="Y726" s="151"/>
      <c r="Z726" s="151"/>
    </row>
    <row r="727" ht="15.75" customHeight="1">
      <c r="W727" s="150"/>
      <c r="X727" s="151"/>
      <c r="Y727" s="151"/>
      <c r="Z727" s="151"/>
    </row>
    <row r="728" ht="15.75" customHeight="1">
      <c r="W728" s="150"/>
      <c r="X728" s="151"/>
      <c r="Y728" s="151"/>
      <c r="Z728" s="151"/>
    </row>
    <row r="729" ht="15.75" customHeight="1">
      <c r="W729" s="150"/>
      <c r="X729" s="151"/>
      <c r="Y729" s="151"/>
      <c r="Z729" s="151"/>
    </row>
    <row r="730" ht="15.75" customHeight="1">
      <c r="W730" s="150"/>
      <c r="X730" s="151"/>
      <c r="Y730" s="151"/>
      <c r="Z730" s="151"/>
    </row>
    <row r="731" ht="15.75" customHeight="1">
      <c r="W731" s="150"/>
      <c r="X731" s="151"/>
      <c r="Y731" s="151"/>
      <c r="Z731" s="151"/>
    </row>
    <row r="732" ht="15.75" customHeight="1">
      <c r="W732" s="150"/>
      <c r="X732" s="151"/>
      <c r="Y732" s="151"/>
      <c r="Z732" s="151"/>
    </row>
    <row r="733" ht="15.75" customHeight="1">
      <c r="W733" s="150"/>
      <c r="X733" s="151"/>
      <c r="Y733" s="151"/>
      <c r="Z733" s="151"/>
    </row>
    <row r="734" ht="15.75" customHeight="1">
      <c r="W734" s="150"/>
      <c r="X734" s="151"/>
      <c r="Y734" s="151"/>
      <c r="Z734" s="151"/>
    </row>
    <row r="735" ht="15.75" customHeight="1">
      <c r="W735" s="150"/>
      <c r="X735" s="151"/>
      <c r="Y735" s="151"/>
      <c r="Z735" s="151"/>
    </row>
    <row r="736" ht="15.75" customHeight="1">
      <c r="W736" s="150"/>
      <c r="X736" s="151"/>
      <c r="Y736" s="151"/>
      <c r="Z736" s="151"/>
    </row>
    <row r="737" ht="15.75" customHeight="1">
      <c r="W737" s="150"/>
      <c r="X737" s="151"/>
      <c r="Y737" s="151"/>
      <c r="Z737" s="151"/>
    </row>
    <row r="738" ht="15.75" customHeight="1">
      <c r="W738" s="150"/>
      <c r="X738" s="151"/>
      <c r="Y738" s="151"/>
      <c r="Z738" s="151"/>
    </row>
    <row r="739" ht="15.75" customHeight="1">
      <c r="W739" s="150"/>
      <c r="X739" s="151"/>
      <c r="Y739" s="151"/>
      <c r="Z739" s="151"/>
    </row>
    <row r="740" ht="15.75" customHeight="1">
      <c r="W740" s="150"/>
      <c r="X740" s="151"/>
      <c r="Y740" s="151"/>
      <c r="Z740" s="151"/>
    </row>
    <row r="741" ht="15.75" customHeight="1">
      <c r="W741" s="150"/>
      <c r="X741" s="151"/>
      <c r="Y741" s="151"/>
      <c r="Z741" s="151"/>
    </row>
    <row r="742" ht="15.75" customHeight="1">
      <c r="W742" s="150"/>
      <c r="X742" s="151"/>
      <c r="Y742" s="151"/>
      <c r="Z742" s="151"/>
    </row>
    <row r="743" ht="15.75" customHeight="1">
      <c r="W743" s="150"/>
      <c r="X743" s="151"/>
      <c r="Y743" s="151"/>
      <c r="Z743" s="151"/>
    </row>
    <row r="744" ht="15.75" customHeight="1">
      <c r="W744" s="150"/>
      <c r="X744" s="151"/>
      <c r="Y744" s="151"/>
      <c r="Z744" s="151"/>
    </row>
    <row r="745" ht="15.75" customHeight="1">
      <c r="W745" s="150"/>
      <c r="X745" s="151"/>
      <c r="Y745" s="151"/>
      <c r="Z745" s="151"/>
    </row>
    <row r="746" ht="15.75" customHeight="1">
      <c r="W746" s="150"/>
      <c r="X746" s="151"/>
      <c r="Y746" s="151"/>
      <c r="Z746" s="151"/>
    </row>
    <row r="747" ht="15.75" customHeight="1">
      <c r="W747" s="150"/>
      <c r="X747" s="151"/>
      <c r="Y747" s="151"/>
      <c r="Z747" s="151"/>
    </row>
    <row r="748" ht="15.75" customHeight="1">
      <c r="W748" s="150"/>
      <c r="X748" s="151"/>
      <c r="Y748" s="151"/>
      <c r="Z748" s="151"/>
    </row>
    <row r="749" ht="15.75" customHeight="1">
      <c r="W749" s="150"/>
      <c r="X749" s="151"/>
      <c r="Y749" s="151"/>
      <c r="Z749" s="151"/>
    </row>
    <row r="750" ht="15.75" customHeight="1">
      <c r="W750" s="150"/>
      <c r="X750" s="151"/>
      <c r="Y750" s="151"/>
      <c r="Z750" s="151"/>
    </row>
    <row r="751" ht="15.75" customHeight="1">
      <c r="W751" s="150"/>
      <c r="X751" s="151"/>
      <c r="Y751" s="151"/>
      <c r="Z751" s="151"/>
    </row>
    <row r="752" ht="15.75" customHeight="1">
      <c r="W752" s="150"/>
      <c r="X752" s="151"/>
      <c r="Y752" s="151"/>
      <c r="Z752" s="151"/>
    </row>
    <row r="753" ht="15.75" customHeight="1">
      <c r="W753" s="150"/>
      <c r="X753" s="151"/>
      <c r="Y753" s="151"/>
      <c r="Z753" s="151"/>
    </row>
    <row r="754" ht="15.75" customHeight="1">
      <c r="W754" s="150"/>
      <c r="X754" s="151"/>
      <c r="Y754" s="151"/>
      <c r="Z754" s="151"/>
    </row>
    <row r="755" ht="15.75" customHeight="1">
      <c r="W755" s="150"/>
      <c r="X755" s="151"/>
      <c r="Y755" s="151"/>
      <c r="Z755" s="151"/>
    </row>
    <row r="756" ht="15.75" customHeight="1">
      <c r="W756" s="150"/>
      <c r="X756" s="151"/>
      <c r="Y756" s="151"/>
      <c r="Z756" s="151"/>
    </row>
    <row r="757" ht="15.75" customHeight="1">
      <c r="W757" s="150"/>
      <c r="X757" s="151"/>
      <c r="Y757" s="151"/>
      <c r="Z757" s="151"/>
    </row>
    <row r="758" ht="15.75" customHeight="1">
      <c r="W758" s="150"/>
      <c r="X758" s="151"/>
      <c r="Y758" s="151"/>
      <c r="Z758" s="151"/>
    </row>
    <row r="759" ht="15.75" customHeight="1">
      <c r="W759" s="150"/>
      <c r="X759" s="151"/>
      <c r="Y759" s="151"/>
      <c r="Z759" s="151"/>
    </row>
    <row r="760" ht="15.75" customHeight="1">
      <c r="W760" s="150"/>
      <c r="X760" s="151"/>
      <c r="Y760" s="151"/>
      <c r="Z760" s="151"/>
    </row>
    <row r="761" ht="15.75" customHeight="1">
      <c r="W761" s="150"/>
      <c r="X761" s="151"/>
      <c r="Y761" s="151"/>
      <c r="Z761" s="151"/>
    </row>
    <row r="762" ht="15.75" customHeight="1">
      <c r="W762" s="150"/>
      <c r="X762" s="151"/>
      <c r="Y762" s="151"/>
      <c r="Z762" s="151"/>
    </row>
    <row r="763" ht="15.75" customHeight="1">
      <c r="W763" s="150"/>
      <c r="X763" s="151"/>
      <c r="Y763" s="151"/>
      <c r="Z763" s="151"/>
    </row>
    <row r="764" ht="15.75" customHeight="1">
      <c r="W764" s="150"/>
      <c r="X764" s="151"/>
      <c r="Y764" s="151"/>
      <c r="Z764" s="151"/>
    </row>
    <row r="765" ht="15.75" customHeight="1">
      <c r="W765" s="150"/>
      <c r="X765" s="151"/>
      <c r="Y765" s="151"/>
      <c r="Z765" s="151"/>
    </row>
    <row r="766" ht="15.75" customHeight="1">
      <c r="W766" s="150"/>
      <c r="X766" s="151"/>
      <c r="Y766" s="151"/>
      <c r="Z766" s="151"/>
    </row>
    <row r="767" ht="15.75" customHeight="1">
      <c r="W767" s="150"/>
      <c r="X767" s="151"/>
      <c r="Y767" s="151"/>
      <c r="Z767" s="151"/>
    </row>
    <row r="768" ht="15.75" customHeight="1">
      <c r="W768" s="150"/>
      <c r="X768" s="151"/>
      <c r="Y768" s="151"/>
      <c r="Z768" s="151"/>
    </row>
    <row r="769" ht="15.75" customHeight="1">
      <c r="W769" s="150"/>
      <c r="X769" s="151"/>
      <c r="Y769" s="151"/>
      <c r="Z769" s="151"/>
    </row>
    <row r="770" ht="15.75" customHeight="1">
      <c r="W770" s="150"/>
      <c r="X770" s="151"/>
      <c r="Y770" s="151"/>
      <c r="Z770" s="151"/>
    </row>
    <row r="771" ht="15.75" customHeight="1">
      <c r="W771" s="150"/>
      <c r="X771" s="151"/>
      <c r="Y771" s="151"/>
      <c r="Z771" s="151"/>
    </row>
    <row r="772" ht="15.75" customHeight="1">
      <c r="W772" s="150"/>
      <c r="X772" s="151"/>
      <c r="Y772" s="151"/>
      <c r="Z772" s="151"/>
    </row>
    <row r="773" ht="15.75" customHeight="1">
      <c r="W773" s="150"/>
      <c r="X773" s="151"/>
      <c r="Y773" s="151"/>
      <c r="Z773" s="151"/>
    </row>
    <row r="774" ht="15.75" customHeight="1">
      <c r="W774" s="150"/>
      <c r="X774" s="151"/>
      <c r="Y774" s="151"/>
      <c r="Z774" s="151"/>
    </row>
    <row r="775" ht="15.75" customHeight="1">
      <c r="W775" s="150"/>
      <c r="X775" s="151"/>
      <c r="Y775" s="151"/>
      <c r="Z775" s="151"/>
    </row>
    <row r="776" ht="15.75" customHeight="1">
      <c r="W776" s="150"/>
      <c r="X776" s="151"/>
      <c r="Y776" s="151"/>
      <c r="Z776" s="151"/>
    </row>
    <row r="777" ht="15.75" customHeight="1">
      <c r="W777" s="150"/>
      <c r="X777" s="151"/>
      <c r="Y777" s="151"/>
      <c r="Z777" s="151"/>
    </row>
    <row r="778" ht="15.75" customHeight="1">
      <c r="W778" s="150"/>
      <c r="X778" s="151"/>
      <c r="Y778" s="151"/>
      <c r="Z778" s="151"/>
    </row>
    <row r="779" ht="15.75" customHeight="1">
      <c r="W779" s="150"/>
      <c r="X779" s="151"/>
      <c r="Y779" s="151"/>
      <c r="Z779" s="151"/>
    </row>
    <row r="780" ht="15.75" customHeight="1">
      <c r="W780" s="150"/>
      <c r="X780" s="151"/>
      <c r="Y780" s="151"/>
      <c r="Z780" s="151"/>
    </row>
    <row r="781" ht="15.75" customHeight="1">
      <c r="W781" s="150"/>
      <c r="X781" s="151"/>
      <c r="Y781" s="151"/>
      <c r="Z781" s="151"/>
    </row>
    <row r="782" ht="15.75" customHeight="1">
      <c r="W782" s="150"/>
      <c r="X782" s="151"/>
      <c r="Y782" s="151"/>
      <c r="Z782" s="151"/>
    </row>
    <row r="783" ht="15.75" customHeight="1">
      <c r="W783" s="150"/>
      <c r="X783" s="151"/>
      <c r="Y783" s="151"/>
      <c r="Z783" s="151"/>
    </row>
    <row r="784" ht="15.75" customHeight="1">
      <c r="W784" s="150"/>
      <c r="X784" s="151"/>
      <c r="Y784" s="151"/>
      <c r="Z784" s="151"/>
    </row>
    <row r="785" ht="15.75" customHeight="1">
      <c r="W785" s="150"/>
      <c r="X785" s="151"/>
      <c r="Y785" s="151"/>
      <c r="Z785" s="151"/>
    </row>
    <row r="786" ht="15.75" customHeight="1">
      <c r="W786" s="150"/>
      <c r="X786" s="151"/>
      <c r="Y786" s="151"/>
      <c r="Z786" s="151"/>
    </row>
    <row r="787" ht="15.75" customHeight="1">
      <c r="W787" s="150"/>
      <c r="X787" s="151"/>
      <c r="Y787" s="151"/>
      <c r="Z787" s="151"/>
    </row>
    <row r="788" ht="15.75" customHeight="1">
      <c r="W788" s="150"/>
      <c r="X788" s="151"/>
      <c r="Y788" s="151"/>
      <c r="Z788" s="151"/>
    </row>
    <row r="789" ht="15.75" customHeight="1">
      <c r="W789" s="150"/>
      <c r="X789" s="151"/>
      <c r="Y789" s="151"/>
      <c r="Z789" s="151"/>
    </row>
    <row r="790" ht="15.75" customHeight="1">
      <c r="W790" s="150"/>
      <c r="X790" s="151"/>
      <c r="Y790" s="151"/>
      <c r="Z790" s="151"/>
    </row>
    <row r="791" ht="15.75" customHeight="1">
      <c r="W791" s="150"/>
      <c r="X791" s="151"/>
      <c r="Y791" s="151"/>
      <c r="Z791" s="151"/>
    </row>
    <row r="792" ht="15.75" customHeight="1">
      <c r="W792" s="150"/>
      <c r="X792" s="151"/>
      <c r="Y792" s="151"/>
      <c r="Z792" s="151"/>
    </row>
    <row r="793" ht="15.75" customHeight="1">
      <c r="W793" s="150"/>
      <c r="X793" s="151"/>
      <c r="Y793" s="151"/>
      <c r="Z793" s="151"/>
    </row>
    <row r="794" ht="15.75" customHeight="1">
      <c r="W794" s="150"/>
      <c r="X794" s="151"/>
      <c r="Y794" s="151"/>
      <c r="Z794" s="151"/>
    </row>
    <row r="795" ht="15.75" customHeight="1">
      <c r="W795" s="150"/>
      <c r="X795" s="151"/>
      <c r="Y795" s="151"/>
      <c r="Z795" s="151"/>
    </row>
    <row r="796" ht="15.75" customHeight="1">
      <c r="W796" s="150"/>
      <c r="X796" s="151"/>
      <c r="Y796" s="151"/>
      <c r="Z796" s="151"/>
    </row>
    <row r="797" ht="15.75" customHeight="1">
      <c r="W797" s="150"/>
      <c r="X797" s="151"/>
      <c r="Y797" s="151"/>
      <c r="Z797" s="151"/>
    </row>
    <row r="798" ht="15.75" customHeight="1">
      <c r="W798" s="150"/>
      <c r="X798" s="151"/>
      <c r="Y798" s="151"/>
      <c r="Z798" s="151"/>
    </row>
    <row r="799" ht="15.75" customHeight="1">
      <c r="W799" s="150"/>
      <c r="X799" s="151"/>
      <c r="Y799" s="151"/>
      <c r="Z799" s="151"/>
    </row>
    <row r="800" ht="15.75" customHeight="1">
      <c r="W800" s="150"/>
      <c r="X800" s="151"/>
      <c r="Y800" s="151"/>
      <c r="Z800" s="151"/>
    </row>
    <row r="801" ht="15.75" customHeight="1">
      <c r="W801" s="150"/>
      <c r="X801" s="151"/>
      <c r="Y801" s="151"/>
      <c r="Z801" s="151"/>
    </row>
    <row r="802" ht="15.75" customHeight="1">
      <c r="W802" s="150"/>
      <c r="X802" s="151"/>
      <c r="Y802" s="151"/>
      <c r="Z802" s="151"/>
    </row>
    <row r="803" ht="15.75" customHeight="1">
      <c r="W803" s="150"/>
      <c r="X803" s="151"/>
      <c r="Y803" s="151"/>
      <c r="Z803" s="151"/>
    </row>
    <row r="804" ht="15.75" customHeight="1">
      <c r="W804" s="150"/>
      <c r="X804" s="151"/>
      <c r="Y804" s="151"/>
      <c r="Z804" s="151"/>
    </row>
    <row r="805" ht="15.75" customHeight="1">
      <c r="W805" s="150"/>
      <c r="X805" s="151"/>
      <c r="Y805" s="151"/>
      <c r="Z805" s="151"/>
    </row>
    <row r="806" ht="15.75" customHeight="1">
      <c r="W806" s="150"/>
      <c r="X806" s="151"/>
      <c r="Y806" s="151"/>
      <c r="Z806" s="151"/>
    </row>
    <row r="807" ht="15.75" customHeight="1">
      <c r="W807" s="150"/>
      <c r="X807" s="151"/>
      <c r="Y807" s="151"/>
      <c r="Z807" s="151"/>
    </row>
    <row r="808" ht="15.75" customHeight="1">
      <c r="W808" s="150"/>
      <c r="X808" s="151"/>
      <c r="Y808" s="151"/>
      <c r="Z808" s="151"/>
    </row>
    <row r="809" ht="15.75" customHeight="1">
      <c r="W809" s="150"/>
      <c r="X809" s="151"/>
      <c r="Y809" s="151"/>
      <c r="Z809" s="151"/>
    </row>
    <row r="810" ht="15.75" customHeight="1">
      <c r="W810" s="150"/>
      <c r="X810" s="151"/>
      <c r="Y810" s="151"/>
      <c r="Z810" s="151"/>
    </row>
    <row r="811" ht="15.75" customHeight="1">
      <c r="W811" s="150"/>
      <c r="X811" s="151"/>
      <c r="Y811" s="151"/>
      <c r="Z811" s="151"/>
    </row>
    <row r="812" ht="15.75" customHeight="1">
      <c r="W812" s="150"/>
      <c r="X812" s="151"/>
      <c r="Y812" s="151"/>
      <c r="Z812" s="151"/>
    </row>
    <row r="813" ht="15.75" customHeight="1">
      <c r="W813" s="150"/>
      <c r="X813" s="151"/>
      <c r="Y813" s="151"/>
      <c r="Z813" s="151"/>
    </row>
    <row r="814" ht="15.75" customHeight="1">
      <c r="W814" s="150"/>
      <c r="X814" s="151"/>
      <c r="Y814" s="151"/>
      <c r="Z814" s="151"/>
    </row>
    <row r="815" ht="15.75" customHeight="1">
      <c r="W815" s="150"/>
      <c r="X815" s="151"/>
      <c r="Y815" s="151"/>
      <c r="Z815" s="151"/>
    </row>
    <row r="816" ht="15.75" customHeight="1">
      <c r="W816" s="150"/>
      <c r="X816" s="151"/>
      <c r="Y816" s="151"/>
      <c r="Z816" s="151"/>
    </row>
    <row r="817" ht="15.75" customHeight="1">
      <c r="W817" s="150"/>
      <c r="X817" s="151"/>
      <c r="Y817" s="151"/>
      <c r="Z817" s="151"/>
    </row>
    <row r="818" ht="15.75" customHeight="1">
      <c r="W818" s="150"/>
      <c r="X818" s="151"/>
      <c r="Y818" s="151"/>
      <c r="Z818" s="151"/>
    </row>
    <row r="819" ht="15.75" customHeight="1">
      <c r="W819" s="150"/>
      <c r="X819" s="151"/>
      <c r="Y819" s="151"/>
      <c r="Z819" s="151"/>
    </row>
    <row r="820" ht="15.75" customHeight="1">
      <c r="W820" s="150"/>
      <c r="X820" s="151"/>
      <c r="Y820" s="151"/>
      <c r="Z820" s="151"/>
    </row>
    <row r="821" ht="15.75" customHeight="1">
      <c r="W821" s="150"/>
      <c r="X821" s="151"/>
      <c r="Y821" s="151"/>
      <c r="Z821" s="151"/>
    </row>
    <row r="822" ht="15.75" customHeight="1">
      <c r="W822" s="150"/>
      <c r="X822" s="151"/>
      <c r="Y822" s="151"/>
      <c r="Z822" s="151"/>
    </row>
    <row r="823" ht="15.75" customHeight="1">
      <c r="W823" s="150"/>
      <c r="X823" s="151"/>
      <c r="Y823" s="151"/>
      <c r="Z823" s="151"/>
    </row>
    <row r="824" ht="15.75" customHeight="1">
      <c r="W824" s="150"/>
      <c r="X824" s="151"/>
      <c r="Y824" s="151"/>
      <c r="Z824" s="151"/>
    </row>
    <row r="825" ht="15.75" customHeight="1">
      <c r="W825" s="150"/>
      <c r="X825" s="151"/>
      <c r="Y825" s="151"/>
      <c r="Z825" s="151"/>
    </row>
    <row r="826" ht="15.75" customHeight="1">
      <c r="W826" s="150"/>
      <c r="X826" s="151"/>
      <c r="Y826" s="151"/>
      <c r="Z826" s="151"/>
    </row>
    <row r="827" ht="15.75" customHeight="1">
      <c r="W827" s="150"/>
      <c r="X827" s="151"/>
      <c r="Y827" s="151"/>
      <c r="Z827" s="151"/>
    </row>
    <row r="828" ht="15.75" customHeight="1">
      <c r="W828" s="150"/>
      <c r="X828" s="151"/>
      <c r="Y828" s="151"/>
      <c r="Z828" s="151"/>
    </row>
    <row r="829" ht="15.75" customHeight="1">
      <c r="W829" s="150"/>
      <c r="X829" s="151"/>
      <c r="Y829" s="151"/>
      <c r="Z829" s="151"/>
    </row>
    <row r="830" ht="15.75" customHeight="1">
      <c r="W830" s="150"/>
      <c r="X830" s="151"/>
      <c r="Y830" s="151"/>
      <c r="Z830" s="151"/>
    </row>
    <row r="831" ht="15.75" customHeight="1">
      <c r="W831" s="150"/>
      <c r="X831" s="151"/>
      <c r="Y831" s="151"/>
      <c r="Z831" s="151"/>
    </row>
    <row r="832" ht="15.75" customHeight="1">
      <c r="W832" s="150"/>
      <c r="X832" s="151"/>
      <c r="Y832" s="151"/>
      <c r="Z832" s="151"/>
    </row>
    <row r="833" ht="15.75" customHeight="1">
      <c r="W833" s="150"/>
      <c r="X833" s="151"/>
      <c r="Y833" s="151"/>
      <c r="Z833" s="151"/>
    </row>
    <row r="834" ht="15.75" customHeight="1">
      <c r="W834" s="150"/>
      <c r="X834" s="151"/>
      <c r="Y834" s="151"/>
      <c r="Z834" s="151"/>
    </row>
    <row r="835" ht="15.75" customHeight="1">
      <c r="W835" s="150"/>
      <c r="X835" s="151"/>
      <c r="Y835" s="151"/>
      <c r="Z835" s="151"/>
    </row>
    <row r="836" ht="15.75" customHeight="1">
      <c r="W836" s="150"/>
      <c r="X836" s="151"/>
      <c r="Y836" s="151"/>
      <c r="Z836" s="151"/>
    </row>
    <row r="837" ht="15.75" customHeight="1">
      <c r="W837" s="150"/>
      <c r="X837" s="151"/>
      <c r="Y837" s="151"/>
      <c r="Z837" s="151"/>
    </row>
    <row r="838" ht="15.75" customHeight="1">
      <c r="W838" s="150"/>
      <c r="X838" s="151"/>
      <c r="Y838" s="151"/>
      <c r="Z838" s="151"/>
    </row>
    <row r="839" ht="15.75" customHeight="1">
      <c r="W839" s="150"/>
      <c r="X839" s="151"/>
      <c r="Y839" s="151"/>
      <c r="Z839" s="151"/>
    </row>
    <row r="840" ht="15.75" customHeight="1">
      <c r="W840" s="150"/>
      <c r="X840" s="151"/>
      <c r="Y840" s="151"/>
      <c r="Z840" s="151"/>
    </row>
    <row r="841" ht="15.75" customHeight="1">
      <c r="W841" s="150"/>
      <c r="X841" s="151"/>
      <c r="Y841" s="151"/>
      <c r="Z841" s="151"/>
    </row>
    <row r="842" ht="15.75" customHeight="1">
      <c r="W842" s="150"/>
      <c r="X842" s="151"/>
      <c r="Y842" s="151"/>
      <c r="Z842" s="151"/>
    </row>
    <row r="843" ht="15.75" customHeight="1">
      <c r="W843" s="150"/>
      <c r="X843" s="151"/>
      <c r="Y843" s="151"/>
      <c r="Z843" s="151"/>
    </row>
    <row r="844" ht="15.75" customHeight="1">
      <c r="W844" s="150"/>
      <c r="X844" s="151"/>
      <c r="Y844" s="151"/>
      <c r="Z844" s="151"/>
    </row>
    <row r="845" ht="15.75" customHeight="1">
      <c r="W845" s="150"/>
      <c r="X845" s="151"/>
      <c r="Y845" s="151"/>
      <c r="Z845" s="151"/>
    </row>
    <row r="846" ht="15.75" customHeight="1">
      <c r="W846" s="150"/>
      <c r="X846" s="151"/>
      <c r="Y846" s="151"/>
      <c r="Z846" s="151"/>
    </row>
    <row r="847" ht="15.75" customHeight="1">
      <c r="W847" s="150"/>
      <c r="X847" s="151"/>
      <c r="Y847" s="151"/>
      <c r="Z847" s="151"/>
    </row>
    <row r="848" ht="15.75" customHeight="1">
      <c r="W848" s="150"/>
      <c r="X848" s="151"/>
      <c r="Y848" s="151"/>
      <c r="Z848" s="151"/>
    </row>
    <row r="849" ht="15.75" customHeight="1">
      <c r="W849" s="150"/>
      <c r="X849" s="151"/>
      <c r="Y849" s="151"/>
      <c r="Z849" s="151"/>
    </row>
    <row r="850" ht="15.75" customHeight="1">
      <c r="W850" s="150"/>
      <c r="X850" s="151"/>
      <c r="Y850" s="151"/>
      <c r="Z850" s="151"/>
    </row>
    <row r="851" ht="15.75" customHeight="1">
      <c r="W851" s="150"/>
      <c r="X851" s="151"/>
      <c r="Y851" s="151"/>
      <c r="Z851" s="151"/>
    </row>
    <row r="852" ht="15.75" customHeight="1">
      <c r="W852" s="150"/>
      <c r="X852" s="151"/>
      <c r="Y852" s="151"/>
      <c r="Z852" s="151"/>
    </row>
    <row r="853" ht="15.75" customHeight="1">
      <c r="W853" s="150"/>
      <c r="X853" s="151"/>
      <c r="Y853" s="151"/>
      <c r="Z853" s="151"/>
    </row>
    <row r="854" ht="15.75" customHeight="1">
      <c r="W854" s="150"/>
      <c r="X854" s="151"/>
      <c r="Y854" s="151"/>
      <c r="Z854" s="151"/>
    </row>
    <row r="855" ht="15.75" customHeight="1">
      <c r="W855" s="150"/>
      <c r="X855" s="151"/>
      <c r="Y855" s="151"/>
      <c r="Z855" s="151"/>
    </row>
    <row r="856" ht="15.75" customHeight="1">
      <c r="W856" s="150"/>
      <c r="X856" s="151"/>
      <c r="Y856" s="151"/>
      <c r="Z856" s="151"/>
    </row>
    <row r="857" ht="15.75" customHeight="1">
      <c r="W857" s="150"/>
      <c r="X857" s="151"/>
      <c r="Y857" s="151"/>
      <c r="Z857" s="151"/>
    </row>
    <row r="858" ht="15.75" customHeight="1">
      <c r="W858" s="150"/>
      <c r="X858" s="151"/>
      <c r="Y858" s="151"/>
      <c r="Z858" s="151"/>
    </row>
    <row r="859" ht="15.75" customHeight="1">
      <c r="W859" s="150"/>
      <c r="X859" s="151"/>
      <c r="Y859" s="151"/>
      <c r="Z859" s="151"/>
    </row>
    <row r="860" ht="15.75" customHeight="1">
      <c r="W860" s="150"/>
      <c r="X860" s="151"/>
      <c r="Y860" s="151"/>
      <c r="Z860" s="151"/>
    </row>
    <row r="861" ht="15.75" customHeight="1">
      <c r="W861" s="150"/>
      <c r="X861" s="151"/>
      <c r="Y861" s="151"/>
      <c r="Z861" s="151"/>
    </row>
    <row r="862" ht="15.75" customHeight="1">
      <c r="W862" s="150"/>
      <c r="X862" s="151"/>
      <c r="Y862" s="151"/>
      <c r="Z862" s="151"/>
    </row>
    <row r="863" ht="15.75" customHeight="1">
      <c r="W863" s="150"/>
      <c r="X863" s="151"/>
      <c r="Y863" s="151"/>
      <c r="Z863" s="151"/>
    </row>
    <row r="864" ht="15.75" customHeight="1">
      <c r="W864" s="150"/>
      <c r="X864" s="151"/>
      <c r="Y864" s="151"/>
      <c r="Z864" s="151"/>
    </row>
    <row r="865" ht="15.75" customHeight="1">
      <c r="W865" s="150"/>
      <c r="X865" s="151"/>
      <c r="Y865" s="151"/>
      <c r="Z865" s="151"/>
    </row>
    <row r="866" ht="15.75" customHeight="1">
      <c r="W866" s="150"/>
      <c r="X866" s="151"/>
      <c r="Y866" s="151"/>
      <c r="Z866" s="151"/>
    </row>
    <row r="867" ht="15.75" customHeight="1">
      <c r="W867" s="150"/>
      <c r="X867" s="151"/>
      <c r="Y867" s="151"/>
      <c r="Z867" s="151"/>
    </row>
    <row r="868" ht="15.75" customHeight="1">
      <c r="W868" s="150"/>
      <c r="X868" s="151"/>
      <c r="Y868" s="151"/>
      <c r="Z868" s="151"/>
    </row>
    <row r="869" ht="15.75" customHeight="1">
      <c r="W869" s="150"/>
      <c r="X869" s="151"/>
      <c r="Y869" s="151"/>
      <c r="Z869" s="151"/>
    </row>
    <row r="870" ht="15.75" customHeight="1">
      <c r="W870" s="150"/>
      <c r="X870" s="151"/>
      <c r="Y870" s="151"/>
      <c r="Z870" s="151"/>
    </row>
    <row r="871" ht="15.75" customHeight="1">
      <c r="W871" s="150"/>
      <c r="X871" s="151"/>
      <c r="Y871" s="151"/>
      <c r="Z871" s="151"/>
    </row>
    <row r="872" ht="15.75" customHeight="1">
      <c r="W872" s="150"/>
      <c r="X872" s="151"/>
      <c r="Y872" s="151"/>
      <c r="Z872" s="151"/>
    </row>
    <row r="873" ht="15.75" customHeight="1">
      <c r="W873" s="150"/>
      <c r="X873" s="151"/>
      <c r="Y873" s="151"/>
      <c r="Z873" s="151"/>
    </row>
    <row r="874" ht="15.75" customHeight="1">
      <c r="W874" s="150"/>
      <c r="X874" s="151"/>
      <c r="Y874" s="151"/>
      <c r="Z874" s="151"/>
    </row>
    <row r="875" ht="15.75" customHeight="1">
      <c r="W875" s="150"/>
      <c r="X875" s="151"/>
      <c r="Y875" s="151"/>
      <c r="Z875" s="151"/>
    </row>
    <row r="876" ht="15.75" customHeight="1">
      <c r="W876" s="150"/>
      <c r="X876" s="151"/>
      <c r="Y876" s="151"/>
      <c r="Z876" s="151"/>
    </row>
    <row r="877" ht="15.75" customHeight="1">
      <c r="W877" s="150"/>
      <c r="X877" s="151"/>
      <c r="Y877" s="151"/>
      <c r="Z877" s="151"/>
    </row>
    <row r="878" ht="15.75" customHeight="1">
      <c r="W878" s="150"/>
      <c r="X878" s="151"/>
      <c r="Y878" s="151"/>
      <c r="Z878" s="151"/>
    </row>
    <row r="879" ht="15.75" customHeight="1">
      <c r="W879" s="150"/>
      <c r="X879" s="151"/>
      <c r="Y879" s="151"/>
      <c r="Z879" s="151"/>
    </row>
    <row r="880" ht="15.75" customHeight="1">
      <c r="W880" s="150"/>
      <c r="X880" s="151"/>
      <c r="Y880" s="151"/>
      <c r="Z880" s="151"/>
    </row>
    <row r="881" ht="15.75" customHeight="1">
      <c r="W881" s="150"/>
      <c r="X881" s="151"/>
      <c r="Y881" s="151"/>
      <c r="Z881" s="151"/>
    </row>
    <row r="882" ht="15.75" customHeight="1">
      <c r="W882" s="150"/>
      <c r="X882" s="151"/>
      <c r="Y882" s="151"/>
      <c r="Z882" s="151"/>
    </row>
    <row r="883" ht="15.75" customHeight="1">
      <c r="W883" s="150"/>
      <c r="X883" s="151"/>
      <c r="Y883" s="151"/>
      <c r="Z883" s="151"/>
    </row>
    <row r="884" ht="15.75" customHeight="1">
      <c r="W884" s="150"/>
      <c r="X884" s="151"/>
      <c r="Y884" s="151"/>
      <c r="Z884" s="151"/>
    </row>
    <row r="885" ht="15.75" customHeight="1">
      <c r="W885" s="150"/>
      <c r="X885" s="151"/>
      <c r="Y885" s="151"/>
      <c r="Z885" s="151"/>
    </row>
    <row r="886" ht="15.75" customHeight="1">
      <c r="W886" s="150"/>
      <c r="X886" s="151"/>
      <c r="Y886" s="151"/>
      <c r="Z886" s="151"/>
    </row>
    <row r="887" ht="15.75" customHeight="1">
      <c r="W887" s="150"/>
      <c r="X887" s="151"/>
      <c r="Y887" s="151"/>
      <c r="Z887" s="151"/>
    </row>
    <row r="888" ht="15.75" customHeight="1">
      <c r="W888" s="150"/>
      <c r="X888" s="151"/>
      <c r="Y888" s="151"/>
      <c r="Z888" s="151"/>
    </row>
    <row r="889" ht="15.75" customHeight="1">
      <c r="W889" s="150"/>
      <c r="X889" s="151"/>
      <c r="Y889" s="151"/>
      <c r="Z889" s="151"/>
    </row>
    <row r="890" ht="15.75" customHeight="1">
      <c r="W890" s="150"/>
      <c r="X890" s="151"/>
      <c r="Y890" s="151"/>
      <c r="Z890" s="151"/>
    </row>
    <row r="891" ht="15.75" customHeight="1">
      <c r="W891" s="150"/>
      <c r="X891" s="151"/>
      <c r="Y891" s="151"/>
      <c r="Z891" s="151"/>
    </row>
    <row r="892" ht="15.75" customHeight="1">
      <c r="W892" s="150"/>
      <c r="X892" s="151"/>
      <c r="Y892" s="151"/>
      <c r="Z892" s="151"/>
    </row>
    <row r="893" ht="15.75" customHeight="1">
      <c r="W893" s="150"/>
      <c r="X893" s="151"/>
      <c r="Y893" s="151"/>
      <c r="Z893" s="151"/>
    </row>
    <row r="894" ht="15.75" customHeight="1">
      <c r="W894" s="150"/>
      <c r="X894" s="151"/>
      <c r="Y894" s="151"/>
      <c r="Z894" s="151"/>
    </row>
    <row r="895" ht="15.75" customHeight="1">
      <c r="W895" s="150"/>
      <c r="X895" s="151"/>
      <c r="Y895" s="151"/>
      <c r="Z895" s="151"/>
    </row>
    <row r="896" ht="15.75" customHeight="1">
      <c r="W896" s="150"/>
      <c r="X896" s="151"/>
      <c r="Y896" s="151"/>
      <c r="Z896" s="151"/>
    </row>
    <row r="897" ht="15.75" customHeight="1">
      <c r="W897" s="150"/>
      <c r="X897" s="151"/>
      <c r="Y897" s="151"/>
      <c r="Z897" s="151"/>
    </row>
    <row r="898" ht="15.75" customHeight="1">
      <c r="W898" s="150"/>
      <c r="X898" s="151"/>
      <c r="Y898" s="151"/>
      <c r="Z898" s="151"/>
    </row>
    <row r="899" ht="15.75" customHeight="1">
      <c r="W899" s="150"/>
      <c r="X899" s="151"/>
      <c r="Y899" s="151"/>
      <c r="Z899" s="151"/>
    </row>
    <row r="900" ht="15.75" customHeight="1">
      <c r="W900" s="150"/>
      <c r="X900" s="151"/>
      <c r="Y900" s="151"/>
      <c r="Z900" s="151"/>
    </row>
    <row r="901" ht="15.75" customHeight="1">
      <c r="W901" s="150"/>
      <c r="X901" s="151"/>
      <c r="Y901" s="151"/>
      <c r="Z901" s="151"/>
    </row>
    <row r="902" ht="15.75" customHeight="1">
      <c r="W902" s="150"/>
      <c r="X902" s="151"/>
      <c r="Y902" s="151"/>
      <c r="Z902" s="151"/>
    </row>
    <row r="903" ht="15.75" customHeight="1">
      <c r="W903" s="150"/>
      <c r="X903" s="151"/>
      <c r="Y903" s="151"/>
      <c r="Z903" s="151"/>
    </row>
    <row r="904" ht="15.75" customHeight="1">
      <c r="W904" s="150"/>
      <c r="X904" s="151"/>
      <c r="Y904" s="151"/>
      <c r="Z904" s="151"/>
    </row>
    <row r="905" ht="15.75" customHeight="1">
      <c r="W905" s="150"/>
      <c r="X905" s="151"/>
      <c r="Y905" s="151"/>
      <c r="Z905" s="151"/>
    </row>
    <row r="906" ht="15.75" customHeight="1">
      <c r="W906" s="150"/>
      <c r="X906" s="151"/>
      <c r="Y906" s="151"/>
      <c r="Z906" s="151"/>
    </row>
    <row r="907" ht="15.75" customHeight="1">
      <c r="W907" s="150"/>
      <c r="X907" s="151"/>
      <c r="Y907" s="151"/>
      <c r="Z907" s="151"/>
    </row>
    <row r="908" ht="15.75" customHeight="1">
      <c r="W908" s="150"/>
      <c r="X908" s="151"/>
      <c r="Y908" s="151"/>
      <c r="Z908" s="151"/>
    </row>
    <row r="909" ht="15.75" customHeight="1">
      <c r="W909" s="150"/>
      <c r="X909" s="151"/>
      <c r="Y909" s="151"/>
      <c r="Z909" s="151"/>
    </row>
    <row r="910" ht="15.75" customHeight="1">
      <c r="W910" s="150"/>
      <c r="X910" s="151"/>
      <c r="Y910" s="151"/>
      <c r="Z910" s="151"/>
    </row>
    <row r="911" ht="15.75" customHeight="1">
      <c r="W911" s="150"/>
      <c r="X911" s="151"/>
      <c r="Y911" s="151"/>
      <c r="Z911" s="151"/>
    </row>
    <row r="912" ht="15.75" customHeight="1">
      <c r="W912" s="150"/>
      <c r="X912" s="151"/>
      <c r="Y912" s="151"/>
      <c r="Z912" s="151"/>
    </row>
    <row r="913" ht="15.75" customHeight="1">
      <c r="W913" s="150"/>
      <c r="X913" s="151"/>
      <c r="Y913" s="151"/>
      <c r="Z913" s="151"/>
    </row>
    <row r="914" ht="15.75" customHeight="1">
      <c r="W914" s="150"/>
      <c r="X914" s="151"/>
      <c r="Y914" s="151"/>
      <c r="Z914" s="151"/>
    </row>
    <row r="915" ht="15.75" customHeight="1">
      <c r="W915" s="150"/>
      <c r="X915" s="151"/>
      <c r="Y915" s="151"/>
      <c r="Z915" s="151"/>
    </row>
    <row r="916" ht="15.75" customHeight="1">
      <c r="W916" s="150"/>
      <c r="X916" s="151"/>
      <c r="Y916" s="151"/>
      <c r="Z916" s="151"/>
    </row>
    <row r="917" ht="15.75" customHeight="1">
      <c r="W917" s="150"/>
      <c r="X917" s="151"/>
      <c r="Y917" s="151"/>
      <c r="Z917" s="151"/>
    </row>
    <row r="918" ht="15.75" customHeight="1">
      <c r="W918" s="150"/>
      <c r="X918" s="151"/>
      <c r="Y918" s="151"/>
      <c r="Z918" s="151"/>
    </row>
    <row r="919" ht="15.75" customHeight="1">
      <c r="W919" s="150"/>
      <c r="X919" s="151"/>
      <c r="Y919" s="151"/>
      <c r="Z919" s="151"/>
    </row>
    <row r="920" ht="15.75" customHeight="1">
      <c r="W920" s="150"/>
      <c r="X920" s="151"/>
      <c r="Y920" s="151"/>
      <c r="Z920" s="151"/>
    </row>
    <row r="921" ht="15.75" customHeight="1">
      <c r="W921" s="150"/>
      <c r="X921" s="151"/>
      <c r="Y921" s="151"/>
      <c r="Z921" s="151"/>
    </row>
    <row r="922" ht="15.75" customHeight="1">
      <c r="W922" s="150"/>
      <c r="X922" s="151"/>
      <c r="Y922" s="151"/>
      <c r="Z922" s="151"/>
    </row>
    <row r="923" ht="15.75" customHeight="1">
      <c r="W923" s="150"/>
      <c r="X923" s="151"/>
      <c r="Y923" s="151"/>
      <c r="Z923" s="151"/>
    </row>
    <row r="924" ht="15.75" customHeight="1">
      <c r="W924" s="150"/>
      <c r="X924" s="151"/>
      <c r="Y924" s="151"/>
      <c r="Z924" s="151"/>
    </row>
    <row r="925" ht="15.75" customHeight="1">
      <c r="W925" s="150"/>
      <c r="X925" s="151"/>
      <c r="Y925" s="151"/>
      <c r="Z925" s="151"/>
    </row>
    <row r="926" ht="15.75" customHeight="1">
      <c r="W926" s="150"/>
      <c r="X926" s="151"/>
      <c r="Y926" s="151"/>
      <c r="Z926" s="151"/>
    </row>
    <row r="927" ht="15.75" customHeight="1">
      <c r="W927" s="150"/>
      <c r="X927" s="151"/>
      <c r="Y927" s="151"/>
      <c r="Z927" s="151"/>
    </row>
    <row r="928" ht="15.75" customHeight="1">
      <c r="W928" s="150"/>
      <c r="X928" s="151"/>
      <c r="Y928" s="151"/>
      <c r="Z928" s="151"/>
    </row>
    <row r="929" ht="15.75" customHeight="1">
      <c r="W929" s="150"/>
      <c r="X929" s="151"/>
      <c r="Y929" s="151"/>
      <c r="Z929" s="151"/>
    </row>
    <row r="930" ht="15.75" customHeight="1">
      <c r="W930" s="150"/>
      <c r="X930" s="151"/>
      <c r="Y930" s="151"/>
      <c r="Z930" s="151"/>
    </row>
    <row r="931" ht="15.75" customHeight="1">
      <c r="W931" s="150"/>
      <c r="X931" s="151"/>
      <c r="Y931" s="151"/>
      <c r="Z931" s="151"/>
    </row>
    <row r="932" ht="15.75" customHeight="1">
      <c r="W932" s="150"/>
      <c r="X932" s="151"/>
      <c r="Y932" s="151"/>
      <c r="Z932" s="151"/>
    </row>
    <row r="933" ht="15.75" customHeight="1">
      <c r="W933" s="150"/>
      <c r="X933" s="151"/>
      <c r="Y933" s="151"/>
      <c r="Z933" s="151"/>
    </row>
    <row r="934" ht="15.75" customHeight="1">
      <c r="W934" s="150"/>
      <c r="X934" s="151"/>
      <c r="Y934" s="151"/>
      <c r="Z934" s="151"/>
    </row>
    <row r="935" ht="15.75" customHeight="1">
      <c r="W935" s="150"/>
      <c r="X935" s="151"/>
      <c r="Y935" s="151"/>
      <c r="Z935" s="151"/>
    </row>
    <row r="936" ht="15.75" customHeight="1">
      <c r="W936" s="150"/>
      <c r="X936" s="151"/>
      <c r="Y936" s="151"/>
      <c r="Z936" s="151"/>
    </row>
    <row r="937" ht="15.75" customHeight="1">
      <c r="W937" s="150"/>
      <c r="X937" s="151"/>
      <c r="Y937" s="151"/>
      <c r="Z937" s="151"/>
    </row>
    <row r="938" ht="15.75" customHeight="1">
      <c r="W938" s="150"/>
      <c r="X938" s="151"/>
      <c r="Y938" s="151"/>
      <c r="Z938" s="151"/>
    </row>
    <row r="939" ht="15.75" customHeight="1">
      <c r="W939" s="150"/>
      <c r="X939" s="151"/>
      <c r="Y939" s="151"/>
      <c r="Z939" s="151"/>
    </row>
    <row r="940" ht="15.75" customHeight="1">
      <c r="W940" s="150"/>
      <c r="X940" s="151"/>
      <c r="Y940" s="151"/>
      <c r="Z940" s="151"/>
    </row>
    <row r="941" ht="15.75" customHeight="1">
      <c r="W941" s="150"/>
      <c r="X941" s="151"/>
      <c r="Y941" s="151"/>
      <c r="Z941" s="151"/>
    </row>
    <row r="942" ht="15.75" customHeight="1">
      <c r="W942" s="150"/>
      <c r="X942" s="151"/>
      <c r="Y942" s="151"/>
      <c r="Z942" s="151"/>
    </row>
    <row r="943" ht="15.75" customHeight="1">
      <c r="W943" s="150"/>
      <c r="X943" s="151"/>
      <c r="Y943" s="151"/>
      <c r="Z943" s="151"/>
    </row>
    <row r="944" ht="15.75" customHeight="1">
      <c r="W944" s="150"/>
      <c r="X944" s="151"/>
      <c r="Y944" s="151"/>
      <c r="Z944" s="151"/>
    </row>
    <row r="945" ht="15.75" customHeight="1">
      <c r="W945" s="150"/>
      <c r="X945" s="151"/>
      <c r="Y945" s="151"/>
      <c r="Z945" s="151"/>
    </row>
    <row r="946" ht="15.75" customHeight="1">
      <c r="W946" s="150"/>
      <c r="X946" s="151"/>
      <c r="Y946" s="151"/>
      <c r="Z946" s="151"/>
    </row>
    <row r="947" ht="15.75" customHeight="1">
      <c r="W947" s="150"/>
      <c r="X947" s="151"/>
      <c r="Y947" s="151"/>
      <c r="Z947" s="151"/>
    </row>
    <row r="948" ht="15.75" customHeight="1">
      <c r="W948" s="150"/>
      <c r="X948" s="151"/>
      <c r="Y948" s="151"/>
      <c r="Z948" s="151"/>
    </row>
    <row r="949" ht="15.75" customHeight="1">
      <c r="W949" s="150"/>
      <c r="X949" s="151"/>
      <c r="Y949" s="151"/>
      <c r="Z949" s="151"/>
    </row>
    <row r="950" ht="15.75" customHeight="1">
      <c r="W950" s="150"/>
      <c r="X950" s="151"/>
      <c r="Y950" s="151"/>
      <c r="Z950" s="151"/>
    </row>
    <row r="951" ht="15.75" customHeight="1">
      <c r="W951" s="150"/>
      <c r="X951" s="151"/>
      <c r="Y951" s="151"/>
      <c r="Z951" s="151"/>
    </row>
    <row r="952" ht="15.75" customHeight="1">
      <c r="W952" s="150"/>
      <c r="X952" s="151"/>
      <c r="Y952" s="151"/>
      <c r="Z952" s="151"/>
    </row>
    <row r="953" ht="15.75" customHeight="1">
      <c r="W953" s="150"/>
      <c r="X953" s="151"/>
      <c r="Y953" s="151"/>
      <c r="Z953" s="151"/>
    </row>
    <row r="954" ht="15.75" customHeight="1">
      <c r="W954" s="150"/>
      <c r="X954" s="151"/>
      <c r="Y954" s="151"/>
      <c r="Z954" s="151"/>
    </row>
    <row r="955" ht="15.75" customHeight="1">
      <c r="W955" s="150"/>
      <c r="X955" s="151"/>
      <c r="Y955" s="151"/>
      <c r="Z955" s="151"/>
    </row>
    <row r="956" ht="15.75" customHeight="1">
      <c r="W956" s="150"/>
      <c r="X956" s="151"/>
      <c r="Y956" s="151"/>
      <c r="Z956" s="151"/>
    </row>
    <row r="957" ht="15.75" customHeight="1">
      <c r="W957" s="150"/>
      <c r="X957" s="151"/>
      <c r="Y957" s="151"/>
      <c r="Z957" s="151"/>
    </row>
    <row r="958" ht="15.75" customHeight="1">
      <c r="W958" s="150"/>
      <c r="X958" s="151"/>
      <c r="Y958" s="151"/>
      <c r="Z958" s="151"/>
    </row>
    <row r="959" ht="15.75" customHeight="1">
      <c r="W959" s="150"/>
      <c r="X959" s="151"/>
      <c r="Y959" s="151"/>
      <c r="Z959" s="151"/>
    </row>
    <row r="960" ht="15.75" customHeight="1">
      <c r="W960" s="150"/>
      <c r="X960" s="151"/>
      <c r="Y960" s="151"/>
      <c r="Z960" s="151"/>
    </row>
    <row r="961" ht="15.75" customHeight="1">
      <c r="W961" s="150"/>
      <c r="X961" s="151"/>
      <c r="Y961" s="151"/>
      <c r="Z961" s="151"/>
    </row>
    <row r="962" ht="15.75" customHeight="1">
      <c r="W962" s="150"/>
      <c r="X962" s="151"/>
      <c r="Y962" s="151"/>
      <c r="Z962" s="151"/>
    </row>
    <row r="963" ht="15.75" customHeight="1">
      <c r="W963" s="150"/>
      <c r="X963" s="151"/>
      <c r="Y963" s="151"/>
      <c r="Z963" s="151"/>
    </row>
    <row r="964" ht="15.75" customHeight="1">
      <c r="W964" s="150"/>
      <c r="X964" s="151"/>
      <c r="Y964" s="151"/>
      <c r="Z964" s="151"/>
    </row>
    <row r="965" ht="15.75" customHeight="1">
      <c r="W965" s="150"/>
      <c r="X965" s="151"/>
      <c r="Y965" s="151"/>
      <c r="Z965" s="151"/>
    </row>
    <row r="966" ht="15.75" customHeight="1">
      <c r="W966" s="150"/>
      <c r="X966" s="151"/>
      <c r="Y966" s="151"/>
      <c r="Z966" s="151"/>
    </row>
    <row r="967" ht="15.75" customHeight="1">
      <c r="W967" s="150"/>
      <c r="X967" s="151"/>
      <c r="Y967" s="151"/>
      <c r="Z967" s="151"/>
    </row>
    <row r="968" ht="15.75" customHeight="1">
      <c r="W968" s="150"/>
      <c r="X968" s="151"/>
      <c r="Y968" s="151"/>
      <c r="Z968" s="151"/>
    </row>
    <row r="969" ht="15.75" customHeight="1">
      <c r="W969" s="150"/>
      <c r="X969" s="151"/>
      <c r="Y969" s="151"/>
      <c r="Z969" s="151"/>
    </row>
    <row r="970" ht="15.75" customHeight="1">
      <c r="W970" s="150"/>
      <c r="X970" s="151"/>
      <c r="Y970" s="151"/>
      <c r="Z970" s="151"/>
    </row>
    <row r="971" ht="15.75" customHeight="1">
      <c r="W971" s="150"/>
      <c r="X971" s="151"/>
      <c r="Y971" s="151"/>
      <c r="Z971" s="151"/>
    </row>
    <row r="972" ht="15.75" customHeight="1">
      <c r="W972" s="150"/>
      <c r="X972" s="151"/>
      <c r="Y972" s="151"/>
      <c r="Z972" s="151"/>
    </row>
    <row r="973" ht="15.75" customHeight="1">
      <c r="W973" s="150"/>
      <c r="X973" s="151"/>
      <c r="Y973" s="151"/>
      <c r="Z973" s="151"/>
    </row>
    <row r="974" ht="15.75" customHeight="1">
      <c r="W974" s="150"/>
      <c r="X974" s="151"/>
      <c r="Y974" s="151"/>
      <c r="Z974" s="151"/>
    </row>
    <row r="975" ht="15.75" customHeight="1">
      <c r="W975" s="150"/>
      <c r="X975" s="151"/>
      <c r="Y975" s="151"/>
      <c r="Z975" s="151"/>
    </row>
    <row r="976" ht="15.75" customHeight="1">
      <c r="W976" s="150"/>
      <c r="X976" s="151"/>
      <c r="Y976" s="151"/>
      <c r="Z976" s="151"/>
    </row>
    <row r="977" ht="15.75" customHeight="1">
      <c r="W977" s="150"/>
      <c r="X977" s="151"/>
      <c r="Y977" s="151"/>
      <c r="Z977" s="151"/>
    </row>
    <row r="978" ht="15.75" customHeight="1">
      <c r="W978" s="150"/>
      <c r="X978" s="151"/>
      <c r="Y978" s="151"/>
      <c r="Z978" s="151"/>
    </row>
    <row r="979" ht="15.75" customHeight="1">
      <c r="W979" s="150"/>
      <c r="X979" s="151"/>
      <c r="Y979" s="151"/>
      <c r="Z979" s="151"/>
    </row>
    <row r="980" ht="15.75" customHeight="1">
      <c r="W980" s="150"/>
      <c r="X980" s="151"/>
      <c r="Y980" s="151"/>
      <c r="Z980" s="151"/>
    </row>
    <row r="981" ht="15.75" customHeight="1">
      <c r="W981" s="150"/>
      <c r="X981" s="151"/>
      <c r="Y981" s="151"/>
      <c r="Z981" s="151"/>
    </row>
    <row r="982" ht="15.75" customHeight="1">
      <c r="W982" s="150"/>
      <c r="X982" s="151"/>
      <c r="Y982" s="151"/>
      <c r="Z982" s="151"/>
    </row>
    <row r="983" ht="15.75" customHeight="1">
      <c r="W983" s="150"/>
      <c r="X983" s="151"/>
      <c r="Y983" s="151"/>
      <c r="Z983" s="151"/>
    </row>
    <row r="984" ht="15.75" customHeight="1">
      <c r="W984" s="150"/>
      <c r="X984" s="151"/>
      <c r="Y984" s="151"/>
      <c r="Z984" s="151"/>
    </row>
    <row r="985" ht="15.75" customHeight="1">
      <c r="W985" s="150"/>
      <c r="X985" s="151"/>
      <c r="Y985" s="151"/>
      <c r="Z985" s="151"/>
    </row>
    <row r="986" ht="15.75" customHeight="1">
      <c r="W986" s="150"/>
      <c r="X986" s="151"/>
      <c r="Y986" s="151"/>
      <c r="Z986" s="151"/>
    </row>
    <row r="987" ht="15.75" customHeight="1">
      <c r="W987" s="150"/>
      <c r="X987" s="151"/>
      <c r="Y987" s="151"/>
      <c r="Z987" s="151"/>
    </row>
    <row r="988" ht="15.75" customHeight="1">
      <c r="W988" s="150"/>
      <c r="X988" s="151"/>
      <c r="Y988" s="151"/>
      <c r="Z988" s="151"/>
    </row>
    <row r="989" ht="15.75" customHeight="1">
      <c r="W989" s="150"/>
      <c r="X989" s="151"/>
      <c r="Y989" s="151"/>
      <c r="Z989" s="151"/>
    </row>
    <row r="990" ht="15.75" customHeight="1">
      <c r="W990" s="150"/>
      <c r="X990" s="151"/>
      <c r="Y990" s="151"/>
      <c r="Z990" s="151"/>
    </row>
    <row r="991" ht="15.75" customHeight="1">
      <c r="W991" s="150"/>
      <c r="X991" s="151"/>
      <c r="Y991" s="151"/>
      <c r="Z991" s="151"/>
    </row>
    <row r="992" ht="15.75" customHeight="1">
      <c r="W992" s="150"/>
      <c r="X992" s="151"/>
      <c r="Y992" s="151"/>
      <c r="Z992" s="151"/>
    </row>
    <row r="993" ht="15.75" customHeight="1">
      <c r="W993" s="150"/>
      <c r="X993" s="151"/>
      <c r="Y993" s="151"/>
      <c r="Z993" s="151"/>
    </row>
    <row r="994" ht="15.75" customHeight="1">
      <c r="W994" s="150"/>
      <c r="X994" s="151"/>
      <c r="Y994" s="151"/>
      <c r="Z994" s="151"/>
    </row>
    <row r="995" ht="15.75" customHeight="1">
      <c r="W995" s="150"/>
      <c r="X995" s="151"/>
      <c r="Y995" s="151"/>
      <c r="Z995" s="151"/>
    </row>
    <row r="996" ht="15.75" customHeight="1">
      <c r="W996" s="150"/>
      <c r="X996" s="151"/>
      <c r="Y996" s="151"/>
      <c r="Z996" s="151"/>
    </row>
    <row r="997" ht="15.75" customHeight="1">
      <c r="W997" s="150"/>
      <c r="X997" s="151"/>
      <c r="Y997" s="151"/>
      <c r="Z997" s="151"/>
    </row>
    <row r="998" ht="15.75" customHeight="1">
      <c r="W998" s="150"/>
      <c r="X998" s="151"/>
      <c r="Y998" s="151"/>
      <c r="Z998" s="151"/>
    </row>
    <row r="999" ht="15.75" customHeight="1">
      <c r="W999" s="150"/>
      <c r="X999" s="151"/>
      <c r="Y999" s="151"/>
      <c r="Z999" s="151"/>
    </row>
    <row r="1000" ht="15.75" customHeight="1">
      <c r="W1000" s="150"/>
      <c r="X1000" s="151"/>
      <c r="Y1000" s="151"/>
      <c r="Z1000" s="151"/>
    </row>
  </sheetData>
  <mergeCells count="5">
    <mergeCell ref="A1:V1"/>
    <mergeCell ref="A202:B202"/>
    <mergeCell ref="A203:B203"/>
    <mergeCell ref="A204:B204"/>
    <mergeCell ref="A205:B205"/>
  </mergeCells>
  <printOptions/>
  <pageMargins bottom="1.0" footer="0.0" header="0.0" left="0.75" right="0.75" top="1.0"/>
  <pageSetup fitToHeight="0"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1" width="14.0"/>
    <col customWidth="1" min="12" max="12" width="12.0"/>
    <col customWidth="1" min="13" max="13" width="13.0"/>
    <col customWidth="1" min="14" max="16" width="12.0"/>
    <col customWidth="1" min="17" max="17" width="13.0"/>
    <col customWidth="1" min="18" max="18" width="12.0"/>
    <col customWidth="1" min="19" max="19" width="11.43"/>
    <col customWidth="1" min="20" max="20" width="11.0"/>
    <col customWidth="1" min="21" max="21" width="5.0"/>
    <col customWidth="1" min="22" max="22" width="21.86"/>
  </cols>
  <sheetData>
    <row r="1" ht="18.0" customHeight="1">
      <c r="A1" s="242" t="s">
        <v>424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ht="37.5" customHeight="1">
      <c r="A2" s="243" t="s">
        <v>73</v>
      </c>
      <c r="B2" s="244" t="s">
        <v>74</v>
      </c>
      <c r="C2" s="244" t="s">
        <v>75</v>
      </c>
      <c r="D2" s="244" t="s">
        <v>76</v>
      </c>
      <c r="E2" s="244" t="s">
        <v>77</v>
      </c>
      <c r="F2" s="243" t="s">
        <v>78</v>
      </c>
      <c r="G2" s="244" t="s">
        <v>79</v>
      </c>
      <c r="H2" s="244" t="s">
        <v>80</v>
      </c>
      <c r="I2" s="244" t="s">
        <v>81</v>
      </c>
      <c r="J2" s="244" t="s">
        <v>82</v>
      </c>
      <c r="K2" s="244" t="s">
        <v>425</v>
      </c>
      <c r="L2" s="244" t="s">
        <v>426</v>
      </c>
      <c r="M2" s="244" t="s">
        <v>427</v>
      </c>
      <c r="N2" s="244" t="s">
        <v>428</v>
      </c>
      <c r="O2" s="244" t="s">
        <v>429</v>
      </c>
      <c r="P2" s="244" t="s">
        <v>430</v>
      </c>
      <c r="Q2" s="244" t="s">
        <v>431</v>
      </c>
      <c r="R2" s="244" t="s">
        <v>432</v>
      </c>
      <c r="S2" s="244" t="s">
        <v>91</v>
      </c>
      <c r="T2" s="244" t="s">
        <v>433</v>
      </c>
      <c r="U2" s="244" t="s">
        <v>93</v>
      </c>
      <c r="V2" s="244" t="s">
        <v>94</v>
      </c>
    </row>
    <row r="3" ht="12.75" customHeight="1">
      <c r="A3" s="245" t="s">
        <v>434</v>
      </c>
      <c r="B3" s="246" t="s">
        <v>99</v>
      </c>
      <c r="C3" s="247" t="s">
        <v>100</v>
      </c>
      <c r="D3" s="247" t="s">
        <v>101</v>
      </c>
      <c r="E3" s="247"/>
      <c r="F3" s="247" t="s">
        <v>102</v>
      </c>
      <c r="G3" s="247" t="s">
        <v>103</v>
      </c>
      <c r="H3" s="247" t="s">
        <v>435</v>
      </c>
      <c r="I3" s="248" t="s">
        <v>105</v>
      </c>
      <c r="J3" s="247" t="s">
        <v>106</v>
      </c>
      <c r="K3" s="249">
        <v>10.39</v>
      </c>
      <c r="L3" s="250">
        <v>14334.0</v>
      </c>
      <c r="M3" s="249">
        <v>1.55</v>
      </c>
      <c r="N3" s="250">
        <v>2138.0</v>
      </c>
      <c r="O3" s="249">
        <v>1.05</v>
      </c>
      <c r="P3" s="250">
        <v>1448.0</v>
      </c>
      <c r="Q3" s="251">
        <f t="shared" ref="Q3:R3" si="1">M3-O3</f>
        <v>0.5</v>
      </c>
      <c r="R3" s="252">
        <f t="shared" si="1"/>
        <v>690</v>
      </c>
      <c r="S3" s="253">
        <v>1379.6</v>
      </c>
      <c r="T3" s="254">
        <v>15.0</v>
      </c>
      <c r="U3" s="255" t="s">
        <v>107</v>
      </c>
      <c r="V3" s="255"/>
    </row>
    <row r="4" ht="12.75" customHeight="1">
      <c r="A4" s="245" t="s">
        <v>436</v>
      </c>
      <c r="B4" s="246" t="s">
        <v>99</v>
      </c>
      <c r="C4" s="247" t="s">
        <v>100</v>
      </c>
      <c r="D4" s="247" t="s">
        <v>101</v>
      </c>
      <c r="E4" s="248"/>
      <c r="F4" s="247" t="s">
        <v>102</v>
      </c>
      <c r="G4" s="247" t="s">
        <v>103</v>
      </c>
      <c r="H4" s="247" t="s">
        <v>437</v>
      </c>
      <c r="I4" s="248" t="s">
        <v>105</v>
      </c>
      <c r="J4" s="247" t="s">
        <v>106</v>
      </c>
      <c r="K4" s="251">
        <f t="shared" ref="K4:R4" si="2">-K3</f>
        <v>-10.39</v>
      </c>
      <c r="L4" s="252">
        <f t="shared" si="2"/>
        <v>-14334</v>
      </c>
      <c r="M4" s="251">
        <f t="shared" si="2"/>
        <v>-1.55</v>
      </c>
      <c r="N4" s="252">
        <f t="shared" si="2"/>
        <v>-2138</v>
      </c>
      <c r="O4" s="251">
        <f t="shared" si="2"/>
        <v>-1.05</v>
      </c>
      <c r="P4" s="252">
        <f t="shared" si="2"/>
        <v>-1448</v>
      </c>
      <c r="Q4" s="251">
        <f t="shared" si="2"/>
        <v>-0.5</v>
      </c>
      <c r="R4" s="252">
        <f t="shared" si="2"/>
        <v>-690</v>
      </c>
      <c r="S4" s="253">
        <v>1379.6</v>
      </c>
      <c r="T4" s="254">
        <v>15.0</v>
      </c>
      <c r="U4" s="255" t="s">
        <v>107</v>
      </c>
      <c r="V4" s="255"/>
    </row>
    <row r="5" ht="12.75" customHeight="1">
      <c r="A5" s="256" t="s">
        <v>438</v>
      </c>
      <c r="B5" s="257" t="s">
        <v>99</v>
      </c>
      <c r="C5" s="258" t="s">
        <v>100</v>
      </c>
      <c r="D5" s="258" t="s">
        <v>101</v>
      </c>
      <c r="E5" s="258"/>
      <c r="F5" s="258" t="s">
        <v>102</v>
      </c>
      <c r="G5" s="258" t="s">
        <v>103</v>
      </c>
      <c r="H5" s="258" t="s">
        <v>439</v>
      </c>
      <c r="I5" s="259" t="s">
        <v>105</v>
      </c>
      <c r="J5" s="258" t="s">
        <v>106</v>
      </c>
      <c r="K5" s="260">
        <f>ROUND(M5/0.15,2)</f>
        <v>3.33</v>
      </c>
      <c r="L5" s="261">
        <f>ROUND(N5/0.15,0)</f>
        <v>4600</v>
      </c>
      <c r="M5" s="260">
        <f t="shared" ref="M5:N5" si="3">Q5</f>
        <v>0.5</v>
      </c>
      <c r="N5" s="261">
        <f t="shared" si="3"/>
        <v>690</v>
      </c>
      <c r="O5" s="262">
        <v>1.05</v>
      </c>
      <c r="P5" s="263">
        <v>1448.0</v>
      </c>
      <c r="Q5" s="260">
        <f t="shared" ref="Q5:R5" si="4">M3-O5</f>
        <v>0.5</v>
      </c>
      <c r="R5" s="261">
        <f t="shared" si="4"/>
        <v>690</v>
      </c>
      <c r="S5" s="264">
        <v>1379.6</v>
      </c>
      <c r="T5" s="265">
        <v>15.0</v>
      </c>
      <c r="U5" s="266" t="s">
        <v>107</v>
      </c>
      <c r="V5" s="266" t="s">
        <v>440</v>
      </c>
    </row>
    <row r="6" ht="12.75" customHeight="1">
      <c r="A6" s="245" t="s">
        <v>441</v>
      </c>
      <c r="B6" s="246" t="s">
        <v>99</v>
      </c>
      <c r="C6" s="247" t="s">
        <v>100</v>
      </c>
      <c r="D6" s="247" t="s">
        <v>108</v>
      </c>
      <c r="E6" s="248"/>
      <c r="F6" s="247" t="s">
        <v>102</v>
      </c>
      <c r="G6" s="247" t="s">
        <v>103</v>
      </c>
      <c r="H6" s="247" t="s">
        <v>442</v>
      </c>
      <c r="I6" s="248" t="s">
        <v>105</v>
      </c>
      <c r="J6" s="247" t="s">
        <v>106</v>
      </c>
      <c r="K6" s="249">
        <v>41.84</v>
      </c>
      <c r="L6" s="250">
        <v>57944.0</v>
      </c>
      <c r="M6" s="249">
        <v>6.28</v>
      </c>
      <c r="N6" s="250">
        <v>8697.0</v>
      </c>
      <c r="O6" s="249">
        <v>4.26</v>
      </c>
      <c r="P6" s="250">
        <v>5899.0</v>
      </c>
      <c r="Q6" s="251">
        <f t="shared" ref="Q6:R6" si="5">M6-O6</f>
        <v>2.02</v>
      </c>
      <c r="R6" s="252">
        <f t="shared" si="5"/>
        <v>2798</v>
      </c>
      <c r="S6" s="253">
        <v>1384.9</v>
      </c>
      <c r="T6" s="254">
        <v>15.0</v>
      </c>
      <c r="U6" s="255" t="s">
        <v>107</v>
      </c>
      <c r="V6" s="255"/>
    </row>
    <row r="7" ht="12.75" customHeight="1">
      <c r="A7" s="245" t="s">
        <v>443</v>
      </c>
      <c r="B7" s="246" t="s">
        <v>99</v>
      </c>
      <c r="C7" s="247" t="s">
        <v>100</v>
      </c>
      <c r="D7" s="247" t="s">
        <v>108</v>
      </c>
      <c r="E7" s="248"/>
      <c r="F7" s="247" t="s">
        <v>102</v>
      </c>
      <c r="G7" s="247" t="s">
        <v>103</v>
      </c>
      <c r="H7" s="247" t="s">
        <v>444</v>
      </c>
      <c r="I7" s="248" t="s">
        <v>105</v>
      </c>
      <c r="J7" s="247" t="s">
        <v>106</v>
      </c>
      <c r="K7" s="251">
        <f t="shared" ref="K7:R7" si="6">-K6</f>
        <v>-41.84</v>
      </c>
      <c r="L7" s="252">
        <f t="shared" si="6"/>
        <v>-57944</v>
      </c>
      <c r="M7" s="251">
        <f t="shared" si="6"/>
        <v>-6.28</v>
      </c>
      <c r="N7" s="252">
        <f t="shared" si="6"/>
        <v>-8697</v>
      </c>
      <c r="O7" s="251">
        <f t="shared" si="6"/>
        <v>-4.26</v>
      </c>
      <c r="P7" s="252">
        <f t="shared" si="6"/>
        <v>-5899</v>
      </c>
      <c r="Q7" s="251">
        <f t="shared" si="6"/>
        <v>-2.02</v>
      </c>
      <c r="R7" s="252">
        <f t="shared" si="6"/>
        <v>-2798</v>
      </c>
      <c r="S7" s="253">
        <v>1384.9</v>
      </c>
      <c r="T7" s="254">
        <v>15.0</v>
      </c>
      <c r="U7" s="255" t="s">
        <v>107</v>
      </c>
      <c r="V7" s="255"/>
    </row>
    <row r="8" ht="12.75" customHeight="1">
      <c r="A8" s="256" t="s">
        <v>445</v>
      </c>
      <c r="B8" s="257" t="s">
        <v>99</v>
      </c>
      <c r="C8" s="258" t="s">
        <v>100</v>
      </c>
      <c r="D8" s="258" t="s">
        <v>108</v>
      </c>
      <c r="E8" s="259"/>
      <c r="F8" s="258" t="s">
        <v>102</v>
      </c>
      <c r="G8" s="258" t="s">
        <v>103</v>
      </c>
      <c r="H8" s="258" t="s">
        <v>446</v>
      </c>
      <c r="I8" s="259" t="s">
        <v>105</v>
      </c>
      <c r="J8" s="258" t="s">
        <v>106</v>
      </c>
      <c r="K8" s="260">
        <f>ROUND(M8/0.15,2)</f>
        <v>13.47</v>
      </c>
      <c r="L8" s="261">
        <f>ROUND(N8/0.15,0)</f>
        <v>18653</v>
      </c>
      <c r="M8" s="260">
        <f t="shared" ref="M8:N8" si="7">Q8</f>
        <v>2.02</v>
      </c>
      <c r="N8" s="261">
        <f t="shared" si="7"/>
        <v>2798</v>
      </c>
      <c r="O8" s="262">
        <v>4.26</v>
      </c>
      <c r="P8" s="263">
        <v>5899.0</v>
      </c>
      <c r="Q8" s="260">
        <f t="shared" ref="Q8:R8" si="8">M6-O8</f>
        <v>2.02</v>
      </c>
      <c r="R8" s="261">
        <f t="shared" si="8"/>
        <v>2798</v>
      </c>
      <c r="S8" s="264">
        <v>1384.9</v>
      </c>
      <c r="T8" s="265">
        <v>15.0</v>
      </c>
      <c r="U8" s="266" t="s">
        <v>107</v>
      </c>
      <c r="V8" s="266" t="s">
        <v>447</v>
      </c>
    </row>
    <row r="9" ht="12.75" customHeight="1">
      <c r="A9" s="245" t="s">
        <v>448</v>
      </c>
      <c r="B9" s="246" t="s">
        <v>99</v>
      </c>
      <c r="C9" s="247" t="s">
        <v>100</v>
      </c>
      <c r="D9" s="247" t="s">
        <v>110</v>
      </c>
      <c r="E9" s="248"/>
      <c r="F9" s="247" t="s">
        <v>102</v>
      </c>
      <c r="G9" s="247" t="s">
        <v>103</v>
      </c>
      <c r="H9" s="247" t="s">
        <v>449</v>
      </c>
      <c r="I9" s="248" t="s">
        <v>105</v>
      </c>
      <c r="J9" s="247" t="s">
        <v>106</v>
      </c>
      <c r="K9" s="249">
        <v>43.43</v>
      </c>
      <c r="L9" s="250">
        <v>60193.0</v>
      </c>
      <c r="M9" s="249">
        <v>6.52</v>
      </c>
      <c r="N9" s="250">
        <v>9036.0</v>
      </c>
      <c r="O9" s="249">
        <v>4.42</v>
      </c>
      <c r="P9" s="250">
        <v>6126.0</v>
      </c>
      <c r="Q9" s="251">
        <f t="shared" ref="Q9:R9" si="9">M9-O9</f>
        <v>2.1</v>
      </c>
      <c r="R9" s="252">
        <f t="shared" si="9"/>
        <v>2910</v>
      </c>
      <c r="S9" s="253">
        <v>1386.0</v>
      </c>
      <c r="T9" s="254">
        <v>15.0</v>
      </c>
      <c r="U9" s="255" t="s">
        <v>107</v>
      </c>
      <c r="V9" s="255"/>
    </row>
    <row r="10" ht="12.75" customHeight="1">
      <c r="A10" s="245" t="s">
        <v>450</v>
      </c>
      <c r="B10" s="246" t="s">
        <v>99</v>
      </c>
      <c r="C10" s="247" t="s">
        <v>100</v>
      </c>
      <c r="D10" s="247" t="s">
        <v>110</v>
      </c>
      <c r="E10" s="248"/>
      <c r="F10" s="247" t="s">
        <v>102</v>
      </c>
      <c r="G10" s="247" t="s">
        <v>103</v>
      </c>
      <c r="H10" s="247" t="s">
        <v>451</v>
      </c>
      <c r="I10" s="248" t="s">
        <v>105</v>
      </c>
      <c r="J10" s="247" t="s">
        <v>106</v>
      </c>
      <c r="K10" s="251">
        <f t="shared" ref="K10:R10" si="10">-K9</f>
        <v>-43.43</v>
      </c>
      <c r="L10" s="252">
        <f t="shared" si="10"/>
        <v>-60193</v>
      </c>
      <c r="M10" s="251">
        <f t="shared" si="10"/>
        <v>-6.52</v>
      </c>
      <c r="N10" s="252">
        <f t="shared" si="10"/>
        <v>-9036</v>
      </c>
      <c r="O10" s="251">
        <f t="shared" si="10"/>
        <v>-4.42</v>
      </c>
      <c r="P10" s="252">
        <f t="shared" si="10"/>
        <v>-6126</v>
      </c>
      <c r="Q10" s="251">
        <f t="shared" si="10"/>
        <v>-2.1</v>
      </c>
      <c r="R10" s="252">
        <f t="shared" si="10"/>
        <v>-2910</v>
      </c>
      <c r="S10" s="253">
        <v>1386.0</v>
      </c>
      <c r="T10" s="254">
        <v>15.0</v>
      </c>
      <c r="U10" s="255" t="s">
        <v>107</v>
      </c>
      <c r="V10" s="255"/>
    </row>
    <row r="11" ht="12.75" customHeight="1">
      <c r="A11" s="256" t="s">
        <v>452</v>
      </c>
      <c r="B11" s="257" t="s">
        <v>99</v>
      </c>
      <c r="C11" s="258" t="s">
        <v>100</v>
      </c>
      <c r="D11" s="258" t="s">
        <v>110</v>
      </c>
      <c r="E11" s="259"/>
      <c r="F11" s="258" t="s">
        <v>102</v>
      </c>
      <c r="G11" s="258" t="s">
        <v>103</v>
      </c>
      <c r="H11" s="258" t="s">
        <v>453</v>
      </c>
      <c r="I11" s="259" t="s">
        <v>105</v>
      </c>
      <c r="J11" s="258" t="s">
        <v>106</v>
      </c>
      <c r="K11" s="260">
        <f>ROUND(M11/0.15,2)</f>
        <v>14</v>
      </c>
      <c r="L11" s="261">
        <f>ROUND(N11/0.15,0)</f>
        <v>19400</v>
      </c>
      <c r="M11" s="260">
        <f t="shared" ref="M11:N11" si="11">Q11</f>
        <v>2.1</v>
      </c>
      <c r="N11" s="261">
        <f t="shared" si="11"/>
        <v>2910</v>
      </c>
      <c r="O11" s="262">
        <v>4.42</v>
      </c>
      <c r="P11" s="263">
        <v>6126.0</v>
      </c>
      <c r="Q11" s="260">
        <f t="shared" ref="Q11:R11" si="12">M9-O11</f>
        <v>2.1</v>
      </c>
      <c r="R11" s="261">
        <f t="shared" si="12"/>
        <v>2910</v>
      </c>
      <c r="S11" s="264">
        <v>1386.0</v>
      </c>
      <c r="T11" s="265">
        <v>15.0</v>
      </c>
      <c r="U11" s="266" t="s">
        <v>107</v>
      </c>
      <c r="V11" s="266" t="s">
        <v>454</v>
      </c>
    </row>
    <row r="12" ht="12.75" customHeight="1">
      <c r="A12" s="245" t="s">
        <v>455</v>
      </c>
      <c r="B12" s="246" t="s">
        <v>99</v>
      </c>
      <c r="C12" s="247" t="s">
        <v>100</v>
      </c>
      <c r="D12" s="247" t="s">
        <v>112</v>
      </c>
      <c r="E12" s="248"/>
      <c r="F12" s="247" t="s">
        <v>102</v>
      </c>
      <c r="G12" s="247" t="s">
        <v>103</v>
      </c>
      <c r="H12" s="247" t="s">
        <v>456</v>
      </c>
      <c r="I12" s="248" t="s">
        <v>105</v>
      </c>
      <c r="J12" s="247" t="s">
        <v>106</v>
      </c>
      <c r="K12" s="249">
        <v>44.17</v>
      </c>
      <c r="L12" s="250">
        <v>61051.0</v>
      </c>
      <c r="M12" s="249">
        <v>6.63</v>
      </c>
      <c r="N12" s="250">
        <v>9163.0</v>
      </c>
      <c r="O12" s="249">
        <v>4.5</v>
      </c>
      <c r="P12" s="250">
        <v>6219.0</v>
      </c>
      <c r="Q12" s="251">
        <f t="shared" ref="Q12:R12" si="13">M12-O12</f>
        <v>2.13</v>
      </c>
      <c r="R12" s="252">
        <f t="shared" si="13"/>
        <v>2944</v>
      </c>
      <c r="S12" s="253">
        <v>1382.2</v>
      </c>
      <c r="T12" s="254">
        <v>15.0</v>
      </c>
      <c r="U12" s="255" t="s">
        <v>107</v>
      </c>
      <c r="V12" s="255"/>
    </row>
    <row r="13" ht="12.75" customHeight="1">
      <c r="A13" s="245" t="s">
        <v>457</v>
      </c>
      <c r="B13" s="246" t="s">
        <v>99</v>
      </c>
      <c r="C13" s="247" t="s">
        <v>100</v>
      </c>
      <c r="D13" s="247" t="s">
        <v>112</v>
      </c>
      <c r="E13" s="248"/>
      <c r="F13" s="247" t="s">
        <v>102</v>
      </c>
      <c r="G13" s="247" t="s">
        <v>103</v>
      </c>
      <c r="H13" s="247" t="s">
        <v>458</v>
      </c>
      <c r="I13" s="248" t="s">
        <v>105</v>
      </c>
      <c r="J13" s="247" t="s">
        <v>106</v>
      </c>
      <c r="K13" s="251">
        <f t="shared" ref="K13:R13" si="14">-K12</f>
        <v>-44.17</v>
      </c>
      <c r="L13" s="252">
        <f t="shared" si="14"/>
        <v>-61051</v>
      </c>
      <c r="M13" s="251">
        <f t="shared" si="14"/>
        <v>-6.63</v>
      </c>
      <c r="N13" s="252">
        <f t="shared" si="14"/>
        <v>-9163</v>
      </c>
      <c r="O13" s="251">
        <f t="shared" si="14"/>
        <v>-4.5</v>
      </c>
      <c r="P13" s="252">
        <f t="shared" si="14"/>
        <v>-6219</v>
      </c>
      <c r="Q13" s="251">
        <f t="shared" si="14"/>
        <v>-2.13</v>
      </c>
      <c r="R13" s="252">
        <f t="shared" si="14"/>
        <v>-2944</v>
      </c>
      <c r="S13" s="253">
        <v>1382.2</v>
      </c>
      <c r="T13" s="254">
        <v>15.0</v>
      </c>
      <c r="U13" s="255" t="s">
        <v>107</v>
      </c>
      <c r="V13" s="255"/>
    </row>
    <row r="14" ht="12.75" customHeight="1">
      <c r="A14" s="256" t="s">
        <v>459</v>
      </c>
      <c r="B14" s="257" t="s">
        <v>99</v>
      </c>
      <c r="C14" s="258" t="s">
        <v>100</v>
      </c>
      <c r="D14" s="258" t="s">
        <v>112</v>
      </c>
      <c r="E14" s="259"/>
      <c r="F14" s="258" t="s">
        <v>102</v>
      </c>
      <c r="G14" s="258" t="s">
        <v>103</v>
      </c>
      <c r="H14" s="258" t="s">
        <v>460</v>
      </c>
      <c r="I14" s="259" t="s">
        <v>105</v>
      </c>
      <c r="J14" s="258" t="s">
        <v>106</v>
      </c>
      <c r="K14" s="260">
        <f>ROUND(M14/0.15,2)</f>
        <v>14.2</v>
      </c>
      <c r="L14" s="261">
        <f>ROUND(N14/0.15,0)</f>
        <v>19627</v>
      </c>
      <c r="M14" s="260">
        <f t="shared" ref="M14:N14" si="15">Q14</f>
        <v>2.13</v>
      </c>
      <c r="N14" s="261">
        <f t="shared" si="15"/>
        <v>2944</v>
      </c>
      <c r="O14" s="262">
        <v>4.5</v>
      </c>
      <c r="P14" s="263">
        <v>6219.0</v>
      </c>
      <c r="Q14" s="260">
        <f t="shared" ref="Q14:R14" si="16">M12-O14</f>
        <v>2.13</v>
      </c>
      <c r="R14" s="261">
        <f t="shared" si="16"/>
        <v>2944</v>
      </c>
      <c r="S14" s="264">
        <v>1382.2</v>
      </c>
      <c r="T14" s="265">
        <v>15.0</v>
      </c>
      <c r="U14" s="266" t="s">
        <v>107</v>
      </c>
      <c r="V14" s="266" t="s">
        <v>461</v>
      </c>
    </row>
    <row r="15" ht="12.75" customHeight="1">
      <c r="A15" s="245" t="s">
        <v>462</v>
      </c>
      <c r="B15" s="246" t="s">
        <v>99</v>
      </c>
      <c r="C15" s="247" t="s">
        <v>100</v>
      </c>
      <c r="D15" s="247" t="s">
        <v>114</v>
      </c>
      <c r="E15" s="248"/>
      <c r="F15" s="247" t="s">
        <v>115</v>
      </c>
      <c r="G15" s="247" t="s">
        <v>116</v>
      </c>
      <c r="H15" s="247" t="s">
        <v>117</v>
      </c>
      <c r="I15" s="248" t="s">
        <v>105</v>
      </c>
      <c r="J15" s="247" t="s">
        <v>106</v>
      </c>
      <c r="K15" s="249">
        <v>105.92</v>
      </c>
      <c r="L15" s="250">
        <v>147419.0</v>
      </c>
      <c r="M15" s="249">
        <v>15.89</v>
      </c>
      <c r="N15" s="250">
        <v>22115.0</v>
      </c>
      <c r="O15" s="249">
        <v>0.61</v>
      </c>
      <c r="P15" s="250">
        <v>848.0</v>
      </c>
      <c r="Q15" s="251">
        <f t="shared" ref="Q15:R15" si="17">M15-O15</f>
        <v>15.28</v>
      </c>
      <c r="R15" s="252">
        <f t="shared" si="17"/>
        <v>21267</v>
      </c>
      <c r="S15" s="253">
        <v>1391.8</v>
      </c>
      <c r="T15" s="254">
        <v>15.0</v>
      </c>
      <c r="U15" s="255" t="s">
        <v>107</v>
      </c>
      <c r="V15" s="255"/>
    </row>
    <row r="16" ht="12.75" customHeight="1">
      <c r="A16" s="245" t="s">
        <v>463</v>
      </c>
      <c r="B16" s="246" t="s">
        <v>99</v>
      </c>
      <c r="C16" s="247" t="s">
        <v>100</v>
      </c>
      <c r="D16" s="247" t="s">
        <v>114</v>
      </c>
      <c r="E16" s="248"/>
      <c r="F16" s="247" t="s">
        <v>115</v>
      </c>
      <c r="G16" s="247" t="s">
        <v>116</v>
      </c>
      <c r="H16" s="247" t="s">
        <v>117</v>
      </c>
      <c r="I16" s="248" t="s">
        <v>105</v>
      </c>
      <c r="J16" s="247" t="s">
        <v>106</v>
      </c>
      <c r="K16" s="251">
        <f t="shared" ref="K16:R16" si="18">-K15</f>
        <v>-105.92</v>
      </c>
      <c r="L16" s="252">
        <f t="shared" si="18"/>
        <v>-147419</v>
      </c>
      <c r="M16" s="251">
        <f t="shared" si="18"/>
        <v>-15.89</v>
      </c>
      <c r="N16" s="252">
        <f t="shared" si="18"/>
        <v>-22115</v>
      </c>
      <c r="O16" s="251">
        <f t="shared" si="18"/>
        <v>-0.61</v>
      </c>
      <c r="P16" s="252">
        <f t="shared" si="18"/>
        <v>-848</v>
      </c>
      <c r="Q16" s="251">
        <f t="shared" si="18"/>
        <v>-15.28</v>
      </c>
      <c r="R16" s="252">
        <f t="shared" si="18"/>
        <v>-21267</v>
      </c>
      <c r="S16" s="253">
        <v>1391.8</v>
      </c>
      <c r="T16" s="254">
        <v>15.0</v>
      </c>
      <c r="U16" s="255" t="s">
        <v>107</v>
      </c>
      <c r="V16" s="255"/>
    </row>
    <row r="17" ht="12.75" customHeight="1">
      <c r="A17" s="256" t="s">
        <v>464</v>
      </c>
      <c r="B17" s="257" t="s">
        <v>99</v>
      </c>
      <c r="C17" s="258" t="s">
        <v>100</v>
      </c>
      <c r="D17" s="258" t="s">
        <v>114</v>
      </c>
      <c r="E17" s="259"/>
      <c r="F17" s="258" t="s">
        <v>115</v>
      </c>
      <c r="G17" s="258" t="s">
        <v>116</v>
      </c>
      <c r="H17" s="258" t="s">
        <v>117</v>
      </c>
      <c r="I17" s="259" t="s">
        <v>105</v>
      </c>
      <c r="J17" s="258" t="s">
        <v>106</v>
      </c>
      <c r="K17" s="260">
        <f>ROUND(M17/0.15,2)</f>
        <v>101.87</v>
      </c>
      <c r="L17" s="261">
        <f>ROUND(N17/0.15,0)</f>
        <v>141780</v>
      </c>
      <c r="M17" s="260">
        <f t="shared" ref="M17:N17" si="19">Q17</f>
        <v>15.28</v>
      </c>
      <c r="N17" s="261">
        <f t="shared" si="19"/>
        <v>21267</v>
      </c>
      <c r="O17" s="262">
        <v>0.61</v>
      </c>
      <c r="P17" s="263">
        <v>848.0</v>
      </c>
      <c r="Q17" s="260">
        <f t="shared" ref="Q17:R17" si="20">M15-O17</f>
        <v>15.28</v>
      </c>
      <c r="R17" s="261">
        <f t="shared" si="20"/>
        <v>21267</v>
      </c>
      <c r="S17" s="264">
        <v>1391.8</v>
      </c>
      <c r="T17" s="265">
        <v>15.0</v>
      </c>
      <c r="U17" s="266" t="s">
        <v>107</v>
      </c>
      <c r="V17" s="266" t="s">
        <v>465</v>
      </c>
    </row>
    <row r="18" ht="12.75" customHeight="1">
      <c r="A18" s="245" t="s">
        <v>434</v>
      </c>
      <c r="B18" s="246" t="s">
        <v>118</v>
      </c>
      <c r="C18" s="247" t="s">
        <v>119</v>
      </c>
      <c r="D18" s="247" t="s">
        <v>120</v>
      </c>
      <c r="E18" s="247" t="s">
        <v>121</v>
      </c>
      <c r="F18" s="248"/>
      <c r="G18" s="247" t="s">
        <v>116</v>
      </c>
      <c r="H18" s="247" t="s">
        <v>117</v>
      </c>
      <c r="I18" s="248" t="s">
        <v>105</v>
      </c>
      <c r="J18" s="247" t="s">
        <v>106</v>
      </c>
      <c r="K18" s="249">
        <v>1410.29</v>
      </c>
      <c r="L18" s="250">
        <v>2073126.0</v>
      </c>
      <c r="M18" s="249">
        <v>211.54</v>
      </c>
      <c r="N18" s="250">
        <v>310963.0</v>
      </c>
      <c r="O18" s="249">
        <v>0.0</v>
      </c>
      <c r="P18" s="250">
        <v>0.0</v>
      </c>
      <c r="Q18" s="251">
        <f t="shared" ref="Q18:R18" si="21">M18-O18</f>
        <v>211.54</v>
      </c>
      <c r="R18" s="252">
        <f t="shared" si="21"/>
        <v>310963</v>
      </c>
      <c r="S18" s="253">
        <v>1470.0</v>
      </c>
      <c r="T18" s="254">
        <v>15.0</v>
      </c>
      <c r="U18" s="255" t="s">
        <v>107</v>
      </c>
      <c r="V18" s="255"/>
    </row>
    <row r="19" ht="12.75" customHeight="1">
      <c r="A19" s="245" t="s">
        <v>436</v>
      </c>
      <c r="B19" s="246" t="s">
        <v>118</v>
      </c>
      <c r="C19" s="247" t="s">
        <v>119</v>
      </c>
      <c r="D19" s="247" t="s">
        <v>120</v>
      </c>
      <c r="E19" s="247" t="s">
        <v>121</v>
      </c>
      <c r="F19" s="248"/>
      <c r="G19" s="247" t="s">
        <v>116</v>
      </c>
      <c r="H19" s="247" t="s">
        <v>117</v>
      </c>
      <c r="I19" s="248" t="s">
        <v>105</v>
      </c>
      <c r="J19" s="247" t="s">
        <v>106</v>
      </c>
      <c r="K19" s="251">
        <f t="shared" ref="K19:R19" si="22">-K18</f>
        <v>-1410.29</v>
      </c>
      <c r="L19" s="252">
        <f t="shared" si="22"/>
        <v>-2073126</v>
      </c>
      <c r="M19" s="251">
        <f t="shared" si="22"/>
        <v>-211.54</v>
      </c>
      <c r="N19" s="252">
        <f t="shared" si="22"/>
        <v>-310963</v>
      </c>
      <c r="O19" s="251">
        <f t="shared" si="22"/>
        <v>0</v>
      </c>
      <c r="P19" s="252">
        <f t="shared" si="22"/>
        <v>0</v>
      </c>
      <c r="Q19" s="251">
        <f t="shared" si="22"/>
        <v>-211.54</v>
      </c>
      <c r="R19" s="252">
        <f t="shared" si="22"/>
        <v>-310963</v>
      </c>
      <c r="S19" s="253">
        <v>1470.0</v>
      </c>
      <c r="T19" s="254">
        <v>15.0</v>
      </c>
      <c r="U19" s="255" t="s">
        <v>107</v>
      </c>
      <c r="V19" s="255"/>
    </row>
    <row r="20" ht="12.75" customHeight="1">
      <c r="A20" s="256" t="s">
        <v>438</v>
      </c>
      <c r="B20" s="257" t="s">
        <v>118</v>
      </c>
      <c r="C20" s="258" t="s">
        <v>119</v>
      </c>
      <c r="D20" s="258" t="s">
        <v>120</v>
      </c>
      <c r="E20" s="258" t="s">
        <v>121</v>
      </c>
      <c r="F20" s="259"/>
      <c r="G20" s="258" t="s">
        <v>116</v>
      </c>
      <c r="H20" s="258" t="s">
        <v>117</v>
      </c>
      <c r="I20" s="259" t="s">
        <v>105</v>
      </c>
      <c r="J20" s="258" t="s">
        <v>106</v>
      </c>
      <c r="K20" s="260">
        <f>ROUND(M20/0.15,2)</f>
        <v>1350.87</v>
      </c>
      <c r="L20" s="261">
        <f>ROUND(N20/0.15,0)</f>
        <v>1985767</v>
      </c>
      <c r="M20" s="260">
        <f t="shared" ref="M20:N20" si="23">Q20</f>
        <v>202.63</v>
      </c>
      <c r="N20" s="261">
        <f t="shared" si="23"/>
        <v>297865</v>
      </c>
      <c r="O20" s="262">
        <v>8.91</v>
      </c>
      <c r="P20" s="263">
        <v>13098.0</v>
      </c>
      <c r="Q20" s="260">
        <f t="shared" ref="Q20:R20" si="24">M18-O20</f>
        <v>202.63</v>
      </c>
      <c r="R20" s="261">
        <f t="shared" si="24"/>
        <v>297865</v>
      </c>
      <c r="S20" s="264">
        <v>1470.0</v>
      </c>
      <c r="T20" s="265">
        <v>15.0</v>
      </c>
      <c r="U20" s="266" t="s">
        <v>107</v>
      </c>
      <c r="V20" s="266" t="s">
        <v>466</v>
      </c>
    </row>
    <row r="21" ht="12.75" customHeight="1">
      <c r="A21" s="267" t="s">
        <v>467</v>
      </c>
      <c r="B21" s="268" t="s">
        <v>118</v>
      </c>
      <c r="C21" s="269" t="s">
        <v>119</v>
      </c>
      <c r="D21" s="269" t="s">
        <v>122</v>
      </c>
      <c r="E21" s="269" t="s">
        <v>122</v>
      </c>
      <c r="F21" s="269"/>
      <c r="G21" s="269" t="s">
        <v>123</v>
      </c>
      <c r="H21" s="269" t="s">
        <v>124</v>
      </c>
      <c r="I21" s="270" t="s">
        <v>105</v>
      </c>
      <c r="J21" s="269" t="s">
        <v>106</v>
      </c>
      <c r="K21" s="271">
        <v>0.52</v>
      </c>
      <c r="L21" s="272">
        <v>763.0</v>
      </c>
      <c r="M21" s="271">
        <v>0.07</v>
      </c>
      <c r="N21" s="272">
        <v>102.0</v>
      </c>
      <c r="O21" s="271">
        <v>0.0</v>
      </c>
      <c r="P21" s="272">
        <v>0.0</v>
      </c>
      <c r="Q21" s="273">
        <f t="shared" ref="Q21:R21" si="25">M21-O21</f>
        <v>0.07</v>
      </c>
      <c r="R21" s="274">
        <f t="shared" si="25"/>
        <v>102</v>
      </c>
      <c r="S21" s="275">
        <v>1468.3</v>
      </c>
      <c r="T21" s="276">
        <v>15.0</v>
      </c>
      <c r="U21" s="277" t="s">
        <v>107</v>
      </c>
      <c r="V21" s="277"/>
    </row>
    <row r="22" ht="12.75" customHeight="1">
      <c r="A22" s="245" t="s">
        <v>448</v>
      </c>
      <c r="B22" s="246" t="s">
        <v>118</v>
      </c>
      <c r="C22" s="247" t="s">
        <v>119</v>
      </c>
      <c r="D22" s="247" t="s">
        <v>125</v>
      </c>
      <c r="E22" s="247" t="s">
        <v>126</v>
      </c>
      <c r="F22" s="248"/>
      <c r="G22" s="247" t="s">
        <v>127</v>
      </c>
      <c r="H22" s="247" t="s">
        <v>128</v>
      </c>
      <c r="I22" s="248" t="s">
        <v>105</v>
      </c>
      <c r="J22" s="247" t="s">
        <v>106</v>
      </c>
      <c r="K22" s="249">
        <v>398.95</v>
      </c>
      <c r="L22" s="250">
        <v>579674.0</v>
      </c>
      <c r="M22" s="249">
        <v>59.85</v>
      </c>
      <c r="N22" s="250">
        <v>86962.0</v>
      </c>
      <c r="O22" s="249">
        <v>0.0</v>
      </c>
      <c r="P22" s="250">
        <v>0.0</v>
      </c>
      <c r="Q22" s="251">
        <f t="shared" ref="Q22:R22" si="26">M22-O22</f>
        <v>59.85</v>
      </c>
      <c r="R22" s="252">
        <f t="shared" si="26"/>
        <v>86962</v>
      </c>
      <c r="S22" s="253">
        <v>1453.0</v>
      </c>
      <c r="T22" s="254">
        <v>15.0</v>
      </c>
      <c r="U22" s="255" t="s">
        <v>107</v>
      </c>
      <c r="V22" s="255"/>
    </row>
    <row r="23" ht="12.75" customHeight="1">
      <c r="A23" s="245" t="s">
        <v>450</v>
      </c>
      <c r="B23" s="246" t="s">
        <v>118</v>
      </c>
      <c r="C23" s="247" t="s">
        <v>119</v>
      </c>
      <c r="D23" s="247" t="s">
        <v>125</v>
      </c>
      <c r="E23" s="247" t="s">
        <v>126</v>
      </c>
      <c r="F23" s="248"/>
      <c r="G23" s="247" t="s">
        <v>127</v>
      </c>
      <c r="H23" s="247" t="s">
        <v>128</v>
      </c>
      <c r="I23" s="248" t="s">
        <v>105</v>
      </c>
      <c r="J23" s="247" t="s">
        <v>106</v>
      </c>
      <c r="K23" s="251">
        <f t="shared" ref="K23:R23" si="27">-K22</f>
        <v>-398.95</v>
      </c>
      <c r="L23" s="252">
        <f t="shared" si="27"/>
        <v>-579674</v>
      </c>
      <c r="M23" s="251">
        <f t="shared" si="27"/>
        <v>-59.85</v>
      </c>
      <c r="N23" s="252">
        <f t="shared" si="27"/>
        <v>-86962</v>
      </c>
      <c r="O23" s="251">
        <f t="shared" si="27"/>
        <v>0</v>
      </c>
      <c r="P23" s="252">
        <f t="shared" si="27"/>
        <v>0</v>
      </c>
      <c r="Q23" s="251">
        <f t="shared" si="27"/>
        <v>-59.85</v>
      </c>
      <c r="R23" s="252">
        <f t="shared" si="27"/>
        <v>-86962</v>
      </c>
      <c r="S23" s="253">
        <v>1453.0</v>
      </c>
      <c r="T23" s="254">
        <v>15.0</v>
      </c>
      <c r="U23" s="255" t="s">
        <v>107</v>
      </c>
      <c r="V23" s="255"/>
    </row>
    <row r="24" ht="12.75" customHeight="1">
      <c r="A24" s="256" t="s">
        <v>452</v>
      </c>
      <c r="B24" s="257" t="s">
        <v>118</v>
      </c>
      <c r="C24" s="258" t="s">
        <v>119</v>
      </c>
      <c r="D24" s="258" t="s">
        <v>125</v>
      </c>
      <c r="E24" s="258" t="s">
        <v>126</v>
      </c>
      <c r="F24" s="259"/>
      <c r="G24" s="258" t="s">
        <v>127</v>
      </c>
      <c r="H24" s="258" t="s">
        <v>128</v>
      </c>
      <c r="I24" s="259" t="s">
        <v>105</v>
      </c>
      <c r="J24" s="258" t="s">
        <v>106</v>
      </c>
      <c r="K24" s="260">
        <f>ROUND(M24/0.15,2)</f>
        <v>188.93</v>
      </c>
      <c r="L24" s="261">
        <f>ROUND(N24/0.15,0)</f>
        <v>274520</v>
      </c>
      <c r="M24" s="260">
        <f t="shared" ref="M24:N24" si="28">Q24</f>
        <v>28.34</v>
      </c>
      <c r="N24" s="261">
        <f t="shared" si="28"/>
        <v>41178</v>
      </c>
      <c r="O24" s="262">
        <v>31.51</v>
      </c>
      <c r="P24" s="263">
        <v>45784.0</v>
      </c>
      <c r="Q24" s="260">
        <f t="shared" ref="Q24:R24" si="29">M22-O24</f>
        <v>28.34</v>
      </c>
      <c r="R24" s="261">
        <f t="shared" si="29"/>
        <v>41178</v>
      </c>
      <c r="S24" s="264">
        <v>1453.0</v>
      </c>
      <c r="T24" s="265">
        <v>15.0</v>
      </c>
      <c r="U24" s="266" t="s">
        <v>107</v>
      </c>
      <c r="V24" s="266" t="s">
        <v>468</v>
      </c>
    </row>
    <row r="25" ht="12.75" customHeight="1">
      <c r="A25" s="245" t="s">
        <v>455</v>
      </c>
      <c r="B25" s="246" t="s">
        <v>118</v>
      </c>
      <c r="C25" s="247" t="s">
        <v>119</v>
      </c>
      <c r="D25" s="247" t="s">
        <v>129</v>
      </c>
      <c r="E25" s="247" t="s">
        <v>129</v>
      </c>
      <c r="F25" s="248"/>
      <c r="G25" s="247" t="s">
        <v>116</v>
      </c>
      <c r="H25" s="247" t="s">
        <v>117</v>
      </c>
      <c r="I25" s="248" t="s">
        <v>105</v>
      </c>
      <c r="J25" s="247" t="s">
        <v>106</v>
      </c>
      <c r="K25" s="249">
        <v>355.06</v>
      </c>
      <c r="L25" s="250">
        <v>513807.0</v>
      </c>
      <c r="M25" s="249">
        <v>53.26</v>
      </c>
      <c r="N25" s="250">
        <v>77072.0</v>
      </c>
      <c r="O25" s="249">
        <v>0.0</v>
      </c>
      <c r="P25" s="250">
        <v>0.0</v>
      </c>
      <c r="Q25" s="251">
        <f t="shared" ref="Q25:R25" si="30">M25-O25</f>
        <v>53.26</v>
      </c>
      <c r="R25" s="252">
        <f t="shared" si="30"/>
        <v>77072</v>
      </c>
      <c r="S25" s="253">
        <v>1447.1</v>
      </c>
      <c r="T25" s="254">
        <v>15.0</v>
      </c>
      <c r="U25" s="255" t="s">
        <v>107</v>
      </c>
      <c r="V25" s="255"/>
    </row>
    <row r="26" ht="12.75" customHeight="1">
      <c r="A26" s="245" t="s">
        <v>457</v>
      </c>
      <c r="B26" s="246" t="s">
        <v>118</v>
      </c>
      <c r="C26" s="247" t="s">
        <v>119</v>
      </c>
      <c r="D26" s="247" t="s">
        <v>129</v>
      </c>
      <c r="E26" s="247" t="s">
        <v>129</v>
      </c>
      <c r="F26" s="248"/>
      <c r="G26" s="247" t="s">
        <v>116</v>
      </c>
      <c r="H26" s="247" t="s">
        <v>117</v>
      </c>
      <c r="I26" s="248" t="s">
        <v>105</v>
      </c>
      <c r="J26" s="247" t="s">
        <v>106</v>
      </c>
      <c r="K26" s="251">
        <f t="shared" ref="K26:R26" si="31">-K25</f>
        <v>-355.06</v>
      </c>
      <c r="L26" s="252">
        <f t="shared" si="31"/>
        <v>-513807</v>
      </c>
      <c r="M26" s="251">
        <f t="shared" si="31"/>
        <v>-53.26</v>
      </c>
      <c r="N26" s="252">
        <f t="shared" si="31"/>
        <v>-77072</v>
      </c>
      <c r="O26" s="251">
        <f t="shared" si="31"/>
        <v>0</v>
      </c>
      <c r="P26" s="252">
        <f t="shared" si="31"/>
        <v>0</v>
      </c>
      <c r="Q26" s="251">
        <f t="shared" si="31"/>
        <v>-53.26</v>
      </c>
      <c r="R26" s="252">
        <f t="shared" si="31"/>
        <v>-77072</v>
      </c>
      <c r="S26" s="253">
        <v>1447.1</v>
      </c>
      <c r="T26" s="254">
        <v>15.0</v>
      </c>
      <c r="U26" s="255" t="s">
        <v>107</v>
      </c>
      <c r="V26" s="255"/>
    </row>
    <row r="27" ht="12.75" customHeight="1">
      <c r="A27" s="256" t="s">
        <v>459</v>
      </c>
      <c r="B27" s="257" t="s">
        <v>118</v>
      </c>
      <c r="C27" s="258" t="s">
        <v>119</v>
      </c>
      <c r="D27" s="258" t="s">
        <v>129</v>
      </c>
      <c r="E27" s="258" t="s">
        <v>129</v>
      </c>
      <c r="F27" s="259"/>
      <c r="G27" s="258" t="s">
        <v>116</v>
      </c>
      <c r="H27" s="258" t="s">
        <v>117</v>
      </c>
      <c r="I27" s="259" t="s">
        <v>105</v>
      </c>
      <c r="J27" s="258" t="s">
        <v>106</v>
      </c>
      <c r="K27" s="260">
        <f>ROUND(M27/0.15,2)</f>
        <v>339</v>
      </c>
      <c r="L27" s="261">
        <f>ROUND(N27/0.15,0)</f>
        <v>490560</v>
      </c>
      <c r="M27" s="260">
        <f t="shared" ref="M27:N27" si="32">Q27</f>
        <v>50.85</v>
      </c>
      <c r="N27" s="261">
        <f t="shared" si="32"/>
        <v>73584</v>
      </c>
      <c r="O27" s="262">
        <v>2.41</v>
      </c>
      <c r="P27" s="263">
        <v>3488.0</v>
      </c>
      <c r="Q27" s="260">
        <f t="shared" ref="Q27:R27" si="33">M25-O27</f>
        <v>50.85</v>
      </c>
      <c r="R27" s="261">
        <f t="shared" si="33"/>
        <v>73584</v>
      </c>
      <c r="S27" s="264">
        <v>1447.1</v>
      </c>
      <c r="T27" s="265">
        <v>15.0</v>
      </c>
      <c r="U27" s="266" t="s">
        <v>107</v>
      </c>
      <c r="V27" s="266" t="s">
        <v>469</v>
      </c>
    </row>
    <row r="28" ht="12.75" customHeight="1">
      <c r="A28" s="245" t="s">
        <v>462</v>
      </c>
      <c r="B28" s="246" t="s">
        <v>118</v>
      </c>
      <c r="C28" s="247" t="s">
        <v>119</v>
      </c>
      <c r="D28" s="247" t="s">
        <v>130</v>
      </c>
      <c r="E28" s="247" t="s">
        <v>129</v>
      </c>
      <c r="F28" s="248"/>
      <c r="G28" s="247" t="s">
        <v>131</v>
      </c>
      <c r="H28" s="247" t="s">
        <v>132</v>
      </c>
      <c r="I28" s="248" t="s">
        <v>105</v>
      </c>
      <c r="J28" s="247" t="s">
        <v>106</v>
      </c>
      <c r="K28" s="249">
        <v>833.25</v>
      </c>
      <c r="L28" s="250">
        <v>1211128.0</v>
      </c>
      <c r="M28" s="249">
        <v>124.99</v>
      </c>
      <c r="N28" s="250">
        <v>181672.0</v>
      </c>
      <c r="O28" s="249">
        <v>0.0</v>
      </c>
      <c r="P28" s="250">
        <v>0.0</v>
      </c>
      <c r="Q28" s="251">
        <f t="shared" ref="Q28:R28" si="34">M28-O28</f>
        <v>124.99</v>
      </c>
      <c r="R28" s="252">
        <f t="shared" si="34"/>
        <v>181672</v>
      </c>
      <c r="S28" s="253">
        <v>1453.5</v>
      </c>
      <c r="T28" s="254">
        <v>15.0</v>
      </c>
      <c r="U28" s="255" t="s">
        <v>107</v>
      </c>
      <c r="V28" s="255"/>
    </row>
    <row r="29" ht="12.75" customHeight="1">
      <c r="A29" s="245" t="s">
        <v>463</v>
      </c>
      <c r="B29" s="246" t="s">
        <v>118</v>
      </c>
      <c r="C29" s="247" t="s">
        <v>119</v>
      </c>
      <c r="D29" s="247" t="s">
        <v>130</v>
      </c>
      <c r="E29" s="247" t="s">
        <v>129</v>
      </c>
      <c r="F29" s="248"/>
      <c r="G29" s="247" t="s">
        <v>131</v>
      </c>
      <c r="H29" s="247" t="s">
        <v>132</v>
      </c>
      <c r="I29" s="248" t="s">
        <v>105</v>
      </c>
      <c r="J29" s="247" t="s">
        <v>106</v>
      </c>
      <c r="K29" s="251">
        <f t="shared" ref="K29:R29" si="35">-K28</f>
        <v>-833.25</v>
      </c>
      <c r="L29" s="252">
        <f t="shared" si="35"/>
        <v>-1211128</v>
      </c>
      <c r="M29" s="251">
        <f t="shared" si="35"/>
        <v>-124.99</v>
      </c>
      <c r="N29" s="252">
        <f t="shared" si="35"/>
        <v>-181672</v>
      </c>
      <c r="O29" s="251">
        <f t="shared" si="35"/>
        <v>0</v>
      </c>
      <c r="P29" s="252">
        <f t="shared" si="35"/>
        <v>0</v>
      </c>
      <c r="Q29" s="251">
        <f t="shared" si="35"/>
        <v>-124.99</v>
      </c>
      <c r="R29" s="252">
        <f t="shared" si="35"/>
        <v>-181672</v>
      </c>
      <c r="S29" s="253">
        <v>1453.5</v>
      </c>
      <c r="T29" s="254">
        <v>15.0</v>
      </c>
      <c r="U29" s="255" t="s">
        <v>107</v>
      </c>
      <c r="V29" s="255"/>
    </row>
    <row r="30" ht="12.75" customHeight="1">
      <c r="A30" s="256" t="s">
        <v>464</v>
      </c>
      <c r="B30" s="257" t="s">
        <v>118</v>
      </c>
      <c r="C30" s="258" t="s">
        <v>119</v>
      </c>
      <c r="D30" s="258" t="s">
        <v>130</v>
      </c>
      <c r="E30" s="258" t="s">
        <v>129</v>
      </c>
      <c r="F30" s="259"/>
      <c r="G30" s="258" t="s">
        <v>131</v>
      </c>
      <c r="H30" s="258" t="s">
        <v>132</v>
      </c>
      <c r="I30" s="259" t="s">
        <v>105</v>
      </c>
      <c r="J30" s="258" t="s">
        <v>106</v>
      </c>
      <c r="K30" s="260">
        <f>ROUND(M30/0.15,2)</f>
        <v>24.6</v>
      </c>
      <c r="L30" s="261">
        <f>ROUND(N30/0.15,0)</f>
        <v>35747</v>
      </c>
      <c r="M30" s="260">
        <f t="shared" ref="M30:N30" si="36">Q30</f>
        <v>3.69</v>
      </c>
      <c r="N30" s="261">
        <f t="shared" si="36"/>
        <v>5362</v>
      </c>
      <c r="O30" s="262">
        <v>121.3</v>
      </c>
      <c r="P30" s="263">
        <v>176310.0</v>
      </c>
      <c r="Q30" s="260">
        <f t="shared" ref="Q30:R30" si="37">M28-O30</f>
        <v>3.69</v>
      </c>
      <c r="R30" s="261">
        <f t="shared" si="37"/>
        <v>5362</v>
      </c>
      <c r="S30" s="264">
        <v>1453.5</v>
      </c>
      <c r="T30" s="265">
        <v>15.0</v>
      </c>
      <c r="U30" s="266" t="s">
        <v>107</v>
      </c>
      <c r="V30" s="266" t="s">
        <v>470</v>
      </c>
    </row>
    <row r="31" ht="12.75" customHeight="1">
      <c r="A31" s="245" t="s">
        <v>471</v>
      </c>
      <c r="B31" s="246" t="s">
        <v>118</v>
      </c>
      <c r="C31" s="247" t="s">
        <v>119</v>
      </c>
      <c r="D31" s="247" t="s">
        <v>133</v>
      </c>
      <c r="E31" s="247" t="s">
        <v>134</v>
      </c>
      <c r="F31" s="248"/>
      <c r="G31" s="247" t="s">
        <v>135</v>
      </c>
      <c r="H31" s="247" t="s">
        <v>136</v>
      </c>
      <c r="I31" s="248" t="s">
        <v>105</v>
      </c>
      <c r="J31" s="247" t="s">
        <v>106</v>
      </c>
      <c r="K31" s="249">
        <v>1196.79</v>
      </c>
      <c r="L31" s="250">
        <v>1728045.0</v>
      </c>
      <c r="M31" s="249">
        <v>179.52</v>
      </c>
      <c r="N31" s="250">
        <v>259208.0</v>
      </c>
      <c r="O31" s="249">
        <v>0.0</v>
      </c>
      <c r="P31" s="250">
        <v>0.0</v>
      </c>
      <c r="Q31" s="251">
        <f t="shared" ref="Q31:R31" si="38">M31-O31</f>
        <v>179.52</v>
      </c>
      <c r="R31" s="252">
        <f t="shared" si="38"/>
        <v>259208</v>
      </c>
      <c r="S31" s="253">
        <v>1443.9</v>
      </c>
      <c r="T31" s="254">
        <v>15.0</v>
      </c>
      <c r="U31" s="255" t="s">
        <v>107</v>
      </c>
      <c r="V31" s="255"/>
    </row>
    <row r="32" ht="12.75" customHeight="1">
      <c r="A32" s="245" t="s">
        <v>472</v>
      </c>
      <c r="B32" s="246" t="s">
        <v>118</v>
      </c>
      <c r="C32" s="247" t="s">
        <v>119</v>
      </c>
      <c r="D32" s="247" t="s">
        <v>133</v>
      </c>
      <c r="E32" s="247" t="s">
        <v>134</v>
      </c>
      <c r="F32" s="248"/>
      <c r="G32" s="247" t="s">
        <v>135</v>
      </c>
      <c r="H32" s="247" t="s">
        <v>136</v>
      </c>
      <c r="I32" s="248" t="s">
        <v>105</v>
      </c>
      <c r="J32" s="247" t="s">
        <v>106</v>
      </c>
      <c r="K32" s="251">
        <f t="shared" ref="K32:R32" si="39">-K31</f>
        <v>-1196.79</v>
      </c>
      <c r="L32" s="252">
        <f t="shared" si="39"/>
        <v>-1728045</v>
      </c>
      <c r="M32" s="251">
        <f t="shared" si="39"/>
        <v>-179.52</v>
      </c>
      <c r="N32" s="252">
        <f t="shared" si="39"/>
        <v>-259208</v>
      </c>
      <c r="O32" s="251">
        <f t="shared" si="39"/>
        <v>0</v>
      </c>
      <c r="P32" s="252">
        <f t="shared" si="39"/>
        <v>0</v>
      </c>
      <c r="Q32" s="251">
        <f t="shared" si="39"/>
        <v>-179.52</v>
      </c>
      <c r="R32" s="252">
        <f t="shared" si="39"/>
        <v>-259208</v>
      </c>
      <c r="S32" s="253">
        <v>1443.9</v>
      </c>
      <c r="T32" s="254">
        <v>15.0</v>
      </c>
      <c r="U32" s="255" t="s">
        <v>107</v>
      </c>
      <c r="V32" s="255"/>
    </row>
    <row r="33" ht="12.75" customHeight="1">
      <c r="A33" s="256" t="s">
        <v>473</v>
      </c>
      <c r="B33" s="257" t="s">
        <v>118</v>
      </c>
      <c r="C33" s="258" t="s">
        <v>119</v>
      </c>
      <c r="D33" s="258" t="s">
        <v>133</v>
      </c>
      <c r="E33" s="258" t="s">
        <v>134</v>
      </c>
      <c r="F33" s="259"/>
      <c r="G33" s="258" t="s">
        <v>135</v>
      </c>
      <c r="H33" s="258" t="s">
        <v>136</v>
      </c>
      <c r="I33" s="259" t="s">
        <v>105</v>
      </c>
      <c r="J33" s="258" t="s">
        <v>106</v>
      </c>
      <c r="K33" s="260">
        <f>ROUND(M33/0.15,2)</f>
        <v>0</v>
      </c>
      <c r="L33" s="261">
        <f>ROUND(N33/0.15,0)</f>
        <v>-7</v>
      </c>
      <c r="M33" s="260">
        <f t="shared" ref="M33:N33" si="40">Q33</f>
        <v>0</v>
      </c>
      <c r="N33" s="261">
        <f t="shared" si="40"/>
        <v>-1</v>
      </c>
      <c r="O33" s="262">
        <v>179.52</v>
      </c>
      <c r="P33" s="263">
        <v>259209.0</v>
      </c>
      <c r="Q33" s="260">
        <f t="shared" ref="Q33:R33" si="41">M31-O33</f>
        <v>0</v>
      </c>
      <c r="R33" s="261">
        <f t="shared" si="41"/>
        <v>-1</v>
      </c>
      <c r="S33" s="264">
        <v>1443.9</v>
      </c>
      <c r="T33" s="265">
        <v>15.0</v>
      </c>
      <c r="U33" s="266" t="s">
        <v>107</v>
      </c>
      <c r="V33" s="266" t="s">
        <v>474</v>
      </c>
    </row>
    <row r="34" ht="12.75" customHeight="1">
      <c r="A34" s="245" t="s">
        <v>475</v>
      </c>
      <c r="B34" s="246" t="s">
        <v>118</v>
      </c>
      <c r="C34" s="247" t="s">
        <v>119</v>
      </c>
      <c r="D34" s="247" t="s">
        <v>137</v>
      </c>
      <c r="E34" s="247" t="s">
        <v>138</v>
      </c>
      <c r="F34" s="248"/>
      <c r="G34" s="247" t="s">
        <v>139</v>
      </c>
      <c r="H34" s="247" t="s">
        <v>140</v>
      </c>
      <c r="I34" s="248" t="s">
        <v>105</v>
      </c>
      <c r="J34" s="247" t="s">
        <v>106</v>
      </c>
      <c r="K34" s="249">
        <v>468.66</v>
      </c>
      <c r="L34" s="250">
        <v>672105.0</v>
      </c>
      <c r="M34" s="249">
        <v>70.3</v>
      </c>
      <c r="N34" s="250">
        <v>100817.0</v>
      </c>
      <c r="O34" s="249">
        <v>0.0</v>
      </c>
      <c r="P34" s="250">
        <v>0.0</v>
      </c>
      <c r="Q34" s="251">
        <f t="shared" ref="Q34:R34" si="42">M34-O34</f>
        <v>70.3</v>
      </c>
      <c r="R34" s="252">
        <f t="shared" si="42"/>
        <v>100817</v>
      </c>
      <c r="S34" s="253">
        <v>1434.1</v>
      </c>
      <c r="T34" s="254">
        <v>15.0</v>
      </c>
      <c r="U34" s="255" t="s">
        <v>107</v>
      </c>
      <c r="V34" s="255"/>
    </row>
    <row r="35" ht="12.75" customHeight="1">
      <c r="A35" s="245" t="s">
        <v>476</v>
      </c>
      <c r="B35" s="246" t="s">
        <v>118</v>
      </c>
      <c r="C35" s="247" t="s">
        <v>119</v>
      </c>
      <c r="D35" s="247" t="s">
        <v>137</v>
      </c>
      <c r="E35" s="247" t="s">
        <v>138</v>
      </c>
      <c r="F35" s="248"/>
      <c r="G35" s="247" t="s">
        <v>139</v>
      </c>
      <c r="H35" s="247" t="s">
        <v>140</v>
      </c>
      <c r="I35" s="248" t="s">
        <v>105</v>
      </c>
      <c r="J35" s="247" t="s">
        <v>106</v>
      </c>
      <c r="K35" s="251">
        <f t="shared" ref="K35:R35" si="43">-K34</f>
        <v>-468.66</v>
      </c>
      <c r="L35" s="252">
        <f t="shared" si="43"/>
        <v>-672105</v>
      </c>
      <c r="M35" s="251">
        <f t="shared" si="43"/>
        <v>-70.3</v>
      </c>
      <c r="N35" s="252">
        <f t="shared" si="43"/>
        <v>-100817</v>
      </c>
      <c r="O35" s="251">
        <f t="shared" si="43"/>
        <v>0</v>
      </c>
      <c r="P35" s="252">
        <f t="shared" si="43"/>
        <v>0</v>
      </c>
      <c r="Q35" s="251">
        <f t="shared" si="43"/>
        <v>-70.3</v>
      </c>
      <c r="R35" s="252">
        <f t="shared" si="43"/>
        <v>-100817</v>
      </c>
      <c r="S35" s="253">
        <v>1434.1</v>
      </c>
      <c r="T35" s="254">
        <v>15.0</v>
      </c>
      <c r="U35" s="255" t="s">
        <v>107</v>
      </c>
      <c r="V35" s="255"/>
    </row>
    <row r="36" ht="12.75" customHeight="1">
      <c r="A36" s="256" t="s">
        <v>477</v>
      </c>
      <c r="B36" s="257" t="s">
        <v>118</v>
      </c>
      <c r="C36" s="258" t="s">
        <v>119</v>
      </c>
      <c r="D36" s="258" t="s">
        <v>137</v>
      </c>
      <c r="E36" s="258" t="s">
        <v>138</v>
      </c>
      <c r="F36" s="259"/>
      <c r="G36" s="258" t="s">
        <v>139</v>
      </c>
      <c r="H36" s="258" t="s">
        <v>140</v>
      </c>
      <c r="I36" s="259" t="s">
        <v>105</v>
      </c>
      <c r="J36" s="258" t="s">
        <v>106</v>
      </c>
      <c r="K36" s="260">
        <f>ROUND(M36/0.15,2)</f>
        <v>126.67</v>
      </c>
      <c r="L36" s="261">
        <f>ROUND(N36/0.15,0)</f>
        <v>181653</v>
      </c>
      <c r="M36" s="260">
        <f t="shared" ref="M36:N36" si="44">Q36</f>
        <v>19</v>
      </c>
      <c r="N36" s="261">
        <f t="shared" si="44"/>
        <v>27248</v>
      </c>
      <c r="O36" s="262">
        <v>51.3</v>
      </c>
      <c r="P36" s="263">
        <v>73569.0</v>
      </c>
      <c r="Q36" s="260">
        <f t="shared" ref="Q36:R36" si="45">M34-O36</f>
        <v>19</v>
      </c>
      <c r="R36" s="261">
        <f t="shared" si="45"/>
        <v>27248</v>
      </c>
      <c r="S36" s="264">
        <v>1434.1</v>
      </c>
      <c r="T36" s="265">
        <v>15.0</v>
      </c>
      <c r="U36" s="266" t="s">
        <v>107</v>
      </c>
      <c r="V36" s="266" t="s">
        <v>478</v>
      </c>
    </row>
    <row r="37" ht="12.75" customHeight="1">
      <c r="A37" s="245" t="s">
        <v>479</v>
      </c>
      <c r="B37" s="246" t="s">
        <v>118</v>
      </c>
      <c r="C37" s="247" t="s">
        <v>119</v>
      </c>
      <c r="D37" s="247" t="s">
        <v>141</v>
      </c>
      <c r="E37" s="247" t="s">
        <v>142</v>
      </c>
      <c r="F37" s="248"/>
      <c r="G37" s="247" t="s">
        <v>143</v>
      </c>
      <c r="H37" s="247" t="s">
        <v>144</v>
      </c>
      <c r="I37" s="248" t="s">
        <v>105</v>
      </c>
      <c r="J37" s="247" t="s">
        <v>106</v>
      </c>
      <c r="K37" s="249">
        <v>20.02</v>
      </c>
      <c r="L37" s="250">
        <v>29203.0</v>
      </c>
      <c r="M37" s="249">
        <v>3.0</v>
      </c>
      <c r="N37" s="250">
        <v>4376.0</v>
      </c>
      <c r="O37" s="249">
        <v>0.0</v>
      </c>
      <c r="P37" s="250">
        <v>0.0</v>
      </c>
      <c r="Q37" s="251">
        <f t="shared" ref="Q37:R37" si="46">M37-O37</f>
        <v>3</v>
      </c>
      <c r="R37" s="252">
        <f t="shared" si="46"/>
        <v>4376</v>
      </c>
      <c r="S37" s="253">
        <v>1458.7</v>
      </c>
      <c r="T37" s="254">
        <v>15.0</v>
      </c>
      <c r="U37" s="255" t="s">
        <v>107</v>
      </c>
      <c r="V37" s="255"/>
    </row>
    <row r="38" ht="12.75" customHeight="1">
      <c r="A38" s="245" t="s">
        <v>480</v>
      </c>
      <c r="B38" s="246" t="s">
        <v>118</v>
      </c>
      <c r="C38" s="247" t="s">
        <v>119</v>
      </c>
      <c r="D38" s="247" t="s">
        <v>141</v>
      </c>
      <c r="E38" s="247" t="s">
        <v>142</v>
      </c>
      <c r="F38" s="248"/>
      <c r="G38" s="247" t="s">
        <v>143</v>
      </c>
      <c r="H38" s="247" t="s">
        <v>144</v>
      </c>
      <c r="I38" s="248" t="s">
        <v>105</v>
      </c>
      <c r="J38" s="247" t="s">
        <v>106</v>
      </c>
      <c r="K38" s="251">
        <f t="shared" ref="K38:R38" si="47">-K37</f>
        <v>-20.02</v>
      </c>
      <c r="L38" s="252">
        <f t="shared" si="47"/>
        <v>-29203</v>
      </c>
      <c r="M38" s="251">
        <f t="shared" si="47"/>
        <v>-3</v>
      </c>
      <c r="N38" s="252">
        <f t="shared" si="47"/>
        <v>-4376</v>
      </c>
      <c r="O38" s="251">
        <f t="shared" si="47"/>
        <v>0</v>
      </c>
      <c r="P38" s="252">
        <f t="shared" si="47"/>
        <v>0</v>
      </c>
      <c r="Q38" s="251">
        <f t="shared" si="47"/>
        <v>-3</v>
      </c>
      <c r="R38" s="252">
        <f t="shared" si="47"/>
        <v>-4376</v>
      </c>
      <c r="S38" s="253">
        <v>1458.7</v>
      </c>
      <c r="T38" s="254">
        <v>15.0</v>
      </c>
      <c r="U38" s="255" t="s">
        <v>107</v>
      </c>
      <c r="V38" s="255"/>
    </row>
    <row r="39" ht="12.75" customHeight="1">
      <c r="A39" s="256" t="s">
        <v>481</v>
      </c>
      <c r="B39" s="257" t="s">
        <v>118</v>
      </c>
      <c r="C39" s="258" t="s">
        <v>119</v>
      </c>
      <c r="D39" s="258" t="s">
        <v>141</v>
      </c>
      <c r="E39" s="258" t="s">
        <v>142</v>
      </c>
      <c r="F39" s="259"/>
      <c r="G39" s="258" t="s">
        <v>143</v>
      </c>
      <c r="H39" s="258" t="s">
        <v>144</v>
      </c>
      <c r="I39" s="259" t="s">
        <v>105</v>
      </c>
      <c r="J39" s="258" t="s">
        <v>106</v>
      </c>
      <c r="K39" s="260">
        <f>ROUND(M39/0.15,2)</f>
        <v>7.33</v>
      </c>
      <c r="L39" s="261">
        <f>ROUND(N39/0.15,0)</f>
        <v>10693</v>
      </c>
      <c r="M39" s="260">
        <f t="shared" ref="M39:N39" si="48">Q39</f>
        <v>1.1</v>
      </c>
      <c r="N39" s="261">
        <f t="shared" si="48"/>
        <v>1604</v>
      </c>
      <c r="O39" s="262">
        <v>1.9</v>
      </c>
      <c r="P39" s="263">
        <v>2772.0</v>
      </c>
      <c r="Q39" s="260">
        <f t="shared" ref="Q39:R39" si="49">M37-O39</f>
        <v>1.1</v>
      </c>
      <c r="R39" s="261">
        <f t="shared" si="49"/>
        <v>1604</v>
      </c>
      <c r="S39" s="264">
        <v>1458.7</v>
      </c>
      <c r="T39" s="265">
        <v>15.0</v>
      </c>
      <c r="U39" s="266" t="s">
        <v>107</v>
      </c>
      <c r="V39" s="266" t="s">
        <v>482</v>
      </c>
    </row>
    <row r="40" ht="12.75" customHeight="1">
      <c r="A40" s="245" t="s">
        <v>483</v>
      </c>
      <c r="B40" s="246" t="s">
        <v>118</v>
      </c>
      <c r="C40" s="247" t="s">
        <v>119</v>
      </c>
      <c r="D40" s="247" t="s">
        <v>141</v>
      </c>
      <c r="E40" s="247" t="s">
        <v>142</v>
      </c>
      <c r="F40" s="248"/>
      <c r="G40" s="247" t="s">
        <v>127</v>
      </c>
      <c r="H40" s="247" t="s">
        <v>128</v>
      </c>
      <c r="I40" s="248" t="s">
        <v>105</v>
      </c>
      <c r="J40" s="247" t="s">
        <v>106</v>
      </c>
      <c r="K40" s="249">
        <v>77.36</v>
      </c>
      <c r="L40" s="250">
        <v>112845.0</v>
      </c>
      <c r="M40" s="249">
        <v>11.6</v>
      </c>
      <c r="N40" s="250">
        <v>16920.0</v>
      </c>
      <c r="O40" s="249">
        <v>0.0</v>
      </c>
      <c r="P40" s="250">
        <v>0.0</v>
      </c>
      <c r="Q40" s="251">
        <f t="shared" ref="Q40:R40" si="50">M40-O40</f>
        <v>11.6</v>
      </c>
      <c r="R40" s="252">
        <f t="shared" si="50"/>
        <v>16920</v>
      </c>
      <c r="S40" s="253">
        <v>1458.7</v>
      </c>
      <c r="T40" s="254">
        <v>15.0</v>
      </c>
      <c r="U40" s="255" t="s">
        <v>107</v>
      </c>
      <c r="V40" s="255"/>
    </row>
    <row r="41" ht="12.75" customHeight="1">
      <c r="A41" s="245" t="s">
        <v>484</v>
      </c>
      <c r="B41" s="246" t="s">
        <v>118</v>
      </c>
      <c r="C41" s="247" t="s">
        <v>119</v>
      </c>
      <c r="D41" s="247" t="s">
        <v>141</v>
      </c>
      <c r="E41" s="247" t="s">
        <v>142</v>
      </c>
      <c r="F41" s="248"/>
      <c r="G41" s="247" t="s">
        <v>127</v>
      </c>
      <c r="H41" s="247" t="s">
        <v>128</v>
      </c>
      <c r="I41" s="248" t="s">
        <v>105</v>
      </c>
      <c r="J41" s="247" t="s">
        <v>106</v>
      </c>
      <c r="K41" s="251">
        <f t="shared" ref="K41:R41" si="51">-K40</f>
        <v>-77.36</v>
      </c>
      <c r="L41" s="252">
        <f t="shared" si="51"/>
        <v>-112845</v>
      </c>
      <c r="M41" s="251">
        <f t="shared" si="51"/>
        <v>-11.6</v>
      </c>
      <c r="N41" s="252">
        <f t="shared" si="51"/>
        <v>-16920</v>
      </c>
      <c r="O41" s="251">
        <f t="shared" si="51"/>
        <v>0</v>
      </c>
      <c r="P41" s="252">
        <f t="shared" si="51"/>
        <v>0</v>
      </c>
      <c r="Q41" s="251">
        <f t="shared" si="51"/>
        <v>-11.6</v>
      </c>
      <c r="R41" s="252">
        <f t="shared" si="51"/>
        <v>-16920</v>
      </c>
      <c r="S41" s="253">
        <v>1458.7</v>
      </c>
      <c r="T41" s="254">
        <v>15.0</v>
      </c>
      <c r="U41" s="255" t="s">
        <v>107</v>
      </c>
      <c r="V41" s="255"/>
    </row>
    <row r="42" ht="12.75" customHeight="1">
      <c r="A42" s="256" t="s">
        <v>485</v>
      </c>
      <c r="B42" s="257" t="s">
        <v>118</v>
      </c>
      <c r="C42" s="258" t="s">
        <v>119</v>
      </c>
      <c r="D42" s="258" t="s">
        <v>141</v>
      </c>
      <c r="E42" s="258" t="s">
        <v>142</v>
      </c>
      <c r="F42" s="259"/>
      <c r="G42" s="258" t="s">
        <v>127</v>
      </c>
      <c r="H42" s="258" t="s">
        <v>128</v>
      </c>
      <c r="I42" s="259" t="s">
        <v>105</v>
      </c>
      <c r="J42" s="258" t="s">
        <v>106</v>
      </c>
      <c r="K42" s="260">
        <f>ROUND(M42/0.15,2)</f>
        <v>36.6</v>
      </c>
      <c r="L42" s="261">
        <f>ROUND(N42/0.15,0)</f>
        <v>53380</v>
      </c>
      <c r="M42" s="260">
        <f t="shared" ref="M42:N42" si="52">Q42</f>
        <v>5.49</v>
      </c>
      <c r="N42" s="261">
        <f t="shared" si="52"/>
        <v>8007</v>
      </c>
      <c r="O42" s="262">
        <v>6.11</v>
      </c>
      <c r="P42" s="263">
        <v>8913.0</v>
      </c>
      <c r="Q42" s="260">
        <f t="shared" ref="Q42:R42" si="53">M40-O42</f>
        <v>5.49</v>
      </c>
      <c r="R42" s="261">
        <f t="shared" si="53"/>
        <v>8007</v>
      </c>
      <c r="S42" s="264">
        <v>1458.7</v>
      </c>
      <c r="T42" s="265">
        <v>15.0</v>
      </c>
      <c r="U42" s="266" t="s">
        <v>107</v>
      </c>
      <c r="V42" s="266" t="s">
        <v>486</v>
      </c>
    </row>
    <row r="43" ht="12.75" customHeight="1">
      <c r="A43" s="245" t="s">
        <v>487</v>
      </c>
      <c r="B43" s="246" t="s">
        <v>118</v>
      </c>
      <c r="C43" s="247" t="s">
        <v>119</v>
      </c>
      <c r="D43" s="247" t="s">
        <v>145</v>
      </c>
      <c r="E43" s="247" t="s">
        <v>145</v>
      </c>
      <c r="F43" s="248"/>
      <c r="G43" s="247" t="s">
        <v>116</v>
      </c>
      <c r="H43" s="247" t="s">
        <v>117</v>
      </c>
      <c r="I43" s="248" t="s">
        <v>105</v>
      </c>
      <c r="J43" s="247" t="s">
        <v>106</v>
      </c>
      <c r="K43" s="249">
        <v>486.89</v>
      </c>
      <c r="L43" s="250">
        <v>701900.0</v>
      </c>
      <c r="M43" s="249">
        <v>73.03</v>
      </c>
      <c r="N43" s="250">
        <v>105280.0</v>
      </c>
      <c r="O43" s="249">
        <v>0.0</v>
      </c>
      <c r="P43" s="250">
        <v>0.0</v>
      </c>
      <c r="Q43" s="251">
        <f t="shared" ref="Q43:R43" si="54">M43-O43</f>
        <v>73.03</v>
      </c>
      <c r="R43" s="252">
        <f t="shared" si="54"/>
        <v>105280</v>
      </c>
      <c r="S43" s="253">
        <v>1441.6</v>
      </c>
      <c r="T43" s="254">
        <v>15.0</v>
      </c>
      <c r="U43" s="255" t="s">
        <v>107</v>
      </c>
      <c r="V43" s="255"/>
    </row>
    <row r="44" ht="12.75" customHeight="1">
      <c r="A44" s="245" t="s">
        <v>488</v>
      </c>
      <c r="B44" s="246" t="s">
        <v>118</v>
      </c>
      <c r="C44" s="247" t="s">
        <v>119</v>
      </c>
      <c r="D44" s="247" t="s">
        <v>145</v>
      </c>
      <c r="E44" s="247" t="s">
        <v>145</v>
      </c>
      <c r="F44" s="248"/>
      <c r="G44" s="247" t="s">
        <v>116</v>
      </c>
      <c r="H44" s="247" t="s">
        <v>117</v>
      </c>
      <c r="I44" s="248" t="s">
        <v>105</v>
      </c>
      <c r="J44" s="247" t="s">
        <v>106</v>
      </c>
      <c r="K44" s="251">
        <f t="shared" ref="K44:R44" si="55">-K43</f>
        <v>-486.89</v>
      </c>
      <c r="L44" s="252">
        <f t="shared" si="55"/>
        <v>-701900</v>
      </c>
      <c r="M44" s="251">
        <f t="shared" si="55"/>
        <v>-73.03</v>
      </c>
      <c r="N44" s="252">
        <f t="shared" si="55"/>
        <v>-105280</v>
      </c>
      <c r="O44" s="251">
        <f t="shared" si="55"/>
        <v>0</v>
      </c>
      <c r="P44" s="252">
        <f t="shared" si="55"/>
        <v>0</v>
      </c>
      <c r="Q44" s="251">
        <f t="shared" si="55"/>
        <v>-73.03</v>
      </c>
      <c r="R44" s="252">
        <f t="shared" si="55"/>
        <v>-105280</v>
      </c>
      <c r="S44" s="253">
        <v>1441.6</v>
      </c>
      <c r="T44" s="254">
        <v>15.0</v>
      </c>
      <c r="U44" s="255" t="s">
        <v>107</v>
      </c>
      <c r="V44" s="255"/>
    </row>
    <row r="45" ht="12.75" customHeight="1">
      <c r="A45" s="256" t="s">
        <v>489</v>
      </c>
      <c r="B45" s="257" t="s">
        <v>118</v>
      </c>
      <c r="C45" s="258" t="s">
        <v>119</v>
      </c>
      <c r="D45" s="258" t="s">
        <v>145</v>
      </c>
      <c r="E45" s="258" t="s">
        <v>145</v>
      </c>
      <c r="F45" s="259"/>
      <c r="G45" s="258" t="s">
        <v>116</v>
      </c>
      <c r="H45" s="258" t="s">
        <v>117</v>
      </c>
      <c r="I45" s="259" t="s">
        <v>105</v>
      </c>
      <c r="J45" s="258" t="s">
        <v>106</v>
      </c>
      <c r="K45" s="260">
        <f>ROUND(M45/0.15,2)</f>
        <v>463.33</v>
      </c>
      <c r="L45" s="261">
        <f>ROUND(N45/0.15,0)</f>
        <v>667940</v>
      </c>
      <c r="M45" s="260">
        <f t="shared" ref="M45:N45" si="56">Q45</f>
        <v>69.5</v>
      </c>
      <c r="N45" s="261">
        <f t="shared" si="56"/>
        <v>100191</v>
      </c>
      <c r="O45" s="262">
        <v>3.53</v>
      </c>
      <c r="P45" s="263">
        <v>5089.0</v>
      </c>
      <c r="Q45" s="260">
        <f t="shared" ref="Q45:R45" si="57">M43-O45</f>
        <v>69.5</v>
      </c>
      <c r="R45" s="261">
        <f t="shared" si="57"/>
        <v>100191</v>
      </c>
      <c r="S45" s="264">
        <v>1441.6</v>
      </c>
      <c r="T45" s="265">
        <v>15.0</v>
      </c>
      <c r="U45" s="266" t="s">
        <v>107</v>
      </c>
      <c r="V45" s="266" t="s">
        <v>490</v>
      </c>
    </row>
    <row r="46" ht="12.75" customHeight="1">
      <c r="A46" s="245" t="s">
        <v>491</v>
      </c>
      <c r="B46" s="246" t="s">
        <v>118</v>
      </c>
      <c r="C46" s="247" t="s">
        <v>119</v>
      </c>
      <c r="D46" s="247" t="s">
        <v>146</v>
      </c>
      <c r="E46" s="247" t="s">
        <v>145</v>
      </c>
      <c r="F46" s="248"/>
      <c r="G46" s="247" t="s">
        <v>131</v>
      </c>
      <c r="H46" s="247" t="s">
        <v>132</v>
      </c>
      <c r="I46" s="248" t="s">
        <v>105</v>
      </c>
      <c r="J46" s="247" t="s">
        <v>106</v>
      </c>
      <c r="K46" s="249">
        <v>476.73</v>
      </c>
      <c r="L46" s="250">
        <v>691973.0</v>
      </c>
      <c r="M46" s="249">
        <v>71.51</v>
      </c>
      <c r="N46" s="250">
        <v>103796.0</v>
      </c>
      <c r="O46" s="249">
        <v>0.0</v>
      </c>
      <c r="P46" s="250">
        <v>0.0</v>
      </c>
      <c r="Q46" s="251">
        <f t="shared" ref="Q46:R46" si="58">M46-O46</f>
        <v>71.51</v>
      </c>
      <c r="R46" s="252">
        <f t="shared" si="58"/>
        <v>103796</v>
      </c>
      <c r="S46" s="253">
        <v>1451.5</v>
      </c>
      <c r="T46" s="254">
        <v>15.0</v>
      </c>
      <c r="U46" s="255" t="s">
        <v>107</v>
      </c>
      <c r="V46" s="255"/>
    </row>
    <row r="47" ht="12.75" customHeight="1">
      <c r="A47" s="245" t="s">
        <v>492</v>
      </c>
      <c r="B47" s="246" t="s">
        <v>118</v>
      </c>
      <c r="C47" s="247" t="s">
        <v>119</v>
      </c>
      <c r="D47" s="247" t="s">
        <v>146</v>
      </c>
      <c r="E47" s="247" t="s">
        <v>145</v>
      </c>
      <c r="F47" s="248"/>
      <c r="G47" s="247" t="s">
        <v>131</v>
      </c>
      <c r="H47" s="247" t="s">
        <v>132</v>
      </c>
      <c r="I47" s="248" t="s">
        <v>105</v>
      </c>
      <c r="J47" s="247" t="s">
        <v>106</v>
      </c>
      <c r="K47" s="251">
        <f t="shared" ref="K47:R47" si="59">-K46</f>
        <v>-476.73</v>
      </c>
      <c r="L47" s="252">
        <f t="shared" si="59"/>
        <v>-691973</v>
      </c>
      <c r="M47" s="251">
        <f t="shared" si="59"/>
        <v>-71.51</v>
      </c>
      <c r="N47" s="252">
        <f t="shared" si="59"/>
        <v>-103796</v>
      </c>
      <c r="O47" s="251">
        <f t="shared" si="59"/>
        <v>0</v>
      </c>
      <c r="P47" s="252">
        <f t="shared" si="59"/>
        <v>0</v>
      </c>
      <c r="Q47" s="251">
        <f t="shared" si="59"/>
        <v>-71.51</v>
      </c>
      <c r="R47" s="252">
        <f t="shared" si="59"/>
        <v>-103796</v>
      </c>
      <c r="S47" s="253">
        <v>1451.5</v>
      </c>
      <c r="T47" s="254">
        <v>15.0</v>
      </c>
      <c r="U47" s="255" t="s">
        <v>107</v>
      </c>
      <c r="V47" s="255"/>
    </row>
    <row r="48" ht="12.75" customHeight="1">
      <c r="A48" s="256" t="s">
        <v>493</v>
      </c>
      <c r="B48" s="257" t="s">
        <v>118</v>
      </c>
      <c r="C48" s="258" t="s">
        <v>119</v>
      </c>
      <c r="D48" s="258" t="s">
        <v>146</v>
      </c>
      <c r="E48" s="258" t="s">
        <v>145</v>
      </c>
      <c r="F48" s="259"/>
      <c r="G48" s="258" t="s">
        <v>131</v>
      </c>
      <c r="H48" s="258" t="s">
        <v>132</v>
      </c>
      <c r="I48" s="259" t="s">
        <v>105</v>
      </c>
      <c r="J48" s="258" t="s">
        <v>106</v>
      </c>
      <c r="K48" s="260">
        <f>ROUND(M48/0.15,2)</f>
        <v>14.07</v>
      </c>
      <c r="L48" s="261">
        <f>ROUND(N48/0.15,0)</f>
        <v>20413</v>
      </c>
      <c r="M48" s="260">
        <f t="shared" ref="M48:N48" si="60">Q48</f>
        <v>2.11</v>
      </c>
      <c r="N48" s="261">
        <f t="shared" si="60"/>
        <v>3062</v>
      </c>
      <c r="O48" s="262">
        <v>69.4</v>
      </c>
      <c r="P48" s="263">
        <v>100734.0</v>
      </c>
      <c r="Q48" s="260">
        <f t="shared" ref="Q48:R48" si="61">M46-O48</f>
        <v>2.11</v>
      </c>
      <c r="R48" s="261">
        <f t="shared" si="61"/>
        <v>3062</v>
      </c>
      <c r="S48" s="264">
        <v>1451.5</v>
      </c>
      <c r="T48" s="265">
        <v>15.0</v>
      </c>
      <c r="U48" s="266" t="s">
        <v>107</v>
      </c>
      <c r="V48" s="266" t="s">
        <v>494</v>
      </c>
    </row>
    <row r="49" ht="12.75" customHeight="1">
      <c r="A49" s="267" t="s">
        <v>495</v>
      </c>
      <c r="B49" s="268" t="s">
        <v>118</v>
      </c>
      <c r="C49" s="269" t="s">
        <v>119</v>
      </c>
      <c r="D49" s="269" t="s">
        <v>147</v>
      </c>
      <c r="E49" s="270"/>
      <c r="F49" s="270"/>
      <c r="G49" s="269" t="s">
        <v>148</v>
      </c>
      <c r="H49" s="269" t="s">
        <v>496</v>
      </c>
      <c r="I49" s="270" t="s">
        <v>105</v>
      </c>
      <c r="J49" s="269" t="s">
        <v>150</v>
      </c>
      <c r="K49" s="271">
        <v>0.0</v>
      </c>
      <c r="L49" s="272">
        <v>0.0</v>
      </c>
      <c r="M49" s="271">
        <v>0.0</v>
      </c>
      <c r="N49" s="272">
        <v>1.0</v>
      </c>
      <c r="O49" s="271">
        <v>0.0</v>
      </c>
      <c r="P49" s="272">
        <v>0.0</v>
      </c>
      <c r="Q49" s="273">
        <f t="shared" ref="Q49:R49" si="62">M49-O49</f>
        <v>0</v>
      </c>
      <c r="R49" s="274">
        <f t="shared" si="62"/>
        <v>1</v>
      </c>
      <c r="S49" s="275">
        <v>1.0</v>
      </c>
      <c r="T49" s="276">
        <v>0.0</v>
      </c>
      <c r="U49" s="277" t="s">
        <v>151</v>
      </c>
      <c r="V49" s="277"/>
    </row>
    <row r="50" ht="12.75" customHeight="1">
      <c r="A50" s="245" t="s">
        <v>497</v>
      </c>
      <c r="B50" s="246" t="s">
        <v>118</v>
      </c>
      <c r="C50" s="247" t="s">
        <v>119</v>
      </c>
      <c r="D50" s="247" t="s">
        <v>152</v>
      </c>
      <c r="E50" s="247" t="s">
        <v>153</v>
      </c>
      <c r="F50" s="248"/>
      <c r="G50" s="247" t="s">
        <v>135</v>
      </c>
      <c r="H50" s="247" t="s">
        <v>136</v>
      </c>
      <c r="I50" s="248" t="s">
        <v>105</v>
      </c>
      <c r="J50" s="247" t="s">
        <v>106</v>
      </c>
      <c r="K50" s="249">
        <v>815.48</v>
      </c>
      <c r="L50" s="250">
        <v>1180815.0</v>
      </c>
      <c r="M50" s="249">
        <v>122.32</v>
      </c>
      <c r="N50" s="250">
        <v>177119.0</v>
      </c>
      <c r="O50" s="249">
        <v>0.0</v>
      </c>
      <c r="P50" s="250">
        <v>0.0</v>
      </c>
      <c r="Q50" s="251">
        <f t="shared" ref="Q50:R50" si="63">M50-O50</f>
        <v>122.32</v>
      </c>
      <c r="R50" s="252">
        <f t="shared" si="63"/>
        <v>177119</v>
      </c>
      <c r="S50" s="253">
        <v>1448.0</v>
      </c>
      <c r="T50" s="254">
        <v>15.0</v>
      </c>
      <c r="U50" s="255" t="s">
        <v>107</v>
      </c>
      <c r="V50" s="255"/>
    </row>
    <row r="51" ht="12.75" customHeight="1">
      <c r="A51" s="245" t="s">
        <v>498</v>
      </c>
      <c r="B51" s="246" t="s">
        <v>118</v>
      </c>
      <c r="C51" s="247" t="s">
        <v>119</v>
      </c>
      <c r="D51" s="247" t="s">
        <v>152</v>
      </c>
      <c r="E51" s="247" t="s">
        <v>153</v>
      </c>
      <c r="F51" s="248"/>
      <c r="G51" s="247" t="s">
        <v>135</v>
      </c>
      <c r="H51" s="247" t="s">
        <v>136</v>
      </c>
      <c r="I51" s="248" t="s">
        <v>105</v>
      </c>
      <c r="J51" s="247" t="s">
        <v>106</v>
      </c>
      <c r="K51" s="251">
        <f t="shared" ref="K51:R51" si="64">-K50</f>
        <v>-815.48</v>
      </c>
      <c r="L51" s="252">
        <f t="shared" si="64"/>
        <v>-1180815</v>
      </c>
      <c r="M51" s="251">
        <f t="shared" si="64"/>
        <v>-122.32</v>
      </c>
      <c r="N51" s="252">
        <f t="shared" si="64"/>
        <v>-177119</v>
      </c>
      <c r="O51" s="251">
        <f t="shared" si="64"/>
        <v>0</v>
      </c>
      <c r="P51" s="252">
        <f t="shared" si="64"/>
        <v>0</v>
      </c>
      <c r="Q51" s="251">
        <f t="shared" si="64"/>
        <v>-122.32</v>
      </c>
      <c r="R51" s="252">
        <f t="shared" si="64"/>
        <v>-177119</v>
      </c>
      <c r="S51" s="253">
        <v>1448.0</v>
      </c>
      <c r="T51" s="254">
        <v>15.0</v>
      </c>
      <c r="U51" s="255" t="s">
        <v>107</v>
      </c>
      <c r="V51" s="255"/>
    </row>
    <row r="52" ht="12.75" customHeight="1">
      <c r="A52" s="256" t="s">
        <v>499</v>
      </c>
      <c r="B52" s="257" t="s">
        <v>118</v>
      </c>
      <c r="C52" s="258" t="s">
        <v>119</v>
      </c>
      <c r="D52" s="258" t="s">
        <v>152</v>
      </c>
      <c r="E52" s="258" t="s">
        <v>153</v>
      </c>
      <c r="F52" s="259"/>
      <c r="G52" s="258" t="s">
        <v>135</v>
      </c>
      <c r="H52" s="258" t="s">
        <v>136</v>
      </c>
      <c r="I52" s="259" t="s">
        <v>105</v>
      </c>
      <c r="J52" s="258" t="s">
        <v>106</v>
      </c>
      <c r="K52" s="260">
        <f>ROUND(M52/0.15,2)</f>
        <v>0</v>
      </c>
      <c r="L52" s="261">
        <f>ROUND(N52/0.15,0)</f>
        <v>0</v>
      </c>
      <c r="M52" s="260">
        <f t="shared" ref="M52:N52" si="65">Q52</f>
        <v>0</v>
      </c>
      <c r="N52" s="261">
        <f t="shared" si="65"/>
        <v>0</v>
      </c>
      <c r="O52" s="262">
        <v>122.32</v>
      </c>
      <c r="P52" s="263">
        <v>177119.0</v>
      </c>
      <c r="Q52" s="260">
        <f t="shared" ref="Q52:R52" si="66">M50-O52</f>
        <v>0</v>
      </c>
      <c r="R52" s="261">
        <f t="shared" si="66"/>
        <v>0</v>
      </c>
      <c r="S52" s="264">
        <v>1448.0</v>
      </c>
      <c r="T52" s="265">
        <v>15.0</v>
      </c>
      <c r="U52" s="266" t="s">
        <v>107</v>
      </c>
      <c r="V52" s="266" t="s">
        <v>500</v>
      </c>
    </row>
    <row r="53" ht="12.75" customHeight="1">
      <c r="A53" s="267" t="s">
        <v>501</v>
      </c>
      <c r="B53" s="268" t="s">
        <v>118</v>
      </c>
      <c r="C53" s="269" t="s">
        <v>119</v>
      </c>
      <c r="D53" s="269" t="s">
        <v>152</v>
      </c>
      <c r="E53" s="270"/>
      <c r="F53" s="270"/>
      <c r="G53" s="269" t="s">
        <v>148</v>
      </c>
      <c r="H53" s="269" t="s">
        <v>502</v>
      </c>
      <c r="I53" s="270" t="s">
        <v>105</v>
      </c>
      <c r="J53" s="269" t="s">
        <v>150</v>
      </c>
      <c r="K53" s="271">
        <v>0.0</v>
      </c>
      <c r="L53" s="272">
        <v>0.0</v>
      </c>
      <c r="M53" s="271">
        <v>0.0</v>
      </c>
      <c r="N53" s="272">
        <v>0.0</v>
      </c>
      <c r="O53" s="271">
        <v>0.0</v>
      </c>
      <c r="P53" s="272">
        <v>0.0</v>
      </c>
      <c r="Q53" s="273">
        <f t="shared" ref="Q53:R53" si="67">M53-O53</f>
        <v>0</v>
      </c>
      <c r="R53" s="274">
        <f t="shared" si="67"/>
        <v>0</v>
      </c>
      <c r="S53" s="275">
        <v>1.0</v>
      </c>
      <c r="T53" s="276">
        <v>0.0</v>
      </c>
      <c r="U53" s="277" t="s">
        <v>151</v>
      </c>
      <c r="V53" s="277"/>
    </row>
    <row r="54" ht="12.75" customHeight="1">
      <c r="A54" s="245" t="s">
        <v>503</v>
      </c>
      <c r="B54" s="246" t="s">
        <v>118</v>
      </c>
      <c r="C54" s="247" t="s">
        <v>119</v>
      </c>
      <c r="D54" s="247" t="s">
        <v>155</v>
      </c>
      <c r="E54" s="247" t="s">
        <v>156</v>
      </c>
      <c r="F54" s="248"/>
      <c r="G54" s="247" t="s">
        <v>139</v>
      </c>
      <c r="H54" s="247" t="s">
        <v>157</v>
      </c>
      <c r="I54" s="248" t="s">
        <v>105</v>
      </c>
      <c r="J54" s="247" t="s">
        <v>106</v>
      </c>
      <c r="K54" s="249">
        <v>375.21</v>
      </c>
      <c r="L54" s="250">
        <v>550395.0</v>
      </c>
      <c r="M54" s="249">
        <v>56.28</v>
      </c>
      <c r="N54" s="250">
        <v>82557.0</v>
      </c>
      <c r="O54" s="249">
        <v>0.0</v>
      </c>
      <c r="P54" s="250">
        <v>0.0</v>
      </c>
      <c r="Q54" s="251">
        <f t="shared" ref="Q54:R54" si="68">M54-O54</f>
        <v>56.28</v>
      </c>
      <c r="R54" s="252">
        <f t="shared" si="68"/>
        <v>82557</v>
      </c>
      <c r="S54" s="253">
        <v>1466.9</v>
      </c>
      <c r="T54" s="254">
        <v>15.0</v>
      </c>
      <c r="U54" s="255" t="s">
        <v>107</v>
      </c>
      <c r="V54" s="255"/>
    </row>
    <row r="55" ht="12.75" customHeight="1">
      <c r="A55" s="245" t="s">
        <v>504</v>
      </c>
      <c r="B55" s="246" t="s">
        <v>118</v>
      </c>
      <c r="C55" s="247" t="s">
        <v>119</v>
      </c>
      <c r="D55" s="247" t="s">
        <v>155</v>
      </c>
      <c r="E55" s="247" t="s">
        <v>156</v>
      </c>
      <c r="F55" s="248"/>
      <c r="G55" s="247" t="s">
        <v>139</v>
      </c>
      <c r="H55" s="247" t="s">
        <v>157</v>
      </c>
      <c r="I55" s="248" t="s">
        <v>105</v>
      </c>
      <c r="J55" s="247" t="s">
        <v>106</v>
      </c>
      <c r="K55" s="251">
        <f t="shared" ref="K55:R55" si="69">-K54</f>
        <v>-375.21</v>
      </c>
      <c r="L55" s="252">
        <f t="shared" si="69"/>
        <v>-550395</v>
      </c>
      <c r="M55" s="251">
        <f t="shared" si="69"/>
        <v>-56.28</v>
      </c>
      <c r="N55" s="252">
        <f t="shared" si="69"/>
        <v>-82557</v>
      </c>
      <c r="O55" s="251">
        <f t="shared" si="69"/>
        <v>0</v>
      </c>
      <c r="P55" s="252">
        <f t="shared" si="69"/>
        <v>0</v>
      </c>
      <c r="Q55" s="251">
        <f t="shared" si="69"/>
        <v>-56.28</v>
      </c>
      <c r="R55" s="252">
        <f t="shared" si="69"/>
        <v>-82557</v>
      </c>
      <c r="S55" s="253">
        <v>1466.9</v>
      </c>
      <c r="T55" s="254">
        <v>15.0</v>
      </c>
      <c r="U55" s="255" t="s">
        <v>107</v>
      </c>
      <c r="V55" s="255"/>
    </row>
    <row r="56" ht="12.75" customHeight="1">
      <c r="A56" s="256" t="s">
        <v>505</v>
      </c>
      <c r="B56" s="257" t="s">
        <v>118</v>
      </c>
      <c r="C56" s="258" t="s">
        <v>119</v>
      </c>
      <c r="D56" s="258" t="s">
        <v>155</v>
      </c>
      <c r="E56" s="258" t="s">
        <v>156</v>
      </c>
      <c r="F56" s="259"/>
      <c r="G56" s="258" t="s">
        <v>139</v>
      </c>
      <c r="H56" s="258" t="s">
        <v>157</v>
      </c>
      <c r="I56" s="259" t="s">
        <v>105</v>
      </c>
      <c r="J56" s="258" t="s">
        <v>106</v>
      </c>
      <c r="K56" s="260">
        <f>ROUND(M56/0.15,2)</f>
        <v>101.4</v>
      </c>
      <c r="L56" s="261">
        <f>ROUND(N56/0.15,0)</f>
        <v>148740</v>
      </c>
      <c r="M56" s="260">
        <f t="shared" ref="M56:N56" si="70">Q56</f>
        <v>15.21</v>
      </c>
      <c r="N56" s="261">
        <f t="shared" si="70"/>
        <v>22311</v>
      </c>
      <c r="O56" s="262">
        <v>41.07</v>
      </c>
      <c r="P56" s="263">
        <v>60246.0</v>
      </c>
      <c r="Q56" s="260">
        <f t="shared" ref="Q56:R56" si="71">M54-O56</f>
        <v>15.21</v>
      </c>
      <c r="R56" s="261">
        <f t="shared" si="71"/>
        <v>22311</v>
      </c>
      <c r="S56" s="264">
        <v>1466.9</v>
      </c>
      <c r="T56" s="265">
        <v>15.0</v>
      </c>
      <c r="U56" s="266" t="s">
        <v>107</v>
      </c>
      <c r="V56" s="266" t="s">
        <v>506</v>
      </c>
    </row>
    <row r="57" ht="12.75" customHeight="1">
      <c r="A57" s="245" t="s">
        <v>507</v>
      </c>
      <c r="B57" s="246" t="s">
        <v>118</v>
      </c>
      <c r="C57" s="247" t="s">
        <v>119</v>
      </c>
      <c r="D57" s="247" t="s">
        <v>158</v>
      </c>
      <c r="E57" s="247" t="s">
        <v>159</v>
      </c>
      <c r="F57" s="248"/>
      <c r="G57" s="247" t="s">
        <v>143</v>
      </c>
      <c r="H57" s="247" t="s">
        <v>160</v>
      </c>
      <c r="I57" s="248" t="s">
        <v>105</v>
      </c>
      <c r="J57" s="247" t="s">
        <v>106</v>
      </c>
      <c r="K57" s="249">
        <v>23.13</v>
      </c>
      <c r="L57" s="250">
        <v>33920.0</v>
      </c>
      <c r="M57" s="249">
        <v>3.47</v>
      </c>
      <c r="N57" s="250">
        <v>5088.0</v>
      </c>
      <c r="O57" s="249">
        <v>0.0</v>
      </c>
      <c r="P57" s="250">
        <v>0.0</v>
      </c>
      <c r="Q57" s="251">
        <f t="shared" ref="Q57:R57" si="72">M57-O57</f>
        <v>3.47</v>
      </c>
      <c r="R57" s="252">
        <f t="shared" si="72"/>
        <v>5088</v>
      </c>
      <c r="S57" s="253">
        <v>1466.5</v>
      </c>
      <c r="T57" s="254">
        <v>15.0</v>
      </c>
      <c r="U57" s="255" t="s">
        <v>107</v>
      </c>
      <c r="V57" s="255"/>
    </row>
    <row r="58" ht="12.75" customHeight="1">
      <c r="A58" s="245" t="s">
        <v>508</v>
      </c>
      <c r="B58" s="246" t="s">
        <v>118</v>
      </c>
      <c r="C58" s="247" t="s">
        <v>119</v>
      </c>
      <c r="D58" s="247" t="s">
        <v>158</v>
      </c>
      <c r="E58" s="247" t="s">
        <v>159</v>
      </c>
      <c r="F58" s="248"/>
      <c r="G58" s="247" t="s">
        <v>143</v>
      </c>
      <c r="H58" s="247" t="s">
        <v>160</v>
      </c>
      <c r="I58" s="248" t="s">
        <v>105</v>
      </c>
      <c r="J58" s="247" t="s">
        <v>106</v>
      </c>
      <c r="K58" s="251">
        <f t="shared" ref="K58:R58" si="73">-K57</f>
        <v>-23.13</v>
      </c>
      <c r="L58" s="252">
        <f t="shared" si="73"/>
        <v>-33920</v>
      </c>
      <c r="M58" s="251">
        <f t="shared" si="73"/>
        <v>-3.47</v>
      </c>
      <c r="N58" s="252">
        <f t="shared" si="73"/>
        <v>-5088</v>
      </c>
      <c r="O58" s="251">
        <f t="shared" si="73"/>
        <v>0</v>
      </c>
      <c r="P58" s="252">
        <f t="shared" si="73"/>
        <v>0</v>
      </c>
      <c r="Q58" s="251">
        <f t="shared" si="73"/>
        <v>-3.47</v>
      </c>
      <c r="R58" s="252">
        <f t="shared" si="73"/>
        <v>-5088</v>
      </c>
      <c r="S58" s="253">
        <v>1466.5</v>
      </c>
      <c r="T58" s="254">
        <v>15.0</v>
      </c>
      <c r="U58" s="255" t="s">
        <v>107</v>
      </c>
      <c r="V58" s="255"/>
    </row>
    <row r="59" ht="12.75" customHeight="1">
      <c r="A59" s="256" t="s">
        <v>509</v>
      </c>
      <c r="B59" s="257" t="s">
        <v>118</v>
      </c>
      <c r="C59" s="258" t="s">
        <v>119</v>
      </c>
      <c r="D59" s="258" t="s">
        <v>158</v>
      </c>
      <c r="E59" s="258" t="s">
        <v>159</v>
      </c>
      <c r="F59" s="259"/>
      <c r="G59" s="258" t="s">
        <v>143</v>
      </c>
      <c r="H59" s="258" t="s">
        <v>160</v>
      </c>
      <c r="I59" s="259" t="s">
        <v>105</v>
      </c>
      <c r="J59" s="258" t="s">
        <v>106</v>
      </c>
      <c r="K59" s="260">
        <f>ROUND(M59/0.15,2)</f>
        <v>8.47</v>
      </c>
      <c r="L59" s="261">
        <f>ROUND(N59/0.15,0)</f>
        <v>12413</v>
      </c>
      <c r="M59" s="260">
        <f t="shared" ref="M59:N59" si="74">Q59</f>
        <v>1.27</v>
      </c>
      <c r="N59" s="261">
        <f t="shared" si="74"/>
        <v>1862</v>
      </c>
      <c r="O59" s="262">
        <v>2.2</v>
      </c>
      <c r="P59" s="263">
        <v>3226.0</v>
      </c>
      <c r="Q59" s="260">
        <f t="shared" ref="Q59:R59" si="75">M57-O59</f>
        <v>1.27</v>
      </c>
      <c r="R59" s="261">
        <f t="shared" si="75"/>
        <v>1862</v>
      </c>
      <c r="S59" s="264">
        <v>1466.5</v>
      </c>
      <c r="T59" s="265">
        <v>15.0</v>
      </c>
      <c r="U59" s="266" t="s">
        <v>107</v>
      </c>
      <c r="V59" s="266" t="s">
        <v>510</v>
      </c>
    </row>
    <row r="60" ht="12.75" customHeight="1">
      <c r="A60" s="245" t="s">
        <v>511</v>
      </c>
      <c r="B60" s="246" t="s">
        <v>118</v>
      </c>
      <c r="C60" s="247" t="s">
        <v>119</v>
      </c>
      <c r="D60" s="247" t="s">
        <v>158</v>
      </c>
      <c r="E60" s="247" t="s">
        <v>159</v>
      </c>
      <c r="F60" s="248"/>
      <c r="G60" s="247" t="s">
        <v>127</v>
      </c>
      <c r="H60" s="247" t="s">
        <v>128</v>
      </c>
      <c r="I60" s="248" t="s">
        <v>105</v>
      </c>
      <c r="J60" s="247" t="s">
        <v>106</v>
      </c>
      <c r="K60" s="249">
        <v>37.8</v>
      </c>
      <c r="L60" s="250">
        <v>55433.0</v>
      </c>
      <c r="M60" s="249">
        <v>5.67</v>
      </c>
      <c r="N60" s="250">
        <v>8315.0</v>
      </c>
      <c r="O60" s="249">
        <v>0.0</v>
      </c>
      <c r="P60" s="250">
        <v>0.0</v>
      </c>
      <c r="Q60" s="251">
        <f t="shared" ref="Q60:R60" si="76">M60-O60</f>
        <v>5.67</v>
      </c>
      <c r="R60" s="252">
        <f t="shared" si="76"/>
        <v>8315</v>
      </c>
      <c r="S60" s="253">
        <v>1466.5</v>
      </c>
      <c r="T60" s="254">
        <v>15.0</v>
      </c>
      <c r="U60" s="255" t="s">
        <v>107</v>
      </c>
      <c r="V60" s="255"/>
    </row>
    <row r="61" ht="12.75" customHeight="1">
      <c r="A61" s="245" t="s">
        <v>512</v>
      </c>
      <c r="B61" s="246" t="s">
        <v>118</v>
      </c>
      <c r="C61" s="247" t="s">
        <v>119</v>
      </c>
      <c r="D61" s="247" t="s">
        <v>158</v>
      </c>
      <c r="E61" s="247" t="s">
        <v>159</v>
      </c>
      <c r="F61" s="248"/>
      <c r="G61" s="247" t="s">
        <v>127</v>
      </c>
      <c r="H61" s="247" t="s">
        <v>128</v>
      </c>
      <c r="I61" s="248" t="s">
        <v>105</v>
      </c>
      <c r="J61" s="247" t="s">
        <v>106</v>
      </c>
      <c r="K61" s="251">
        <f t="shared" ref="K61:R61" si="77">-K60</f>
        <v>-37.8</v>
      </c>
      <c r="L61" s="252">
        <f t="shared" si="77"/>
        <v>-55433</v>
      </c>
      <c r="M61" s="251">
        <f t="shared" si="77"/>
        <v>-5.67</v>
      </c>
      <c r="N61" s="252">
        <f t="shared" si="77"/>
        <v>-8315</v>
      </c>
      <c r="O61" s="251">
        <f t="shared" si="77"/>
        <v>0</v>
      </c>
      <c r="P61" s="252">
        <f t="shared" si="77"/>
        <v>0</v>
      </c>
      <c r="Q61" s="251">
        <f t="shared" si="77"/>
        <v>-5.67</v>
      </c>
      <c r="R61" s="252">
        <f t="shared" si="77"/>
        <v>-8315</v>
      </c>
      <c r="S61" s="253">
        <v>1466.5</v>
      </c>
      <c r="T61" s="254">
        <v>15.0</v>
      </c>
      <c r="U61" s="255" t="s">
        <v>107</v>
      </c>
      <c r="V61" s="255"/>
    </row>
    <row r="62" ht="12.75" customHeight="1">
      <c r="A62" s="256" t="s">
        <v>513</v>
      </c>
      <c r="B62" s="257" t="s">
        <v>118</v>
      </c>
      <c r="C62" s="258" t="s">
        <v>119</v>
      </c>
      <c r="D62" s="258" t="s">
        <v>158</v>
      </c>
      <c r="E62" s="258" t="s">
        <v>159</v>
      </c>
      <c r="F62" s="259"/>
      <c r="G62" s="258" t="s">
        <v>127</v>
      </c>
      <c r="H62" s="258" t="s">
        <v>128</v>
      </c>
      <c r="I62" s="259" t="s">
        <v>105</v>
      </c>
      <c r="J62" s="258" t="s">
        <v>106</v>
      </c>
      <c r="K62" s="260">
        <f>ROUND(M62/0.15,2)</f>
        <v>17.93</v>
      </c>
      <c r="L62" s="261">
        <f>ROUND(N62/0.15,0)</f>
        <v>26300</v>
      </c>
      <c r="M62" s="260">
        <f t="shared" ref="M62:N62" si="78">Q62</f>
        <v>2.69</v>
      </c>
      <c r="N62" s="261">
        <f t="shared" si="78"/>
        <v>3945</v>
      </c>
      <c r="O62" s="262">
        <v>2.98</v>
      </c>
      <c r="P62" s="263">
        <v>4370.0</v>
      </c>
      <c r="Q62" s="260">
        <f t="shared" ref="Q62:R62" si="79">M60-O62</f>
        <v>2.69</v>
      </c>
      <c r="R62" s="261">
        <f t="shared" si="79"/>
        <v>3945</v>
      </c>
      <c r="S62" s="264">
        <v>1466.5</v>
      </c>
      <c r="T62" s="265">
        <v>15.0</v>
      </c>
      <c r="U62" s="266" t="s">
        <v>107</v>
      </c>
      <c r="V62" s="266" t="s">
        <v>514</v>
      </c>
    </row>
    <row r="63" ht="12.75" customHeight="1">
      <c r="A63" s="267" t="s">
        <v>515</v>
      </c>
      <c r="B63" s="268" t="s">
        <v>118</v>
      </c>
      <c r="C63" s="269" t="s">
        <v>119</v>
      </c>
      <c r="D63" s="269" t="s">
        <v>161</v>
      </c>
      <c r="E63" s="270"/>
      <c r="F63" s="270"/>
      <c r="G63" s="269" t="s">
        <v>148</v>
      </c>
      <c r="H63" s="269" t="s">
        <v>516</v>
      </c>
      <c r="I63" s="270" t="s">
        <v>105</v>
      </c>
      <c r="J63" s="269" t="s">
        <v>150</v>
      </c>
      <c r="K63" s="271">
        <v>0.0</v>
      </c>
      <c r="L63" s="272">
        <v>0.0</v>
      </c>
      <c r="M63" s="271">
        <v>0.0</v>
      </c>
      <c r="N63" s="272">
        <v>27.0</v>
      </c>
      <c r="O63" s="271">
        <v>0.0</v>
      </c>
      <c r="P63" s="272">
        <v>0.0</v>
      </c>
      <c r="Q63" s="273">
        <f t="shared" ref="Q63:R63" si="80">M63-O63</f>
        <v>0</v>
      </c>
      <c r="R63" s="274">
        <f t="shared" si="80"/>
        <v>27</v>
      </c>
      <c r="S63" s="275">
        <v>1.0</v>
      </c>
      <c r="T63" s="276">
        <v>0.0</v>
      </c>
      <c r="U63" s="277" t="s">
        <v>151</v>
      </c>
      <c r="V63" s="277"/>
    </row>
    <row r="64" ht="12.75" customHeight="1">
      <c r="A64" s="267" t="s">
        <v>517</v>
      </c>
      <c r="B64" s="268" t="s">
        <v>118</v>
      </c>
      <c r="C64" s="269" t="s">
        <v>119</v>
      </c>
      <c r="D64" s="269" t="s">
        <v>163</v>
      </c>
      <c r="E64" s="270"/>
      <c r="F64" s="270"/>
      <c r="G64" s="269" t="s">
        <v>148</v>
      </c>
      <c r="H64" s="269" t="s">
        <v>518</v>
      </c>
      <c r="I64" s="270" t="s">
        <v>105</v>
      </c>
      <c r="J64" s="269" t="s">
        <v>150</v>
      </c>
      <c r="K64" s="271">
        <v>0.0</v>
      </c>
      <c r="L64" s="272">
        <v>0.0</v>
      </c>
      <c r="M64" s="271">
        <v>0.0</v>
      </c>
      <c r="N64" s="272">
        <v>18.0</v>
      </c>
      <c r="O64" s="271">
        <v>0.0</v>
      </c>
      <c r="P64" s="272">
        <v>0.0</v>
      </c>
      <c r="Q64" s="273">
        <f t="shared" ref="Q64:R64" si="81">M64-O64</f>
        <v>0</v>
      </c>
      <c r="R64" s="274">
        <f t="shared" si="81"/>
        <v>18</v>
      </c>
      <c r="S64" s="275">
        <v>1.0</v>
      </c>
      <c r="T64" s="276">
        <v>0.0</v>
      </c>
      <c r="U64" s="277" t="s">
        <v>151</v>
      </c>
      <c r="V64" s="277"/>
    </row>
    <row r="65" ht="12.75" customHeight="1">
      <c r="A65" s="245" t="s">
        <v>519</v>
      </c>
      <c r="B65" s="246" t="s">
        <v>118</v>
      </c>
      <c r="C65" s="247" t="s">
        <v>119</v>
      </c>
      <c r="D65" s="247" t="s">
        <v>165</v>
      </c>
      <c r="E65" s="247" t="s">
        <v>166</v>
      </c>
      <c r="F65" s="248"/>
      <c r="G65" s="247" t="s">
        <v>131</v>
      </c>
      <c r="H65" s="247" t="s">
        <v>167</v>
      </c>
      <c r="I65" s="248" t="s">
        <v>105</v>
      </c>
      <c r="J65" s="247" t="s">
        <v>106</v>
      </c>
      <c r="K65" s="249">
        <v>348.73</v>
      </c>
      <c r="L65" s="250">
        <v>511203.0</v>
      </c>
      <c r="M65" s="249">
        <v>52.31</v>
      </c>
      <c r="N65" s="250">
        <v>76681.0</v>
      </c>
      <c r="O65" s="249">
        <v>0.0</v>
      </c>
      <c r="P65" s="250">
        <v>0.0</v>
      </c>
      <c r="Q65" s="251">
        <f t="shared" ref="Q65:R65" si="82">M65-O65</f>
        <v>52.31</v>
      </c>
      <c r="R65" s="252">
        <f t="shared" si="82"/>
        <v>76681</v>
      </c>
      <c r="S65" s="253">
        <v>1465.9</v>
      </c>
      <c r="T65" s="254">
        <v>15.0</v>
      </c>
      <c r="U65" s="255" t="s">
        <v>107</v>
      </c>
      <c r="V65" s="255"/>
    </row>
    <row r="66" ht="12.75" customHeight="1">
      <c r="A66" s="245" t="s">
        <v>520</v>
      </c>
      <c r="B66" s="246" t="s">
        <v>118</v>
      </c>
      <c r="C66" s="247" t="s">
        <v>119</v>
      </c>
      <c r="D66" s="247" t="s">
        <v>165</v>
      </c>
      <c r="E66" s="247" t="s">
        <v>166</v>
      </c>
      <c r="F66" s="248"/>
      <c r="G66" s="247" t="s">
        <v>131</v>
      </c>
      <c r="H66" s="247" t="s">
        <v>167</v>
      </c>
      <c r="I66" s="248" t="s">
        <v>105</v>
      </c>
      <c r="J66" s="247" t="s">
        <v>106</v>
      </c>
      <c r="K66" s="251">
        <f t="shared" ref="K66:R66" si="83">-K65</f>
        <v>-348.73</v>
      </c>
      <c r="L66" s="252">
        <f t="shared" si="83"/>
        <v>-511203</v>
      </c>
      <c r="M66" s="251">
        <f t="shared" si="83"/>
        <v>-52.31</v>
      </c>
      <c r="N66" s="252">
        <f t="shared" si="83"/>
        <v>-76681</v>
      </c>
      <c r="O66" s="251">
        <f t="shared" si="83"/>
        <v>0</v>
      </c>
      <c r="P66" s="252">
        <f t="shared" si="83"/>
        <v>0</v>
      </c>
      <c r="Q66" s="251">
        <f t="shared" si="83"/>
        <v>-52.31</v>
      </c>
      <c r="R66" s="252">
        <f t="shared" si="83"/>
        <v>-76681</v>
      </c>
      <c r="S66" s="253">
        <v>1465.9</v>
      </c>
      <c r="T66" s="254">
        <v>15.0</v>
      </c>
      <c r="U66" s="255" t="s">
        <v>107</v>
      </c>
      <c r="V66" s="255"/>
    </row>
    <row r="67" ht="12.75" customHeight="1">
      <c r="A67" s="256" t="s">
        <v>521</v>
      </c>
      <c r="B67" s="257" t="s">
        <v>118</v>
      </c>
      <c r="C67" s="258" t="s">
        <v>119</v>
      </c>
      <c r="D67" s="258" t="s">
        <v>165</v>
      </c>
      <c r="E67" s="258" t="s">
        <v>166</v>
      </c>
      <c r="F67" s="259"/>
      <c r="G67" s="258" t="s">
        <v>131</v>
      </c>
      <c r="H67" s="258" t="s">
        <v>167</v>
      </c>
      <c r="I67" s="259" t="s">
        <v>105</v>
      </c>
      <c r="J67" s="258" t="s">
        <v>106</v>
      </c>
      <c r="K67" s="260">
        <f>ROUND(M67/0.15,2)</f>
        <v>10.27</v>
      </c>
      <c r="L67" s="261">
        <f>ROUND(N67/0.15,0)</f>
        <v>15047</v>
      </c>
      <c r="M67" s="260">
        <f t="shared" ref="M67:N67" si="84">Q67</f>
        <v>1.54</v>
      </c>
      <c r="N67" s="261">
        <f t="shared" si="84"/>
        <v>2257</v>
      </c>
      <c r="O67" s="262">
        <v>50.77</v>
      </c>
      <c r="P67" s="263">
        <v>74424.0</v>
      </c>
      <c r="Q67" s="260">
        <f t="shared" ref="Q67:R67" si="85">M65-O67</f>
        <v>1.54</v>
      </c>
      <c r="R67" s="261">
        <f t="shared" si="85"/>
        <v>2257</v>
      </c>
      <c r="S67" s="264">
        <v>1465.9</v>
      </c>
      <c r="T67" s="265">
        <v>15.0</v>
      </c>
      <c r="U67" s="266" t="s">
        <v>107</v>
      </c>
      <c r="V67" s="266" t="s">
        <v>522</v>
      </c>
    </row>
    <row r="68" ht="12.75" customHeight="1">
      <c r="A68" s="245" t="s">
        <v>523</v>
      </c>
      <c r="B68" s="246" t="s">
        <v>118</v>
      </c>
      <c r="C68" s="247" t="s">
        <v>119</v>
      </c>
      <c r="D68" s="247" t="s">
        <v>168</v>
      </c>
      <c r="E68" s="247" t="s">
        <v>169</v>
      </c>
      <c r="F68" s="248"/>
      <c r="G68" s="247" t="s">
        <v>116</v>
      </c>
      <c r="H68" s="247" t="s">
        <v>117</v>
      </c>
      <c r="I68" s="248" t="s">
        <v>105</v>
      </c>
      <c r="J68" s="247" t="s">
        <v>106</v>
      </c>
      <c r="K68" s="249">
        <v>244.04</v>
      </c>
      <c r="L68" s="250">
        <v>358787.0</v>
      </c>
      <c r="M68" s="249">
        <v>36.61</v>
      </c>
      <c r="N68" s="250">
        <v>53824.0</v>
      </c>
      <c r="O68" s="249">
        <v>0.0</v>
      </c>
      <c r="P68" s="250">
        <v>0.0</v>
      </c>
      <c r="Q68" s="251">
        <f t="shared" ref="Q68:R68" si="86">M68-O68</f>
        <v>36.61</v>
      </c>
      <c r="R68" s="252">
        <f t="shared" si="86"/>
        <v>53824</v>
      </c>
      <c r="S68" s="253">
        <v>1470.2</v>
      </c>
      <c r="T68" s="254">
        <v>15.0</v>
      </c>
      <c r="U68" s="255" t="s">
        <v>107</v>
      </c>
      <c r="V68" s="255"/>
    </row>
    <row r="69" ht="12.75" customHeight="1">
      <c r="A69" s="245" t="s">
        <v>524</v>
      </c>
      <c r="B69" s="246" t="s">
        <v>118</v>
      </c>
      <c r="C69" s="247" t="s">
        <v>119</v>
      </c>
      <c r="D69" s="247" t="s">
        <v>168</v>
      </c>
      <c r="E69" s="247" t="s">
        <v>169</v>
      </c>
      <c r="F69" s="248"/>
      <c r="G69" s="247" t="s">
        <v>116</v>
      </c>
      <c r="H69" s="247" t="s">
        <v>117</v>
      </c>
      <c r="I69" s="248" t="s">
        <v>105</v>
      </c>
      <c r="J69" s="247" t="s">
        <v>106</v>
      </c>
      <c r="K69" s="251">
        <f t="shared" ref="K69:R69" si="87">-K68</f>
        <v>-244.04</v>
      </c>
      <c r="L69" s="252">
        <f t="shared" si="87"/>
        <v>-358787</v>
      </c>
      <c r="M69" s="251">
        <f t="shared" si="87"/>
        <v>-36.61</v>
      </c>
      <c r="N69" s="252">
        <f t="shared" si="87"/>
        <v>-53824</v>
      </c>
      <c r="O69" s="251">
        <f t="shared" si="87"/>
        <v>0</v>
      </c>
      <c r="P69" s="252">
        <f t="shared" si="87"/>
        <v>0</v>
      </c>
      <c r="Q69" s="251">
        <f t="shared" si="87"/>
        <v>-36.61</v>
      </c>
      <c r="R69" s="252">
        <f t="shared" si="87"/>
        <v>-53824</v>
      </c>
      <c r="S69" s="253">
        <v>1470.2</v>
      </c>
      <c r="T69" s="254">
        <v>15.0</v>
      </c>
      <c r="U69" s="255" t="s">
        <v>107</v>
      </c>
      <c r="V69" s="255"/>
    </row>
    <row r="70" ht="12.75" customHeight="1">
      <c r="A70" s="256" t="s">
        <v>525</v>
      </c>
      <c r="B70" s="257" t="s">
        <v>118</v>
      </c>
      <c r="C70" s="258" t="s">
        <v>119</v>
      </c>
      <c r="D70" s="258" t="s">
        <v>168</v>
      </c>
      <c r="E70" s="258" t="s">
        <v>169</v>
      </c>
      <c r="F70" s="259"/>
      <c r="G70" s="258" t="s">
        <v>116</v>
      </c>
      <c r="H70" s="258" t="s">
        <v>117</v>
      </c>
      <c r="I70" s="259" t="s">
        <v>105</v>
      </c>
      <c r="J70" s="258" t="s">
        <v>106</v>
      </c>
      <c r="K70" s="260">
        <f>ROUND(M70/0.15,2)</f>
        <v>190.13</v>
      </c>
      <c r="L70" s="261">
        <f>ROUND(N70/0.15,0)</f>
        <v>279533</v>
      </c>
      <c r="M70" s="260">
        <f t="shared" ref="M70:N70" si="88">Q70</f>
        <v>28.52</v>
      </c>
      <c r="N70" s="261">
        <f t="shared" si="88"/>
        <v>41930</v>
      </c>
      <c r="O70" s="262">
        <v>8.09</v>
      </c>
      <c r="P70" s="263">
        <v>11894.0</v>
      </c>
      <c r="Q70" s="260">
        <f t="shared" ref="Q70:R70" si="89">M68-O70</f>
        <v>28.52</v>
      </c>
      <c r="R70" s="261">
        <f t="shared" si="89"/>
        <v>41930</v>
      </c>
      <c r="S70" s="264">
        <v>1470.2</v>
      </c>
      <c r="T70" s="265">
        <v>15.0</v>
      </c>
      <c r="U70" s="266" t="s">
        <v>107</v>
      </c>
      <c r="V70" s="266" t="s">
        <v>526</v>
      </c>
    </row>
    <row r="71" ht="12.75" customHeight="1">
      <c r="A71" s="245" t="s">
        <v>527</v>
      </c>
      <c r="B71" s="246" t="s">
        <v>118</v>
      </c>
      <c r="C71" s="247" t="s">
        <v>119</v>
      </c>
      <c r="D71" s="247" t="s">
        <v>170</v>
      </c>
      <c r="E71" s="247" t="s">
        <v>171</v>
      </c>
      <c r="F71" s="248"/>
      <c r="G71" s="247" t="s">
        <v>135</v>
      </c>
      <c r="H71" s="247" t="s">
        <v>172</v>
      </c>
      <c r="I71" s="248" t="s">
        <v>105</v>
      </c>
      <c r="J71" s="247" t="s">
        <v>106</v>
      </c>
      <c r="K71" s="249">
        <v>790.67</v>
      </c>
      <c r="L71" s="250">
        <v>1128602.0</v>
      </c>
      <c r="M71" s="249">
        <v>118.6</v>
      </c>
      <c r="N71" s="250">
        <v>169289.0</v>
      </c>
      <c r="O71" s="249">
        <v>0.0</v>
      </c>
      <c r="P71" s="250">
        <v>0.0</v>
      </c>
      <c r="Q71" s="251">
        <f t="shared" ref="Q71:R71" si="90">M71-O71</f>
        <v>118.6</v>
      </c>
      <c r="R71" s="252">
        <f t="shared" si="90"/>
        <v>169289</v>
      </c>
      <c r="S71" s="253">
        <v>1427.4</v>
      </c>
      <c r="T71" s="254">
        <v>15.0</v>
      </c>
      <c r="U71" s="255" t="s">
        <v>107</v>
      </c>
      <c r="V71" s="255"/>
    </row>
    <row r="72" ht="12.75" customHeight="1">
      <c r="A72" s="245" t="s">
        <v>528</v>
      </c>
      <c r="B72" s="246" t="s">
        <v>118</v>
      </c>
      <c r="C72" s="247" t="s">
        <v>119</v>
      </c>
      <c r="D72" s="247" t="s">
        <v>170</v>
      </c>
      <c r="E72" s="247" t="s">
        <v>171</v>
      </c>
      <c r="F72" s="248"/>
      <c r="G72" s="247" t="s">
        <v>135</v>
      </c>
      <c r="H72" s="247" t="s">
        <v>172</v>
      </c>
      <c r="I72" s="248" t="s">
        <v>105</v>
      </c>
      <c r="J72" s="247" t="s">
        <v>106</v>
      </c>
      <c r="K72" s="251">
        <f t="shared" ref="K72:R72" si="91">-K71</f>
        <v>-790.67</v>
      </c>
      <c r="L72" s="252">
        <f t="shared" si="91"/>
        <v>-1128602</v>
      </c>
      <c r="M72" s="251">
        <f t="shared" si="91"/>
        <v>-118.6</v>
      </c>
      <c r="N72" s="252">
        <f t="shared" si="91"/>
        <v>-169289</v>
      </c>
      <c r="O72" s="251">
        <f t="shared" si="91"/>
        <v>0</v>
      </c>
      <c r="P72" s="252">
        <f t="shared" si="91"/>
        <v>0</v>
      </c>
      <c r="Q72" s="251">
        <f t="shared" si="91"/>
        <v>-118.6</v>
      </c>
      <c r="R72" s="252">
        <f t="shared" si="91"/>
        <v>-169289</v>
      </c>
      <c r="S72" s="253">
        <v>1427.4</v>
      </c>
      <c r="T72" s="254">
        <v>15.0</v>
      </c>
      <c r="U72" s="255" t="s">
        <v>107</v>
      </c>
      <c r="V72" s="255"/>
    </row>
    <row r="73" ht="12.75" customHeight="1">
      <c r="A73" s="256" t="s">
        <v>529</v>
      </c>
      <c r="B73" s="257" t="s">
        <v>118</v>
      </c>
      <c r="C73" s="258" t="s">
        <v>119</v>
      </c>
      <c r="D73" s="258" t="s">
        <v>170</v>
      </c>
      <c r="E73" s="258" t="s">
        <v>171</v>
      </c>
      <c r="F73" s="259"/>
      <c r="G73" s="258" t="s">
        <v>135</v>
      </c>
      <c r="H73" s="258" t="s">
        <v>172</v>
      </c>
      <c r="I73" s="259" t="s">
        <v>105</v>
      </c>
      <c r="J73" s="258" t="s">
        <v>106</v>
      </c>
      <c r="K73" s="260">
        <f>ROUND(M73/0.15,2)</f>
        <v>0</v>
      </c>
      <c r="L73" s="261">
        <f>ROUND(N73/0.15,0)</f>
        <v>-7</v>
      </c>
      <c r="M73" s="260">
        <f t="shared" ref="M73:N73" si="92">Q73</f>
        <v>0</v>
      </c>
      <c r="N73" s="261">
        <f t="shared" si="92"/>
        <v>-1</v>
      </c>
      <c r="O73" s="262">
        <v>118.6</v>
      </c>
      <c r="P73" s="263">
        <v>169290.0</v>
      </c>
      <c r="Q73" s="260">
        <f t="shared" ref="Q73:R73" si="93">M71-O73</f>
        <v>0</v>
      </c>
      <c r="R73" s="261">
        <f t="shared" si="93"/>
        <v>-1</v>
      </c>
      <c r="S73" s="264">
        <v>1427.4</v>
      </c>
      <c r="T73" s="265">
        <v>15.0</v>
      </c>
      <c r="U73" s="266" t="s">
        <v>107</v>
      </c>
      <c r="V73" s="266" t="s">
        <v>530</v>
      </c>
    </row>
    <row r="74" ht="12.75" customHeight="1">
      <c r="A74" s="267" t="s">
        <v>531</v>
      </c>
      <c r="B74" s="268" t="s">
        <v>118</v>
      </c>
      <c r="C74" s="269" t="s">
        <v>119</v>
      </c>
      <c r="D74" s="269" t="s">
        <v>170</v>
      </c>
      <c r="E74" s="269" t="s">
        <v>170</v>
      </c>
      <c r="F74" s="270"/>
      <c r="G74" s="269" t="s">
        <v>173</v>
      </c>
      <c r="H74" s="270" t="s">
        <v>174</v>
      </c>
      <c r="I74" s="270" t="s">
        <v>105</v>
      </c>
      <c r="J74" s="269" t="s">
        <v>106</v>
      </c>
      <c r="K74" s="271">
        <v>0.5</v>
      </c>
      <c r="L74" s="272">
        <v>713.0</v>
      </c>
      <c r="M74" s="271">
        <v>0.08</v>
      </c>
      <c r="N74" s="272">
        <v>114.0</v>
      </c>
      <c r="O74" s="271">
        <v>0.0</v>
      </c>
      <c r="P74" s="272">
        <v>0.0</v>
      </c>
      <c r="Q74" s="273">
        <f t="shared" ref="Q74:R74" si="94">M74-O74</f>
        <v>0.08</v>
      </c>
      <c r="R74" s="274">
        <f t="shared" si="94"/>
        <v>114</v>
      </c>
      <c r="S74" s="275">
        <v>1427.4</v>
      </c>
      <c r="T74" s="276">
        <v>15.0</v>
      </c>
      <c r="U74" s="277" t="s">
        <v>107</v>
      </c>
      <c r="V74" s="277"/>
    </row>
    <row r="75" ht="12.75" customHeight="1">
      <c r="A75" s="267" t="s">
        <v>532</v>
      </c>
      <c r="B75" s="268" t="s">
        <v>118</v>
      </c>
      <c r="C75" s="269" t="s">
        <v>119</v>
      </c>
      <c r="D75" s="269" t="s">
        <v>175</v>
      </c>
      <c r="E75" s="270"/>
      <c r="F75" s="270"/>
      <c r="G75" s="269" t="s">
        <v>148</v>
      </c>
      <c r="H75" s="269" t="s">
        <v>533</v>
      </c>
      <c r="I75" s="270" t="s">
        <v>105</v>
      </c>
      <c r="J75" s="269" t="s">
        <v>150</v>
      </c>
      <c r="K75" s="271">
        <v>0.0</v>
      </c>
      <c r="L75" s="272">
        <v>0.0</v>
      </c>
      <c r="M75" s="271">
        <v>0.0</v>
      </c>
      <c r="N75" s="272">
        <v>8.0</v>
      </c>
      <c r="O75" s="271">
        <v>0.0</v>
      </c>
      <c r="P75" s="272">
        <v>0.0</v>
      </c>
      <c r="Q75" s="273">
        <f t="shared" ref="Q75:R75" si="95">M75-O75</f>
        <v>0</v>
      </c>
      <c r="R75" s="274">
        <f t="shared" si="95"/>
        <v>8</v>
      </c>
      <c r="S75" s="275">
        <v>1.0</v>
      </c>
      <c r="T75" s="276">
        <v>0.0</v>
      </c>
      <c r="U75" s="277" t="s">
        <v>151</v>
      </c>
      <c r="V75" s="277"/>
    </row>
    <row r="76" ht="12.75" customHeight="1">
      <c r="A76" s="245" t="s">
        <v>534</v>
      </c>
      <c r="B76" s="246" t="s">
        <v>118</v>
      </c>
      <c r="C76" s="247" t="s">
        <v>119</v>
      </c>
      <c r="D76" s="247" t="s">
        <v>178</v>
      </c>
      <c r="E76" s="247" t="s">
        <v>179</v>
      </c>
      <c r="F76" s="248"/>
      <c r="G76" s="247" t="s">
        <v>139</v>
      </c>
      <c r="H76" s="247" t="s">
        <v>180</v>
      </c>
      <c r="I76" s="248" t="s">
        <v>105</v>
      </c>
      <c r="J76" s="247" t="s">
        <v>106</v>
      </c>
      <c r="K76" s="249">
        <v>533.78</v>
      </c>
      <c r="L76" s="250">
        <v>759355.0</v>
      </c>
      <c r="M76" s="249">
        <v>80.07</v>
      </c>
      <c r="N76" s="250">
        <v>113907.0</v>
      </c>
      <c r="O76" s="249">
        <v>0.0</v>
      </c>
      <c r="P76" s="250">
        <v>0.0</v>
      </c>
      <c r="Q76" s="251">
        <f t="shared" ref="Q76:R76" si="96">M76-O76</f>
        <v>80.07</v>
      </c>
      <c r="R76" s="252">
        <f t="shared" si="96"/>
        <v>113907</v>
      </c>
      <c r="S76" s="253">
        <v>1422.6</v>
      </c>
      <c r="T76" s="254">
        <v>15.0</v>
      </c>
      <c r="U76" s="255" t="s">
        <v>107</v>
      </c>
      <c r="V76" s="255"/>
    </row>
    <row r="77" ht="12.75" customHeight="1">
      <c r="A77" s="245" t="s">
        <v>535</v>
      </c>
      <c r="B77" s="246" t="s">
        <v>118</v>
      </c>
      <c r="C77" s="247" t="s">
        <v>119</v>
      </c>
      <c r="D77" s="247" t="s">
        <v>178</v>
      </c>
      <c r="E77" s="247" t="s">
        <v>179</v>
      </c>
      <c r="F77" s="248"/>
      <c r="G77" s="247" t="s">
        <v>139</v>
      </c>
      <c r="H77" s="247" t="s">
        <v>180</v>
      </c>
      <c r="I77" s="248" t="s">
        <v>105</v>
      </c>
      <c r="J77" s="247" t="s">
        <v>106</v>
      </c>
      <c r="K77" s="251">
        <f t="shared" ref="K77:R77" si="97">-K76</f>
        <v>-533.78</v>
      </c>
      <c r="L77" s="252">
        <f t="shared" si="97"/>
        <v>-759355</v>
      </c>
      <c r="M77" s="251">
        <f t="shared" si="97"/>
        <v>-80.07</v>
      </c>
      <c r="N77" s="252">
        <f t="shared" si="97"/>
        <v>-113907</v>
      </c>
      <c r="O77" s="251">
        <f t="shared" si="97"/>
        <v>0</v>
      </c>
      <c r="P77" s="252">
        <f t="shared" si="97"/>
        <v>0</v>
      </c>
      <c r="Q77" s="251">
        <f t="shared" si="97"/>
        <v>-80.07</v>
      </c>
      <c r="R77" s="252">
        <f t="shared" si="97"/>
        <v>-113907</v>
      </c>
      <c r="S77" s="253">
        <v>1422.6</v>
      </c>
      <c r="T77" s="254">
        <v>15.0</v>
      </c>
      <c r="U77" s="255" t="s">
        <v>107</v>
      </c>
      <c r="V77" s="255"/>
    </row>
    <row r="78" ht="12.75" customHeight="1">
      <c r="A78" s="256" t="s">
        <v>536</v>
      </c>
      <c r="B78" s="257" t="s">
        <v>118</v>
      </c>
      <c r="C78" s="258" t="s">
        <v>119</v>
      </c>
      <c r="D78" s="258" t="s">
        <v>178</v>
      </c>
      <c r="E78" s="258" t="s">
        <v>179</v>
      </c>
      <c r="F78" s="259"/>
      <c r="G78" s="258" t="s">
        <v>139</v>
      </c>
      <c r="H78" s="258" t="s">
        <v>180</v>
      </c>
      <c r="I78" s="259" t="s">
        <v>105</v>
      </c>
      <c r="J78" s="258" t="s">
        <v>106</v>
      </c>
      <c r="K78" s="260">
        <f>ROUND(M78/0.15,2)</f>
        <v>144.27</v>
      </c>
      <c r="L78" s="261">
        <f>ROUND(N78/0.15,0)</f>
        <v>205227</v>
      </c>
      <c r="M78" s="260">
        <f t="shared" ref="M78:N78" si="98">Q78</f>
        <v>21.64</v>
      </c>
      <c r="N78" s="261">
        <f t="shared" si="98"/>
        <v>30784</v>
      </c>
      <c r="O78" s="262">
        <v>58.43</v>
      </c>
      <c r="P78" s="263">
        <v>83123.0</v>
      </c>
      <c r="Q78" s="260">
        <f t="shared" ref="Q78:R78" si="99">M76-O78</f>
        <v>21.64</v>
      </c>
      <c r="R78" s="261">
        <f t="shared" si="99"/>
        <v>30784</v>
      </c>
      <c r="S78" s="264">
        <v>1422.6</v>
      </c>
      <c r="T78" s="265">
        <v>15.0</v>
      </c>
      <c r="U78" s="266" t="s">
        <v>107</v>
      </c>
      <c r="V78" s="266" t="s">
        <v>537</v>
      </c>
    </row>
    <row r="79" ht="12.75" customHeight="1">
      <c r="A79" s="267" t="s">
        <v>538</v>
      </c>
      <c r="B79" s="268" t="s">
        <v>118</v>
      </c>
      <c r="C79" s="269" t="s">
        <v>119</v>
      </c>
      <c r="D79" s="269" t="s">
        <v>181</v>
      </c>
      <c r="E79" s="269" t="s">
        <v>182</v>
      </c>
      <c r="F79" s="270"/>
      <c r="G79" s="269" t="s">
        <v>183</v>
      </c>
      <c r="H79" s="270" t="s">
        <v>184</v>
      </c>
      <c r="I79" s="270" t="s">
        <v>105</v>
      </c>
      <c r="J79" s="269" t="s">
        <v>106</v>
      </c>
      <c r="K79" s="271">
        <v>0.83</v>
      </c>
      <c r="L79" s="272">
        <v>1187.0</v>
      </c>
      <c r="M79" s="271">
        <v>0.12</v>
      </c>
      <c r="N79" s="272">
        <v>171.0</v>
      </c>
      <c r="O79" s="271">
        <v>0.0</v>
      </c>
      <c r="P79" s="272">
        <v>0.0</v>
      </c>
      <c r="Q79" s="273">
        <f t="shared" ref="Q79:R79" si="100">M79-O79</f>
        <v>0.12</v>
      </c>
      <c r="R79" s="274">
        <f t="shared" si="100"/>
        <v>171</v>
      </c>
      <c r="S79" s="275">
        <v>1430.2</v>
      </c>
      <c r="T79" s="276">
        <v>15.0</v>
      </c>
      <c r="U79" s="277" t="s">
        <v>107</v>
      </c>
      <c r="V79" s="277"/>
    </row>
    <row r="80" ht="12.75" customHeight="1">
      <c r="A80" s="245" t="s">
        <v>539</v>
      </c>
      <c r="B80" s="246" t="s">
        <v>118</v>
      </c>
      <c r="C80" s="247" t="s">
        <v>119</v>
      </c>
      <c r="D80" s="247" t="s">
        <v>185</v>
      </c>
      <c r="E80" s="247" t="s">
        <v>181</v>
      </c>
      <c r="F80" s="248"/>
      <c r="G80" s="247" t="s">
        <v>143</v>
      </c>
      <c r="H80" s="247" t="s">
        <v>160</v>
      </c>
      <c r="I80" s="248" t="s">
        <v>105</v>
      </c>
      <c r="J80" s="247" t="s">
        <v>106</v>
      </c>
      <c r="K80" s="249">
        <v>21.91</v>
      </c>
      <c r="L80" s="250">
        <v>31535.0</v>
      </c>
      <c r="M80" s="249">
        <v>3.29</v>
      </c>
      <c r="N80" s="250">
        <v>4735.0</v>
      </c>
      <c r="O80" s="249">
        <v>0.0</v>
      </c>
      <c r="P80" s="250">
        <v>0.0</v>
      </c>
      <c r="Q80" s="251">
        <f t="shared" ref="Q80:R80" si="101">M80-O80</f>
        <v>3.29</v>
      </c>
      <c r="R80" s="252">
        <f t="shared" si="101"/>
        <v>4735</v>
      </c>
      <c r="S80" s="253">
        <v>1439.3</v>
      </c>
      <c r="T80" s="254">
        <v>15.0</v>
      </c>
      <c r="U80" s="255" t="s">
        <v>107</v>
      </c>
      <c r="V80" s="255"/>
    </row>
    <row r="81" ht="12.75" customHeight="1">
      <c r="A81" s="245" t="s">
        <v>540</v>
      </c>
      <c r="B81" s="246" t="s">
        <v>118</v>
      </c>
      <c r="C81" s="247" t="s">
        <v>119</v>
      </c>
      <c r="D81" s="247" t="s">
        <v>185</v>
      </c>
      <c r="E81" s="247" t="s">
        <v>181</v>
      </c>
      <c r="F81" s="248"/>
      <c r="G81" s="247" t="s">
        <v>143</v>
      </c>
      <c r="H81" s="247" t="s">
        <v>160</v>
      </c>
      <c r="I81" s="248" t="s">
        <v>105</v>
      </c>
      <c r="J81" s="247" t="s">
        <v>106</v>
      </c>
      <c r="K81" s="251">
        <f t="shared" ref="K81:R81" si="102">-K80</f>
        <v>-21.91</v>
      </c>
      <c r="L81" s="252">
        <f t="shared" si="102"/>
        <v>-31535</v>
      </c>
      <c r="M81" s="251">
        <f t="shared" si="102"/>
        <v>-3.29</v>
      </c>
      <c r="N81" s="252">
        <f t="shared" si="102"/>
        <v>-4735</v>
      </c>
      <c r="O81" s="251">
        <f t="shared" si="102"/>
        <v>0</v>
      </c>
      <c r="P81" s="252">
        <f t="shared" si="102"/>
        <v>0</v>
      </c>
      <c r="Q81" s="251">
        <f t="shared" si="102"/>
        <v>-3.29</v>
      </c>
      <c r="R81" s="252">
        <f t="shared" si="102"/>
        <v>-4735</v>
      </c>
      <c r="S81" s="253">
        <v>1439.3</v>
      </c>
      <c r="T81" s="254">
        <v>15.0</v>
      </c>
      <c r="U81" s="255" t="s">
        <v>107</v>
      </c>
      <c r="V81" s="255"/>
    </row>
    <row r="82" ht="12.75" customHeight="1">
      <c r="A82" s="256" t="s">
        <v>541</v>
      </c>
      <c r="B82" s="257" t="s">
        <v>118</v>
      </c>
      <c r="C82" s="258" t="s">
        <v>119</v>
      </c>
      <c r="D82" s="258" t="s">
        <v>185</v>
      </c>
      <c r="E82" s="258" t="s">
        <v>181</v>
      </c>
      <c r="F82" s="259"/>
      <c r="G82" s="258" t="s">
        <v>143</v>
      </c>
      <c r="H82" s="258" t="s">
        <v>160</v>
      </c>
      <c r="I82" s="259" t="s">
        <v>105</v>
      </c>
      <c r="J82" s="258" t="s">
        <v>106</v>
      </c>
      <c r="K82" s="260">
        <f>ROUND(M82/0.15,2)</f>
        <v>8.07</v>
      </c>
      <c r="L82" s="261">
        <f>ROUND(N82/0.15,0)</f>
        <v>11607</v>
      </c>
      <c r="M82" s="260">
        <f t="shared" ref="M82:N82" si="103">Q82</f>
        <v>1.21</v>
      </c>
      <c r="N82" s="261">
        <f t="shared" si="103"/>
        <v>1741</v>
      </c>
      <c r="O82" s="262">
        <v>2.08</v>
      </c>
      <c r="P82" s="263">
        <v>2994.0</v>
      </c>
      <c r="Q82" s="260">
        <f t="shared" ref="Q82:R82" si="104">M80-O82</f>
        <v>1.21</v>
      </c>
      <c r="R82" s="261">
        <f t="shared" si="104"/>
        <v>1741</v>
      </c>
      <c r="S82" s="264">
        <v>1439.3</v>
      </c>
      <c r="T82" s="265">
        <v>15.0</v>
      </c>
      <c r="U82" s="266" t="s">
        <v>107</v>
      </c>
      <c r="V82" s="266" t="s">
        <v>542</v>
      </c>
    </row>
    <row r="83" ht="12.75" customHeight="1">
      <c r="A83" s="245" t="s">
        <v>543</v>
      </c>
      <c r="B83" s="246" t="s">
        <v>118</v>
      </c>
      <c r="C83" s="247" t="s">
        <v>119</v>
      </c>
      <c r="D83" s="247" t="s">
        <v>185</v>
      </c>
      <c r="E83" s="247" t="s">
        <v>181</v>
      </c>
      <c r="F83" s="248"/>
      <c r="G83" s="247" t="s">
        <v>127</v>
      </c>
      <c r="H83" s="247" t="s">
        <v>186</v>
      </c>
      <c r="I83" s="248" t="s">
        <v>105</v>
      </c>
      <c r="J83" s="247" t="s">
        <v>106</v>
      </c>
      <c r="K83" s="249">
        <v>32.32</v>
      </c>
      <c r="L83" s="250">
        <v>46518.0</v>
      </c>
      <c r="M83" s="249">
        <v>4.85</v>
      </c>
      <c r="N83" s="250">
        <v>6980.0</v>
      </c>
      <c r="O83" s="249">
        <v>0.0</v>
      </c>
      <c r="P83" s="250">
        <v>0.0</v>
      </c>
      <c r="Q83" s="251">
        <f t="shared" ref="Q83:R83" si="105">M83-O83</f>
        <v>4.85</v>
      </c>
      <c r="R83" s="252">
        <f t="shared" si="105"/>
        <v>6980</v>
      </c>
      <c r="S83" s="253">
        <v>1439.3</v>
      </c>
      <c r="T83" s="254">
        <v>15.0</v>
      </c>
      <c r="U83" s="255" t="s">
        <v>107</v>
      </c>
      <c r="V83" s="255"/>
    </row>
    <row r="84" ht="12.75" customHeight="1">
      <c r="A84" s="245" t="s">
        <v>544</v>
      </c>
      <c r="B84" s="246" t="s">
        <v>118</v>
      </c>
      <c r="C84" s="247" t="s">
        <v>119</v>
      </c>
      <c r="D84" s="247" t="s">
        <v>185</v>
      </c>
      <c r="E84" s="247" t="s">
        <v>181</v>
      </c>
      <c r="F84" s="248"/>
      <c r="G84" s="247" t="s">
        <v>127</v>
      </c>
      <c r="H84" s="247" t="s">
        <v>186</v>
      </c>
      <c r="I84" s="248" t="s">
        <v>105</v>
      </c>
      <c r="J84" s="247" t="s">
        <v>106</v>
      </c>
      <c r="K84" s="251">
        <f t="shared" ref="K84:R84" si="106">-K83</f>
        <v>-32.32</v>
      </c>
      <c r="L84" s="252">
        <f t="shared" si="106"/>
        <v>-46518</v>
      </c>
      <c r="M84" s="251">
        <f t="shared" si="106"/>
        <v>-4.85</v>
      </c>
      <c r="N84" s="252">
        <f t="shared" si="106"/>
        <v>-6980</v>
      </c>
      <c r="O84" s="251">
        <f t="shared" si="106"/>
        <v>0</v>
      </c>
      <c r="P84" s="252">
        <f t="shared" si="106"/>
        <v>0</v>
      </c>
      <c r="Q84" s="251">
        <f t="shared" si="106"/>
        <v>-4.85</v>
      </c>
      <c r="R84" s="252">
        <f t="shared" si="106"/>
        <v>-6980</v>
      </c>
      <c r="S84" s="253">
        <v>1439.3</v>
      </c>
      <c r="T84" s="254">
        <v>15.0</v>
      </c>
      <c r="U84" s="255" t="s">
        <v>107</v>
      </c>
      <c r="V84" s="255"/>
    </row>
    <row r="85" ht="12.75" customHeight="1">
      <c r="A85" s="256" t="s">
        <v>545</v>
      </c>
      <c r="B85" s="257" t="s">
        <v>118</v>
      </c>
      <c r="C85" s="258" t="s">
        <v>119</v>
      </c>
      <c r="D85" s="258" t="s">
        <v>185</v>
      </c>
      <c r="E85" s="258" t="s">
        <v>181</v>
      </c>
      <c r="F85" s="259"/>
      <c r="G85" s="258" t="s">
        <v>127</v>
      </c>
      <c r="H85" s="258" t="s">
        <v>186</v>
      </c>
      <c r="I85" s="259" t="s">
        <v>105</v>
      </c>
      <c r="J85" s="258" t="s">
        <v>106</v>
      </c>
      <c r="K85" s="260">
        <f>ROUND(M85/0.15,2)</f>
        <v>15.33</v>
      </c>
      <c r="L85" s="261">
        <f>ROUND(N85/0.15,0)</f>
        <v>22067</v>
      </c>
      <c r="M85" s="260">
        <f t="shared" ref="M85:N85" si="107">Q85</f>
        <v>2.3</v>
      </c>
      <c r="N85" s="261">
        <f t="shared" si="107"/>
        <v>3310</v>
      </c>
      <c r="O85" s="262">
        <v>2.55</v>
      </c>
      <c r="P85" s="263">
        <v>3670.0</v>
      </c>
      <c r="Q85" s="260">
        <f t="shared" ref="Q85:R85" si="108">M83-O85</f>
        <v>2.3</v>
      </c>
      <c r="R85" s="261">
        <f t="shared" si="108"/>
        <v>3310</v>
      </c>
      <c r="S85" s="264">
        <v>1439.3</v>
      </c>
      <c r="T85" s="265">
        <v>15.0</v>
      </c>
      <c r="U85" s="266" t="s">
        <v>107</v>
      </c>
      <c r="V85" s="266" t="s">
        <v>546</v>
      </c>
    </row>
    <row r="86" ht="12.75" customHeight="1">
      <c r="A86" s="245" t="s">
        <v>547</v>
      </c>
      <c r="B86" s="246" t="s">
        <v>118</v>
      </c>
      <c r="C86" s="247" t="s">
        <v>119</v>
      </c>
      <c r="D86" s="247" t="s">
        <v>187</v>
      </c>
      <c r="E86" s="247" t="s">
        <v>187</v>
      </c>
      <c r="F86" s="248"/>
      <c r="G86" s="247" t="s">
        <v>116</v>
      </c>
      <c r="H86" s="247" t="s">
        <v>117</v>
      </c>
      <c r="I86" s="248" t="s">
        <v>105</v>
      </c>
      <c r="J86" s="247" t="s">
        <v>106</v>
      </c>
      <c r="K86" s="249">
        <v>368.25</v>
      </c>
      <c r="L86" s="250">
        <v>525345.0</v>
      </c>
      <c r="M86" s="249">
        <v>55.24</v>
      </c>
      <c r="N86" s="250">
        <v>78805.0</v>
      </c>
      <c r="O86" s="249">
        <v>0.0</v>
      </c>
      <c r="P86" s="250">
        <v>0.0</v>
      </c>
      <c r="Q86" s="251">
        <f t="shared" ref="Q86:R86" si="109">M86-O86</f>
        <v>55.24</v>
      </c>
      <c r="R86" s="252">
        <f t="shared" si="109"/>
        <v>78805</v>
      </c>
      <c r="S86" s="253">
        <v>1426.6</v>
      </c>
      <c r="T86" s="254">
        <v>15.0</v>
      </c>
      <c r="U86" s="255" t="s">
        <v>107</v>
      </c>
      <c r="V86" s="255"/>
    </row>
    <row r="87" ht="12.75" customHeight="1">
      <c r="A87" s="245" t="s">
        <v>548</v>
      </c>
      <c r="B87" s="246" t="s">
        <v>118</v>
      </c>
      <c r="C87" s="247" t="s">
        <v>119</v>
      </c>
      <c r="D87" s="247" t="s">
        <v>187</v>
      </c>
      <c r="E87" s="247" t="s">
        <v>187</v>
      </c>
      <c r="F87" s="248"/>
      <c r="G87" s="247" t="s">
        <v>116</v>
      </c>
      <c r="H87" s="247" t="s">
        <v>117</v>
      </c>
      <c r="I87" s="248" t="s">
        <v>105</v>
      </c>
      <c r="J87" s="247" t="s">
        <v>106</v>
      </c>
      <c r="K87" s="251">
        <f t="shared" ref="K87:R87" si="110">-K86</f>
        <v>-368.25</v>
      </c>
      <c r="L87" s="252">
        <f t="shared" si="110"/>
        <v>-525345</v>
      </c>
      <c r="M87" s="251">
        <f t="shared" si="110"/>
        <v>-55.24</v>
      </c>
      <c r="N87" s="252">
        <f t="shared" si="110"/>
        <v>-78805</v>
      </c>
      <c r="O87" s="251">
        <f t="shared" si="110"/>
        <v>0</v>
      </c>
      <c r="P87" s="252">
        <f t="shared" si="110"/>
        <v>0</v>
      </c>
      <c r="Q87" s="251">
        <f t="shared" si="110"/>
        <v>-55.24</v>
      </c>
      <c r="R87" s="252">
        <f t="shared" si="110"/>
        <v>-78805</v>
      </c>
      <c r="S87" s="253">
        <v>1426.6</v>
      </c>
      <c r="T87" s="254">
        <v>15.0</v>
      </c>
      <c r="U87" s="255" t="s">
        <v>107</v>
      </c>
      <c r="V87" s="255"/>
    </row>
    <row r="88" ht="12.75" customHeight="1">
      <c r="A88" s="256" t="s">
        <v>549</v>
      </c>
      <c r="B88" s="257" t="s">
        <v>118</v>
      </c>
      <c r="C88" s="258" t="s">
        <v>119</v>
      </c>
      <c r="D88" s="258" t="s">
        <v>187</v>
      </c>
      <c r="E88" s="258" t="s">
        <v>187</v>
      </c>
      <c r="F88" s="259"/>
      <c r="G88" s="258" t="s">
        <v>116</v>
      </c>
      <c r="H88" s="258" t="s">
        <v>117</v>
      </c>
      <c r="I88" s="259" t="s">
        <v>105</v>
      </c>
      <c r="J88" s="258" t="s">
        <v>106</v>
      </c>
      <c r="K88" s="260">
        <f>ROUND(M88/0.15,2)</f>
        <v>346.33</v>
      </c>
      <c r="L88" s="261">
        <f>ROUND(N88/0.15,0)</f>
        <v>494073</v>
      </c>
      <c r="M88" s="260">
        <f t="shared" ref="M88:N88" si="111">Q88</f>
        <v>51.95</v>
      </c>
      <c r="N88" s="261">
        <f t="shared" si="111"/>
        <v>74111</v>
      </c>
      <c r="O88" s="262">
        <v>3.29</v>
      </c>
      <c r="P88" s="263">
        <v>4694.0</v>
      </c>
      <c r="Q88" s="260">
        <f t="shared" ref="Q88:R88" si="112">M86-O88</f>
        <v>51.95</v>
      </c>
      <c r="R88" s="261">
        <f t="shared" si="112"/>
        <v>74111</v>
      </c>
      <c r="S88" s="264">
        <v>1426.6</v>
      </c>
      <c r="T88" s="265">
        <v>15.0</v>
      </c>
      <c r="U88" s="266" t="s">
        <v>107</v>
      </c>
      <c r="V88" s="266" t="s">
        <v>550</v>
      </c>
    </row>
    <row r="89" ht="12.75" customHeight="1">
      <c r="A89" s="245" t="s">
        <v>551</v>
      </c>
      <c r="B89" s="246" t="s">
        <v>118</v>
      </c>
      <c r="C89" s="247" t="s">
        <v>119</v>
      </c>
      <c r="D89" s="247" t="s">
        <v>187</v>
      </c>
      <c r="E89" s="247" t="s">
        <v>188</v>
      </c>
      <c r="F89" s="248"/>
      <c r="G89" s="247" t="s">
        <v>131</v>
      </c>
      <c r="H89" s="247" t="s">
        <v>167</v>
      </c>
      <c r="I89" s="248" t="s">
        <v>105</v>
      </c>
      <c r="J89" s="247" t="s">
        <v>106</v>
      </c>
      <c r="K89" s="249">
        <v>518.2</v>
      </c>
      <c r="L89" s="250">
        <v>739264.0</v>
      </c>
      <c r="M89" s="249">
        <v>77.73</v>
      </c>
      <c r="N89" s="250">
        <v>110889.0</v>
      </c>
      <c r="O89" s="249">
        <v>0.0</v>
      </c>
      <c r="P89" s="250">
        <v>0.0</v>
      </c>
      <c r="Q89" s="251">
        <f t="shared" ref="Q89:R89" si="113">M89-O89</f>
        <v>77.73</v>
      </c>
      <c r="R89" s="252">
        <f t="shared" si="113"/>
        <v>110889</v>
      </c>
      <c r="S89" s="253">
        <v>1426.6</v>
      </c>
      <c r="T89" s="254">
        <v>15.0</v>
      </c>
      <c r="U89" s="255" t="s">
        <v>107</v>
      </c>
      <c r="V89" s="255"/>
    </row>
    <row r="90" ht="12.75" customHeight="1">
      <c r="A90" s="245" t="s">
        <v>552</v>
      </c>
      <c r="B90" s="246" t="s">
        <v>118</v>
      </c>
      <c r="C90" s="247" t="s">
        <v>119</v>
      </c>
      <c r="D90" s="247" t="s">
        <v>187</v>
      </c>
      <c r="E90" s="247" t="s">
        <v>188</v>
      </c>
      <c r="F90" s="248"/>
      <c r="G90" s="247" t="s">
        <v>131</v>
      </c>
      <c r="H90" s="247" t="s">
        <v>167</v>
      </c>
      <c r="I90" s="248" t="s">
        <v>105</v>
      </c>
      <c r="J90" s="247" t="s">
        <v>106</v>
      </c>
      <c r="K90" s="251">
        <f t="shared" ref="K90:R90" si="114">-K89</f>
        <v>-518.2</v>
      </c>
      <c r="L90" s="252">
        <f t="shared" si="114"/>
        <v>-739264</v>
      </c>
      <c r="M90" s="251">
        <f t="shared" si="114"/>
        <v>-77.73</v>
      </c>
      <c r="N90" s="252">
        <f t="shared" si="114"/>
        <v>-110889</v>
      </c>
      <c r="O90" s="251">
        <f t="shared" si="114"/>
        <v>0</v>
      </c>
      <c r="P90" s="252">
        <f t="shared" si="114"/>
        <v>0</v>
      </c>
      <c r="Q90" s="251">
        <f t="shared" si="114"/>
        <v>-77.73</v>
      </c>
      <c r="R90" s="252">
        <f t="shared" si="114"/>
        <v>-110889</v>
      </c>
      <c r="S90" s="253">
        <v>1426.6</v>
      </c>
      <c r="T90" s="254">
        <v>15.0</v>
      </c>
      <c r="U90" s="255" t="s">
        <v>107</v>
      </c>
      <c r="V90" s="255"/>
    </row>
    <row r="91" ht="12.75" customHeight="1">
      <c r="A91" s="256" t="s">
        <v>553</v>
      </c>
      <c r="B91" s="257" t="s">
        <v>118</v>
      </c>
      <c r="C91" s="258" t="s">
        <v>119</v>
      </c>
      <c r="D91" s="258" t="s">
        <v>187</v>
      </c>
      <c r="E91" s="258" t="s">
        <v>188</v>
      </c>
      <c r="F91" s="259"/>
      <c r="G91" s="258" t="s">
        <v>131</v>
      </c>
      <c r="H91" s="258" t="s">
        <v>167</v>
      </c>
      <c r="I91" s="259" t="s">
        <v>105</v>
      </c>
      <c r="J91" s="258" t="s">
        <v>106</v>
      </c>
      <c r="K91" s="260">
        <f>ROUND(M91/0.15,2)</f>
        <v>15.27</v>
      </c>
      <c r="L91" s="261">
        <f>ROUND(N91/0.15,0)</f>
        <v>21773</v>
      </c>
      <c r="M91" s="260">
        <f t="shared" ref="M91:N91" si="115">Q91</f>
        <v>2.29</v>
      </c>
      <c r="N91" s="261">
        <f t="shared" si="115"/>
        <v>3266</v>
      </c>
      <c r="O91" s="262">
        <v>75.44</v>
      </c>
      <c r="P91" s="263">
        <v>107623.0</v>
      </c>
      <c r="Q91" s="260">
        <f t="shared" ref="Q91:R91" si="116">M89-O91</f>
        <v>2.29</v>
      </c>
      <c r="R91" s="261">
        <f t="shared" si="116"/>
        <v>3266</v>
      </c>
      <c r="S91" s="264">
        <v>1426.6</v>
      </c>
      <c r="T91" s="265">
        <v>15.0</v>
      </c>
      <c r="U91" s="266" t="s">
        <v>107</v>
      </c>
      <c r="V91" s="266" t="s">
        <v>554</v>
      </c>
    </row>
    <row r="92" ht="12.75" customHeight="1">
      <c r="A92" s="245" t="s">
        <v>555</v>
      </c>
      <c r="B92" s="246" t="s">
        <v>118</v>
      </c>
      <c r="C92" s="247" t="s">
        <v>119</v>
      </c>
      <c r="D92" s="247" t="s">
        <v>189</v>
      </c>
      <c r="E92" s="247" t="s">
        <v>190</v>
      </c>
      <c r="F92" s="248"/>
      <c r="G92" s="247" t="s">
        <v>135</v>
      </c>
      <c r="H92" s="247" t="s">
        <v>172</v>
      </c>
      <c r="I92" s="248" t="s">
        <v>105</v>
      </c>
      <c r="J92" s="247" t="s">
        <v>106</v>
      </c>
      <c r="K92" s="249">
        <v>1405.05</v>
      </c>
      <c r="L92" s="250">
        <v>1974938.0</v>
      </c>
      <c r="M92" s="249">
        <v>210.76</v>
      </c>
      <c r="N92" s="250">
        <v>296244.0</v>
      </c>
      <c r="O92" s="249">
        <v>0.0</v>
      </c>
      <c r="P92" s="250">
        <v>0.0</v>
      </c>
      <c r="Q92" s="251">
        <f t="shared" ref="Q92:R92" si="117">M92-O92</f>
        <v>210.76</v>
      </c>
      <c r="R92" s="252">
        <f t="shared" si="117"/>
        <v>296244</v>
      </c>
      <c r="S92" s="253">
        <v>1405.6</v>
      </c>
      <c r="T92" s="254">
        <v>15.0</v>
      </c>
      <c r="U92" s="255" t="s">
        <v>107</v>
      </c>
      <c r="V92" s="255"/>
    </row>
    <row r="93" ht="12.75" customHeight="1">
      <c r="A93" s="245" t="s">
        <v>556</v>
      </c>
      <c r="B93" s="246" t="s">
        <v>118</v>
      </c>
      <c r="C93" s="247" t="s">
        <v>119</v>
      </c>
      <c r="D93" s="247" t="s">
        <v>189</v>
      </c>
      <c r="E93" s="247" t="s">
        <v>190</v>
      </c>
      <c r="F93" s="248"/>
      <c r="G93" s="247" t="s">
        <v>135</v>
      </c>
      <c r="H93" s="247" t="s">
        <v>172</v>
      </c>
      <c r="I93" s="248" t="s">
        <v>105</v>
      </c>
      <c r="J93" s="247" t="s">
        <v>106</v>
      </c>
      <c r="K93" s="251">
        <f t="shared" ref="K93:R93" si="118">-K92</f>
        <v>-1405.05</v>
      </c>
      <c r="L93" s="252">
        <f t="shared" si="118"/>
        <v>-1974938</v>
      </c>
      <c r="M93" s="251">
        <f t="shared" si="118"/>
        <v>-210.76</v>
      </c>
      <c r="N93" s="252">
        <f t="shared" si="118"/>
        <v>-296244</v>
      </c>
      <c r="O93" s="251">
        <f t="shared" si="118"/>
        <v>0</v>
      </c>
      <c r="P93" s="252">
        <f t="shared" si="118"/>
        <v>0</v>
      </c>
      <c r="Q93" s="251">
        <f t="shared" si="118"/>
        <v>-210.76</v>
      </c>
      <c r="R93" s="252">
        <f t="shared" si="118"/>
        <v>-296244</v>
      </c>
      <c r="S93" s="253">
        <v>1405.6</v>
      </c>
      <c r="T93" s="254">
        <v>15.0</v>
      </c>
      <c r="U93" s="255" t="s">
        <v>107</v>
      </c>
      <c r="V93" s="255"/>
    </row>
    <row r="94" ht="12.75" customHeight="1">
      <c r="A94" s="256" t="s">
        <v>557</v>
      </c>
      <c r="B94" s="257" t="s">
        <v>118</v>
      </c>
      <c r="C94" s="258" t="s">
        <v>119</v>
      </c>
      <c r="D94" s="258" t="s">
        <v>189</v>
      </c>
      <c r="E94" s="258" t="s">
        <v>190</v>
      </c>
      <c r="F94" s="259"/>
      <c r="G94" s="258" t="s">
        <v>135</v>
      </c>
      <c r="H94" s="258" t="s">
        <v>172</v>
      </c>
      <c r="I94" s="259" t="s">
        <v>105</v>
      </c>
      <c r="J94" s="258" t="s">
        <v>106</v>
      </c>
      <c r="K94" s="260">
        <f>ROUND(M94/0.15,2)</f>
        <v>0</v>
      </c>
      <c r="L94" s="261">
        <f>ROUND(N94/0.15,0)</f>
        <v>0</v>
      </c>
      <c r="M94" s="260">
        <f t="shared" ref="M94:N94" si="119">Q94</f>
        <v>0</v>
      </c>
      <c r="N94" s="261">
        <f t="shared" si="119"/>
        <v>0</v>
      </c>
      <c r="O94" s="262">
        <v>210.76</v>
      </c>
      <c r="P94" s="263">
        <v>296244.0</v>
      </c>
      <c r="Q94" s="260">
        <f t="shared" ref="Q94:R94" si="120">M92-O94</f>
        <v>0</v>
      </c>
      <c r="R94" s="261">
        <f t="shared" si="120"/>
        <v>0</v>
      </c>
      <c r="S94" s="264">
        <v>1405.6</v>
      </c>
      <c r="T94" s="265">
        <v>15.0</v>
      </c>
      <c r="U94" s="266" t="s">
        <v>107</v>
      </c>
      <c r="V94" s="266" t="s">
        <v>558</v>
      </c>
    </row>
    <row r="95" ht="12.75" customHeight="1">
      <c r="A95" s="267" t="s">
        <v>559</v>
      </c>
      <c r="B95" s="268" t="s">
        <v>118</v>
      </c>
      <c r="C95" s="269" t="s">
        <v>119</v>
      </c>
      <c r="D95" s="269" t="s">
        <v>191</v>
      </c>
      <c r="E95" s="270"/>
      <c r="F95" s="270"/>
      <c r="G95" s="269" t="s">
        <v>148</v>
      </c>
      <c r="H95" s="269" t="s">
        <v>560</v>
      </c>
      <c r="I95" s="270" t="s">
        <v>105</v>
      </c>
      <c r="J95" s="269" t="s">
        <v>150</v>
      </c>
      <c r="K95" s="271">
        <v>0.0</v>
      </c>
      <c r="L95" s="272">
        <v>0.0</v>
      </c>
      <c r="M95" s="271">
        <v>0.0</v>
      </c>
      <c r="N95" s="272">
        <v>27.0</v>
      </c>
      <c r="O95" s="271">
        <v>0.0</v>
      </c>
      <c r="P95" s="272">
        <v>0.0</v>
      </c>
      <c r="Q95" s="273">
        <f t="shared" ref="Q95:R95" si="121">M95-O95</f>
        <v>0</v>
      </c>
      <c r="R95" s="274">
        <f t="shared" si="121"/>
        <v>27</v>
      </c>
      <c r="S95" s="275">
        <v>1.0</v>
      </c>
      <c r="T95" s="276">
        <v>0.0</v>
      </c>
      <c r="U95" s="277" t="s">
        <v>151</v>
      </c>
      <c r="V95" s="277"/>
    </row>
    <row r="96" ht="12.75" customHeight="1">
      <c r="A96" s="267" t="s">
        <v>561</v>
      </c>
      <c r="B96" s="268" t="s">
        <v>118</v>
      </c>
      <c r="C96" s="269" t="s">
        <v>119</v>
      </c>
      <c r="D96" s="269" t="s">
        <v>193</v>
      </c>
      <c r="E96" s="270"/>
      <c r="F96" s="270"/>
      <c r="G96" s="269" t="s">
        <v>148</v>
      </c>
      <c r="H96" s="269" t="s">
        <v>562</v>
      </c>
      <c r="I96" s="270" t="s">
        <v>105</v>
      </c>
      <c r="J96" s="269" t="s">
        <v>150</v>
      </c>
      <c r="K96" s="271">
        <v>0.0</v>
      </c>
      <c r="L96" s="272">
        <v>0.0</v>
      </c>
      <c r="M96" s="271">
        <v>0.0</v>
      </c>
      <c r="N96" s="272">
        <v>20.0</v>
      </c>
      <c r="O96" s="271">
        <v>0.0</v>
      </c>
      <c r="P96" s="272">
        <v>0.0</v>
      </c>
      <c r="Q96" s="273">
        <f t="shared" ref="Q96:R96" si="122">M96-O96</f>
        <v>0</v>
      </c>
      <c r="R96" s="274">
        <f t="shared" si="122"/>
        <v>20</v>
      </c>
      <c r="S96" s="275">
        <v>1.0</v>
      </c>
      <c r="T96" s="276">
        <v>0.0</v>
      </c>
      <c r="U96" s="277" t="s">
        <v>151</v>
      </c>
      <c r="V96" s="277"/>
    </row>
    <row r="97" ht="12.75" customHeight="1">
      <c r="A97" s="245" t="s">
        <v>563</v>
      </c>
      <c r="B97" s="246" t="s">
        <v>118</v>
      </c>
      <c r="C97" s="247" t="s">
        <v>119</v>
      </c>
      <c r="D97" s="247" t="s">
        <v>195</v>
      </c>
      <c r="E97" s="247" t="s">
        <v>196</v>
      </c>
      <c r="F97" s="248"/>
      <c r="G97" s="247" t="s">
        <v>139</v>
      </c>
      <c r="H97" s="247" t="s">
        <v>180</v>
      </c>
      <c r="I97" s="248" t="s">
        <v>105</v>
      </c>
      <c r="J97" s="247" t="s">
        <v>106</v>
      </c>
      <c r="K97" s="249">
        <v>614.84</v>
      </c>
      <c r="L97" s="250">
        <v>859546.0</v>
      </c>
      <c r="M97" s="249">
        <v>92.23</v>
      </c>
      <c r="N97" s="250">
        <v>128937.0</v>
      </c>
      <c r="O97" s="249">
        <v>0.0</v>
      </c>
      <c r="P97" s="250">
        <v>0.0</v>
      </c>
      <c r="Q97" s="251">
        <f t="shared" ref="Q97:R97" si="123">M97-O97</f>
        <v>92.23</v>
      </c>
      <c r="R97" s="252">
        <f t="shared" si="123"/>
        <v>128937</v>
      </c>
      <c r="S97" s="253">
        <v>1398.0</v>
      </c>
      <c r="T97" s="254">
        <v>15.0</v>
      </c>
      <c r="U97" s="255" t="s">
        <v>107</v>
      </c>
      <c r="V97" s="255"/>
    </row>
    <row r="98" ht="12.75" customHeight="1">
      <c r="A98" s="245" t="s">
        <v>564</v>
      </c>
      <c r="B98" s="246" t="s">
        <v>118</v>
      </c>
      <c r="C98" s="247" t="s">
        <v>119</v>
      </c>
      <c r="D98" s="247" t="s">
        <v>195</v>
      </c>
      <c r="E98" s="247" t="s">
        <v>196</v>
      </c>
      <c r="F98" s="248"/>
      <c r="G98" s="247" t="s">
        <v>139</v>
      </c>
      <c r="H98" s="247" t="s">
        <v>180</v>
      </c>
      <c r="I98" s="248" t="s">
        <v>105</v>
      </c>
      <c r="J98" s="247" t="s">
        <v>106</v>
      </c>
      <c r="K98" s="251">
        <f t="shared" ref="K98:R98" si="124">-K97</f>
        <v>-614.84</v>
      </c>
      <c r="L98" s="252">
        <f t="shared" si="124"/>
        <v>-859546</v>
      </c>
      <c r="M98" s="251">
        <f t="shared" si="124"/>
        <v>-92.23</v>
      </c>
      <c r="N98" s="252">
        <f t="shared" si="124"/>
        <v>-128937</v>
      </c>
      <c r="O98" s="251">
        <f t="shared" si="124"/>
        <v>0</v>
      </c>
      <c r="P98" s="252">
        <f t="shared" si="124"/>
        <v>0</v>
      </c>
      <c r="Q98" s="251">
        <f t="shared" si="124"/>
        <v>-92.23</v>
      </c>
      <c r="R98" s="252">
        <f t="shared" si="124"/>
        <v>-128937</v>
      </c>
      <c r="S98" s="253">
        <v>1398.0</v>
      </c>
      <c r="T98" s="254">
        <v>15.0</v>
      </c>
      <c r="U98" s="255" t="s">
        <v>107</v>
      </c>
      <c r="V98" s="255"/>
    </row>
    <row r="99" ht="12.75" customHeight="1">
      <c r="A99" s="256" t="s">
        <v>565</v>
      </c>
      <c r="B99" s="257" t="s">
        <v>118</v>
      </c>
      <c r="C99" s="258" t="s">
        <v>119</v>
      </c>
      <c r="D99" s="258" t="s">
        <v>195</v>
      </c>
      <c r="E99" s="258" t="s">
        <v>196</v>
      </c>
      <c r="F99" s="259"/>
      <c r="G99" s="258" t="s">
        <v>139</v>
      </c>
      <c r="H99" s="258" t="s">
        <v>180</v>
      </c>
      <c r="I99" s="259" t="s">
        <v>105</v>
      </c>
      <c r="J99" s="258" t="s">
        <v>106</v>
      </c>
      <c r="K99" s="260">
        <f>ROUND(M99/0.15,2)</f>
        <v>166.2</v>
      </c>
      <c r="L99" s="261">
        <f>ROUND(N99/0.15,0)</f>
        <v>232347</v>
      </c>
      <c r="M99" s="260">
        <f t="shared" ref="M99:N99" si="125">Q99</f>
        <v>24.93</v>
      </c>
      <c r="N99" s="261">
        <f t="shared" si="125"/>
        <v>34852</v>
      </c>
      <c r="O99" s="262">
        <v>67.3</v>
      </c>
      <c r="P99" s="263">
        <v>94085.0</v>
      </c>
      <c r="Q99" s="260">
        <f t="shared" ref="Q99:R99" si="126">M97-O99</f>
        <v>24.93</v>
      </c>
      <c r="R99" s="261">
        <f t="shared" si="126"/>
        <v>34852</v>
      </c>
      <c r="S99" s="264">
        <v>1398.0</v>
      </c>
      <c r="T99" s="265">
        <v>15.0</v>
      </c>
      <c r="U99" s="266" t="s">
        <v>107</v>
      </c>
      <c r="V99" s="266" t="s">
        <v>566</v>
      </c>
    </row>
    <row r="100" ht="12.75" customHeight="1">
      <c r="A100" s="245" t="s">
        <v>567</v>
      </c>
      <c r="B100" s="246" t="s">
        <v>118</v>
      </c>
      <c r="C100" s="247" t="s">
        <v>119</v>
      </c>
      <c r="D100" s="247" t="s">
        <v>197</v>
      </c>
      <c r="E100" s="247" t="s">
        <v>197</v>
      </c>
      <c r="F100" s="248"/>
      <c r="G100" s="247" t="s">
        <v>143</v>
      </c>
      <c r="H100" s="247" t="s">
        <v>160</v>
      </c>
      <c r="I100" s="248" t="s">
        <v>105</v>
      </c>
      <c r="J100" s="247" t="s">
        <v>106</v>
      </c>
      <c r="K100" s="249">
        <v>26.75</v>
      </c>
      <c r="L100" s="250">
        <v>36872.0</v>
      </c>
      <c r="M100" s="249">
        <v>4.01</v>
      </c>
      <c r="N100" s="250">
        <v>5527.0</v>
      </c>
      <c r="O100" s="249">
        <v>0.0</v>
      </c>
      <c r="P100" s="250">
        <v>0.0</v>
      </c>
      <c r="Q100" s="251">
        <f t="shared" ref="Q100:R100" si="127">M100-O100</f>
        <v>4.01</v>
      </c>
      <c r="R100" s="252">
        <f t="shared" si="127"/>
        <v>5527</v>
      </c>
      <c r="S100" s="253">
        <v>1378.4</v>
      </c>
      <c r="T100" s="254">
        <v>15.0</v>
      </c>
      <c r="U100" s="255" t="s">
        <v>107</v>
      </c>
      <c r="V100" s="255"/>
    </row>
    <row r="101" ht="12.75" customHeight="1">
      <c r="A101" s="245" t="s">
        <v>568</v>
      </c>
      <c r="B101" s="246" t="s">
        <v>118</v>
      </c>
      <c r="C101" s="247" t="s">
        <v>119</v>
      </c>
      <c r="D101" s="247" t="s">
        <v>197</v>
      </c>
      <c r="E101" s="247" t="s">
        <v>197</v>
      </c>
      <c r="F101" s="248"/>
      <c r="G101" s="247" t="s">
        <v>143</v>
      </c>
      <c r="H101" s="247" t="s">
        <v>160</v>
      </c>
      <c r="I101" s="248" t="s">
        <v>105</v>
      </c>
      <c r="J101" s="247" t="s">
        <v>106</v>
      </c>
      <c r="K101" s="251">
        <f t="shared" ref="K101:R101" si="128">-K100</f>
        <v>-26.75</v>
      </c>
      <c r="L101" s="252">
        <f t="shared" si="128"/>
        <v>-36872</v>
      </c>
      <c r="M101" s="251">
        <f t="shared" si="128"/>
        <v>-4.01</v>
      </c>
      <c r="N101" s="252">
        <f t="shared" si="128"/>
        <v>-5527</v>
      </c>
      <c r="O101" s="251">
        <f t="shared" si="128"/>
        <v>0</v>
      </c>
      <c r="P101" s="252">
        <f t="shared" si="128"/>
        <v>0</v>
      </c>
      <c r="Q101" s="251">
        <f t="shared" si="128"/>
        <v>-4.01</v>
      </c>
      <c r="R101" s="252">
        <f t="shared" si="128"/>
        <v>-5527</v>
      </c>
      <c r="S101" s="253">
        <v>1378.4</v>
      </c>
      <c r="T101" s="254">
        <v>15.0</v>
      </c>
      <c r="U101" s="255" t="s">
        <v>107</v>
      </c>
      <c r="V101" s="255"/>
    </row>
    <row r="102" ht="12.75" customHeight="1">
      <c r="A102" s="256" t="s">
        <v>569</v>
      </c>
      <c r="B102" s="257" t="s">
        <v>118</v>
      </c>
      <c r="C102" s="258" t="s">
        <v>119</v>
      </c>
      <c r="D102" s="258" t="s">
        <v>197</v>
      </c>
      <c r="E102" s="258" t="s">
        <v>197</v>
      </c>
      <c r="F102" s="259"/>
      <c r="G102" s="258" t="s">
        <v>143</v>
      </c>
      <c r="H102" s="258" t="s">
        <v>160</v>
      </c>
      <c r="I102" s="259" t="s">
        <v>105</v>
      </c>
      <c r="J102" s="258" t="s">
        <v>106</v>
      </c>
      <c r="K102" s="260">
        <f>ROUND(M102/0.15,2)</f>
        <v>9.8</v>
      </c>
      <c r="L102" s="261">
        <f>ROUND(N102/0.15,0)</f>
        <v>13507</v>
      </c>
      <c r="M102" s="260">
        <f t="shared" ref="M102:N102" si="129">Q102</f>
        <v>1.47</v>
      </c>
      <c r="N102" s="261">
        <f t="shared" si="129"/>
        <v>2026</v>
      </c>
      <c r="O102" s="262">
        <v>2.54</v>
      </c>
      <c r="P102" s="263">
        <v>3501.0</v>
      </c>
      <c r="Q102" s="260">
        <f t="shared" ref="Q102:R102" si="130">M100-O102</f>
        <v>1.47</v>
      </c>
      <c r="R102" s="261">
        <f t="shared" si="130"/>
        <v>2026</v>
      </c>
      <c r="S102" s="264">
        <v>1378.4</v>
      </c>
      <c r="T102" s="265">
        <v>15.0</v>
      </c>
      <c r="U102" s="266" t="s">
        <v>107</v>
      </c>
      <c r="V102" s="266" t="s">
        <v>570</v>
      </c>
    </row>
    <row r="103" ht="12.75" customHeight="1">
      <c r="A103" s="245" t="s">
        <v>571</v>
      </c>
      <c r="B103" s="246" t="s">
        <v>118</v>
      </c>
      <c r="C103" s="247" t="s">
        <v>119</v>
      </c>
      <c r="D103" s="247" t="s">
        <v>198</v>
      </c>
      <c r="E103" s="247" t="s">
        <v>197</v>
      </c>
      <c r="F103" s="248"/>
      <c r="G103" s="247" t="s">
        <v>127</v>
      </c>
      <c r="H103" s="247" t="s">
        <v>186</v>
      </c>
      <c r="I103" s="248" t="s">
        <v>105</v>
      </c>
      <c r="J103" s="247" t="s">
        <v>106</v>
      </c>
      <c r="K103" s="249">
        <v>78.13</v>
      </c>
      <c r="L103" s="250">
        <v>107577.0</v>
      </c>
      <c r="M103" s="249">
        <v>11.72</v>
      </c>
      <c r="N103" s="250">
        <v>16137.0</v>
      </c>
      <c r="O103" s="249">
        <v>0.0</v>
      </c>
      <c r="P103" s="250">
        <v>0.0</v>
      </c>
      <c r="Q103" s="251">
        <f t="shared" ref="Q103:R103" si="131">M103-O103</f>
        <v>11.72</v>
      </c>
      <c r="R103" s="252">
        <f t="shared" si="131"/>
        <v>16137</v>
      </c>
      <c r="S103" s="253">
        <v>1376.9</v>
      </c>
      <c r="T103" s="254">
        <v>15.0</v>
      </c>
      <c r="U103" s="255" t="s">
        <v>107</v>
      </c>
      <c r="V103" s="255"/>
    </row>
    <row r="104" ht="12.75" customHeight="1">
      <c r="A104" s="245" t="s">
        <v>572</v>
      </c>
      <c r="B104" s="246" t="s">
        <v>118</v>
      </c>
      <c r="C104" s="247" t="s">
        <v>119</v>
      </c>
      <c r="D104" s="247" t="s">
        <v>198</v>
      </c>
      <c r="E104" s="247" t="s">
        <v>197</v>
      </c>
      <c r="F104" s="248"/>
      <c r="G104" s="247" t="s">
        <v>127</v>
      </c>
      <c r="H104" s="247" t="s">
        <v>186</v>
      </c>
      <c r="I104" s="248" t="s">
        <v>105</v>
      </c>
      <c r="J104" s="247" t="s">
        <v>106</v>
      </c>
      <c r="K104" s="251">
        <f t="shared" ref="K104:R104" si="132">-K103</f>
        <v>-78.13</v>
      </c>
      <c r="L104" s="252">
        <f t="shared" si="132"/>
        <v>-107577</v>
      </c>
      <c r="M104" s="251">
        <f t="shared" si="132"/>
        <v>-11.72</v>
      </c>
      <c r="N104" s="252">
        <f t="shared" si="132"/>
        <v>-16137</v>
      </c>
      <c r="O104" s="251">
        <f t="shared" si="132"/>
        <v>0</v>
      </c>
      <c r="P104" s="252">
        <f t="shared" si="132"/>
        <v>0</v>
      </c>
      <c r="Q104" s="251">
        <f t="shared" si="132"/>
        <v>-11.72</v>
      </c>
      <c r="R104" s="252">
        <f t="shared" si="132"/>
        <v>-16137</v>
      </c>
      <c r="S104" s="253">
        <v>1376.9</v>
      </c>
      <c r="T104" s="254">
        <v>15.0</v>
      </c>
      <c r="U104" s="255" t="s">
        <v>107</v>
      </c>
      <c r="V104" s="255"/>
    </row>
    <row r="105" ht="12.75" customHeight="1">
      <c r="A105" s="256" t="s">
        <v>573</v>
      </c>
      <c r="B105" s="257" t="s">
        <v>118</v>
      </c>
      <c r="C105" s="258" t="s">
        <v>119</v>
      </c>
      <c r="D105" s="258" t="s">
        <v>198</v>
      </c>
      <c r="E105" s="258" t="s">
        <v>197</v>
      </c>
      <c r="F105" s="259"/>
      <c r="G105" s="258" t="s">
        <v>127</v>
      </c>
      <c r="H105" s="258" t="s">
        <v>186</v>
      </c>
      <c r="I105" s="259" t="s">
        <v>105</v>
      </c>
      <c r="J105" s="258" t="s">
        <v>106</v>
      </c>
      <c r="K105" s="260">
        <f>ROUND(M105/0.15,2)</f>
        <v>37.07</v>
      </c>
      <c r="L105" s="261">
        <f>ROUND(N105/0.15,0)</f>
        <v>51033</v>
      </c>
      <c r="M105" s="260">
        <f t="shared" ref="M105:N105" si="133">Q105</f>
        <v>5.56</v>
      </c>
      <c r="N105" s="261">
        <f t="shared" si="133"/>
        <v>7655</v>
      </c>
      <c r="O105" s="262">
        <v>6.16</v>
      </c>
      <c r="P105" s="263">
        <v>8482.0</v>
      </c>
      <c r="Q105" s="260">
        <f t="shared" ref="Q105:R105" si="134">M103-O105</f>
        <v>5.56</v>
      </c>
      <c r="R105" s="261">
        <f t="shared" si="134"/>
        <v>7655</v>
      </c>
      <c r="S105" s="264">
        <v>1376.9</v>
      </c>
      <c r="T105" s="265">
        <v>15.0</v>
      </c>
      <c r="U105" s="266" t="s">
        <v>107</v>
      </c>
      <c r="V105" s="266" t="s">
        <v>574</v>
      </c>
    </row>
    <row r="106" ht="12.75" customHeight="1">
      <c r="A106" s="245" t="s">
        <v>575</v>
      </c>
      <c r="B106" s="246" t="s">
        <v>118</v>
      </c>
      <c r="C106" s="247" t="s">
        <v>119</v>
      </c>
      <c r="D106" s="247" t="s">
        <v>199</v>
      </c>
      <c r="E106" s="247" t="s">
        <v>200</v>
      </c>
      <c r="F106" s="248"/>
      <c r="G106" s="247" t="s">
        <v>131</v>
      </c>
      <c r="H106" s="247" t="s">
        <v>167</v>
      </c>
      <c r="I106" s="248" t="s">
        <v>105</v>
      </c>
      <c r="J106" s="247" t="s">
        <v>106</v>
      </c>
      <c r="K106" s="249">
        <v>585.14</v>
      </c>
      <c r="L106" s="250">
        <v>805679.0</v>
      </c>
      <c r="M106" s="249">
        <v>87.77</v>
      </c>
      <c r="N106" s="250">
        <v>120850.0</v>
      </c>
      <c r="O106" s="249">
        <v>0.0</v>
      </c>
      <c r="P106" s="250">
        <v>0.0</v>
      </c>
      <c r="Q106" s="251">
        <f t="shared" ref="Q106:R106" si="135">M106-O106</f>
        <v>87.77</v>
      </c>
      <c r="R106" s="252">
        <f t="shared" si="135"/>
        <v>120850</v>
      </c>
      <c r="S106" s="253">
        <v>1376.9</v>
      </c>
      <c r="T106" s="254">
        <v>15.0</v>
      </c>
      <c r="U106" s="255" t="s">
        <v>107</v>
      </c>
      <c r="V106" s="255"/>
    </row>
    <row r="107" ht="12.75" customHeight="1">
      <c r="A107" s="245" t="s">
        <v>576</v>
      </c>
      <c r="B107" s="246" t="s">
        <v>118</v>
      </c>
      <c r="C107" s="247" t="s">
        <v>119</v>
      </c>
      <c r="D107" s="247" t="s">
        <v>199</v>
      </c>
      <c r="E107" s="247" t="s">
        <v>200</v>
      </c>
      <c r="F107" s="248"/>
      <c r="G107" s="247" t="s">
        <v>131</v>
      </c>
      <c r="H107" s="247" t="s">
        <v>167</v>
      </c>
      <c r="I107" s="248" t="s">
        <v>105</v>
      </c>
      <c r="J107" s="247" t="s">
        <v>106</v>
      </c>
      <c r="K107" s="251">
        <f t="shared" ref="K107:R107" si="136">-K106</f>
        <v>-585.14</v>
      </c>
      <c r="L107" s="252">
        <f t="shared" si="136"/>
        <v>-805679</v>
      </c>
      <c r="M107" s="251">
        <f t="shared" si="136"/>
        <v>-87.77</v>
      </c>
      <c r="N107" s="252">
        <f t="shared" si="136"/>
        <v>-120850</v>
      </c>
      <c r="O107" s="251">
        <f t="shared" si="136"/>
        <v>0</v>
      </c>
      <c r="P107" s="252">
        <f t="shared" si="136"/>
        <v>0</v>
      </c>
      <c r="Q107" s="251">
        <f t="shared" si="136"/>
        <v>-87.77</v>
      </c>
      <c r="R107" s="252">
        <f t="shared" si="136"/>
        <v>-120850</v>
      </c>
      <c r="S107" s="253">
        <v>1376.9</v>
      </c>
      <c r="T107" s="254">
        <v>15.0</v>
      </c>
      <c r="U107" s="255" t="s">
        <v>107</v>
      </c>
      <c r="V107" s="255"/>
    </row>
    <row r="108" ht="12.75" customHeight="1">
      <c r="A108" s="256" t="s">
        <v>577</v>
      </c>
      <c r="B108" s="257" t="s">
        <v>118</v>
      </c>
      <c r="C108" s="258" t="s">
        <v>119</v>
      </c>
      <c r="D108" s="258" t="s">
        <v>199</v>
      </c>
      <c r="E108" s="258" t="s">
        <v>200</v>
      </c>
      <c r="F108" s="259"/>
      <c r="G108" s="258" t="s">
        <v>131</v>
      </c>
      <c r="H108" s="258" t="s">
        <v>167</v>
      </c>
      <c r="I108" s="259" t="s">
        <v>105</v>
      </c>
      <c r="J108" s="258" t="s">
        <v>106</v>
      </c>
      <c r="K108" s="260">
        <f>ROUND(M108/0.15,2)</f>
        <v>17.27</v>
      </c>
      <c r="L108" s="261">
        <f>ROUND(N108/0.15,0)</f>
        <v>23773</v>
      </c>
      <c r="M108" s="260">
        <f t="shared" ref="M108:N108" si="137">Q108</f>
        <v>2.59</v>
      </c>
      <c r="N108" s="261">
        <f t="shared" si="137"/>
        <v>3566</v>
      </c>
      <c r="O108" s="262">
        <v>85.18</v>
      </c>
      <c r="P108" s="263">
        <v>117284.0</v>
      </c>
      <c r="Q108" s="260">
        <f t="shared" ref="Q108:R108" si="138">M106-O108</f>
        <v>2.59</v>
      </c>
      <c r="R108" s="261">
        <f t="shared" si="138"/>
        <v>3566</v>
      </c>
      <c r="S108" s="264">
        <v>1376.9</v>
      </c>
      <c r="T108" s="265">
        <v>15.0</v>
      </c>
      <c r="U108" s="266" t="s">
        <v>107</v>
      </c>
      <c r="V108" s="266" t="s">
        <v>578</v>
      </c>
    </row>
    <row r="109" ht="12.75" customHeight="1">
      <c r="A109" s="245" t="s">
        <v>579</v>
      </c>
      <c r="B109" s="246" t="s">
        <v>118</v>
      </c>
      <c r="C109" s="247" t="s">
        <v>119</v>
      </c>
      <c r="D109" s="247" t="s">
        <v>201</v>
      </c>
      <c r="E109" s="247" t="s">
        <v>202</v>
      </c>
      <c r="F109" s="248"/>
      <c r="G109" s="247" t="s">
        <v>135</v>
      </c>
      <c r="H109" s="247" t="s">
        <v>172</v>
      </c>
      <c r="I109" s="248" t="s">
        <v>105</v>
      </c>
      <c r="J109" s="247" t="s">
        <v>106</v>
      </c>
      <c r="K109" s="249">
        <v>870.66</v>
      </c>
      <c r="L109" s="250">
        <v>1183139.0</v>
      </c>
      <c r="M109" s="249">
        <v>130.6</v>
      </c>
      <c r="N109" s="250">
        <v>177472.0</v>
      </c>
      <c r="O109" s="249">
        <v>0.0</v>
      </c>
      <c r="P109" s="250">
        <v>0.0</v>
      </c>
      <c r="Q109" s="251">
        <f t="shared" ref="Q109:R109" si="139">M109-O109</f>
        <v>130.6</v>
      </c>
      <c r="R109" s="252">
        <f t="shared" si="139"/>
        <v>177472</v>
      </c>
      <c r="S109" s="253">
        <v>1358.9</v>
      </c>
      <c r="T109" s="254">
        <v>15.0</v>
      </c>
      <c r="U109" s="255" t="s">
        <v>107</v>
      </c>
      <c r="V109" s="255"/>
    </row>
    <row r="110" ht="12.75" customHeight="1">
      <c r="A110" s="245" t="s">
        <v>580</v>
      </c>
      <c r="B110" s="246" t="s">
        <v>118</v>
      </c>
      <c r="C110" s="247" t="s">
        <v>119</v>
      </c>
      <c r="D110" s="247" t="s">
        <v>201</v>
      </c>
      <c r="E110" s="247" t="s">
        <v>202</v>
      </c>
      <c r="F110" s="248"/>
      <c r="G110" s="247" t="s">
        <v>135</v>
      </c>
      <c r="H110" s="247" t="s">
        <v>172</v>
      </c>
      <c r="I110" s="248" t="s">
        <v>105</v>
      </c>
      <c r="J110" s="247" t="s">
        <v>106</v>
      </c>
      <c r="K110" s="251">
        <f t="shared" ref="K110:R110" si="140">-K109</f>
        <v>-870.66</v>
      </c>
      <c r="L110" s="252">
        <f t="shared" si="140"/>
        <v>-1183139</v>
      </c>
      <c r="M110" s="251">
        <f t="shared" si="140"/>
        <v>-130.6</v>
      </c>
      <c r="N110" s="252">
        <f t="shared" si="140"/>
        <v>-177472</v>
      </c>
      <c r="O110" s="251">
        <f t="shared" si="140"/>
        <v>0</v>
      </c>
      <c r="P110" s="252">
        <f t="shared" si="140"/>
        <v>0</v>
      </c>
      <c r="Q110" s="251">
        <f t="shared" si="140"/>
        <v>-130.6</v>
      </c>
      <c r="R110" s="252">
        <f t="shared" si="140"/>
        <v>-177472</v>
      </c>
      <c r="S110" s="253">
        <v>1358.9</v>
      </c>
      <c r="T110" s="254">
        <v>15.0</v>
      </c>
      <c r="U110" s="255" t="s">
        <v>107</v>
      </c>
      <c r="V110" s="255"/>
    </row>
    <row r="111" ht="12.75" customHeight="1">
      <c r="A111" s="256" t="s">
        <v>581</v>
      </c>
      <c r="B111" s="257" t="s">
        <v>118</v>
      </c>
      <c r="C111" s="258" t="s">
        <v>119</v>
      </c>
      <c r="D111" s="258" t="s">
        <v>201</v>
      </c>
      <c r="E111" s="258" t="s">
        <v>202</v>
      </c>
      <c r="F111" s="259"/>
      <c r="G111" s="258" t="s">
        <v>135</v>
      </c>
      <c r="H111" s="258" t="s">
        <v>172</v>
      </c>
      <c r="I111" s="259" t="s">
        <v>105</v>
      </c>
      <c r="J111" s="258" t="s">
        <v>106</v>
      </c>
      <c r="K111" s="260">
        <f>ROUND(M111/0.15,2)</f>
        <v>0</v>
      </c>
      <c r="L111" s="261">
        <f>ROUND(N111/0.15,0)</f>
        <v>0</v>
      </c>
      <c r="M111" s="260">
        <f t="shared" ref="M111:N111" si="141">Q111</f>
        <v>0</v>
      </c>
      <c r="N111" s="261">
        <f t="shared" si="141"/>
        <v>0</v>
      </c>
      <c r="O111" s="262">
        <v>130.6</v>
      </c>
      <c r="P111" s="263">
        <v>177472.0</v>
      </c>
      <c r="Q111" s="260">
        <f t="shared" ref="Q111:R111" si="142">M109-O111</f>
        <v>0</v>
      </c>
      <c r="R111" s="261">
        <f t="shared" si="142"/>
        <v>0</v>
      </c>
      <c r="S111" s="264">
        <v>1358.9</v>
      </c>
      <c r="T111" s="265">
        <v>15.0</v>
      </c>
      <c r="U111" s="266" t="s">
        <v>107</v>
      </c>
      <c r="V111" s="266" t="s">
        <v>582</v>
      </c>
    </row>
    <row r="112" ht="12.75" customHeight="1">
      <c r="A112" s="245" t="s">
        <v>583</v>
      </c>
      <c r="B112" s="246" t="s">
        <v>118</v>
      </c>
      <c r="C112" s="247" t="s">
        <v>119</v>
      </c>
      <c r="D112" s="247" t="s">
        <v>201</v>
      </c>
      <c r="E112" s="247" t="s">
        <v>202</v>
      </c>
      <c r="F112" s="248"/>
      <c r="G112" s="247" t="s">
        <v>116</v>
      </c>
      <c r="H112" s="247" t="s">
        <v>117</v>
      </c>
      <c r="I112" s="248" t="s">
        <v>105</v>
      </c>
      <c r="J112" s="247" t="s">
        <v>106</v>
      </c>
      <c r="K112" s="249">
        <v>674.13</v>
      </c>
      <c r="L112" s="250">
        <v>916075.0</v>
      </c>
      <c r="M112" s="249">
        <v>101.12</v>
      </c>
      <c r="N112" s="250">
        <v>137411.0</v>
      </c>
      <c r="O112" s="249">
        <v>0.0</v>
      </c>
      <c r="P112" s="250">
        <v>0.0</v>
      </c>
      <c r="Q112" s="251">
        <f t="shared" ref="Q112:R112" si="143">M112-O112</f>
        <v>101.12</v>
      </c>
      <c r="R112" s="252">
        <f t="shared" si="143"/>
        <v>137411</v>
      </c>
      <c r="S112" s="253">
        <v>1358.9</v>
      </c>
      <c r="T112" s="254">
        <v>15.0</v>
      </c>
      <c r="U112" s="255" t="s">
        <v>107</v>
      </c>
      <c r="V112" s="255"/>
    </row>
    <row r="113" ht="12.75" customHeight="1">
      <c r="A113" s="245" t="s">
        <v>584</v>
      </c>
      <c r="B113" s="246" t="s">
        <v>118</v>
      </c>
      <c r="C113" s="247" t="s">
        <v>119</v>
      </c>
      <c r="D113" s="247" t="s">
        <v>201</v>
      </c>
      <c r="E113" s="247" t="s">
        <v>202</v>
      </c>
      <c r="F113" s="248"/>
      <c r="G113" s="247" t="s">
        <v>116</v>
      </c>
      <c r="H113" s="247" t="s">
        <v>117</v>
      </c>
      <c r="I113" s="248" t="s">
        <v>105</v>
      </c>
      <c r="J113" s="247" t="s">
        <v>106</v>
      </c>
      <c r="K113" s="251">
        <f t="shared" ref="K113:R113" si="144">-K112</f>
        <v>-674.13</v>
      </c>
      <c r="L113" s="252">
        <f t="shared" si="144"/>
        <v>-916075</v>
      </c>
      <c r="M113" s="251">
        <f t="shared" si="144"/>
        <v>-101.12</v>
      </c>
      <c r="N113" s="252">
        <f t="shared" si="144"/>
        <v>-137411</v>
      </c>
      <c r="O113" s="251">
        <f t="shared" si="144"/>
        <v>0</v>
      </c>
      <c r="P113" s="252">
        <f t="shared" si="144"/>
        <v>0</v>
      </c>
      <c r="Q113" s="251">
        <f t="shared" si="144"/>
        <v>-101.12</v>
      </c>
      <c r="R113" s="252">
        <f t="shared" si="144"/>
        <v>-137411</v>
      </c>
      <c r="S113" s="253">
        <v>1358.9</v>
      </c>
      <c r="T113" s="254">
        <v>15.0</v>
      </c>
      <c r="U113" s="255" t="s">
        <v>107</v>
      </c>
      <c r="V113" s="255"/>
    </row>
    <row r="114" ht="12.75" customHeight="1">
      <c r="A114" s="256" t="s">
        <v>585</v>
      </c>
      <c r="B114" s="257" t="s">
        <v>118</v>
      </c>
      <c r="C114" s="258" t="s">
        <v>119</v>
      </c>
      <c r="D114" s="258" t="s">
        <v>201</v>
      </c>
      <c r="E114" s="258" t="s">
        <v>202</v>
      </c>
      <c r="F114" s="259"/>
      <c r="G114" s="258" t="s">
        <v>116</v>
      </c>
      <c r="H114" s="258" t="s">
        <v>117</v>
      </c>
      <c r="I114" s="259" t="s">
        <v>105</v>
      </c>
      <c r="J114" s="258" t="s">
        <v>106</v>
      </c>
      <c r="K114" s="260">
        <f>ROUND(M114/0.15,2)</f>
        <v>650.47</v>
      </c>
      <c r="L114" s="261">
        <f>ROUND(N114/0.15,0)</f>
        <v>883913</v>
      </c>
      <c r="M114" s="260">
        <f t="shared" ref="M114:N114" si="145">Q114</f>
        <v>97.57</v>
      </c>
      <c r="N114" s="261">
        <f t="shared" si="145"/>
        <v>132587</v>
      </c>
      <c r="O114" s="262">
        <v>3.55</v>
      </c>
      <c r="P114" s="263">
        <v>4824.0</v>
      </c>
      <c r="Q114" s="260">
        <f t="shared" ref="Q114:R114" si="146">M112-O114</f>
        <v>97.57</v>
      </c>
      <c r="R114" s="261">
        <f t="shared" si="146"/>
        <v>132587</v>
      </c>
      <c r="S114" s="264">
        <v>1358.9</v>
      </c>
      <c r="T114" s="265">
        <v>15.0</v>
      </c>
      <c r="U114" s="266" t="s">
        <v>107</v>
      </c>
      <c r="V114" s="266" t="s">
        <v>586</v>
      </c>
    </row>
    <row r="115" ht="12.75" customHeight="1">
      <c r="A115" s="267" t="s">
        <v>587</v>
      </c>
      <c r="B115" s="268" t="s">
        <v>118</v>
      </c>
      <c r="C115" s="269" t="s">
        <v>119</v>
      </c>
      <c r="D115" s="269" t="s">
        <v>201</v>
      </c>
      <c r="E115" s="270"/>
      <c r="F115" s="270"/>
      <c r="G115" s="269" t="s">
        <v>148</v>
      </c>
      <c r="H115" s="269" t="s">
        <v>588</v>
      </c>
      <c r="I115" s="270" t="s">
        <v>105</v>
      </c>
      <c r="J115" s="269" t="s">
        <v>150</v>
      </c>
      <c r="K115" s="271">
        <v>0.0</v>
      </c>
      <c r="L115" s="272">
        <v>0.0</v>
      </c>
      <c r="M115" s="271">
        <v>0.0</v>
      </c>
      <c r="N115" s="272">
        <v>6.0</v>
      </c>
      <c r="O115" s="271">
        <v>0.0</v>
      </c>
      <c r="P115" s="272">
        <v>0.0</v>
      </c>
      <c r="Q115" s="273">
        <f t="shared" ref="Q115:R115" si="147">M115-O115</f>
        <v>0</v>
      </c>
      <c r="R115" s="274">
        <f t="shared" si="147"/>
        <v>6</v>
      </c>
      <c r="S115" s="275">
        <v>1.0</v>
      </c>
      <c r="T115" s="276">
        <v>0.0</v>
      </c>
      <c r="U115" s="277" t="s">
        <v>151</v>
      </c>
      <c r="V115" s="277"/>
    </row>
    <row r="116" ht="12.75" customHeight="1">
      <c r="A116" s="267" t="s">
        <v>589</v>
      </c>
      <c r="B116" s="268" t="s">
        <v>118</v>
      </c>
      <c r="C116" s="269" t="s">
        <v>119</v>
      </c>
      <c r="D116" s="269" t="s">
        <v>204</v>
      </c>
      <c r="E116" s="270"/>
      <c r="F116" s="270"/>
      <c r="G116" s="269" t="s">
        <v>148</v>
      </c>
      <c r="H116" s="269" t="s">
        <v>590</v>
      </c>
      <c r="I116" s="270" t="s">
        <v>105</v>
      </c>
      <c r="J116" s="269" t="s">
        <v>150</v>
      </c>
      <c r="K116" s="271">
        <v>0.0</v>
      </c>
      <c r="L116" s="272">
        <v>0.0</v>
      </c>
      <c r="M116" s="271">
        <v>0.0</v>
      </c>
      <c r="N116" s="272">
        <v>60.0</v>
      </c>
      <c r="O116" s="271">
        <v>0.0</v>
      </c>
      <c r="P116" s="272">
        <v>0.0</v>
      </c>
      <c r="Q116" s="273">
        <f t="shared" ref="Q116:R116" si="148">M116-O116</f>
        <v>0</v>
      </c>
      <c r="R116" s="274">
        <f t="shared" si="148"/>
        <v>60</v>
      </c>
      <c r="S116" s="275">
        <v>1.0</v>
      </c>
      <c r="T116" s="276">
        <v>0.0</v>
      </c>
      <c r="U116" s="277" t="s">
        <v>151</v>
      </c>
      <c r="V116" s="277"/>
    </row>
    <row r="117" ht="12.75" customHeight="1">
      <c r="A117" s="267" t="s">
        <v>591</v>
      </c>
      <c r="B117" s="268" t="s">
        <v>118</v>
      </c>
      <c r="C117" s="269" t="s">
        <v>119</v>
      </c>
      <c r="D117" s="269" t="s">
        <v>206</v>
      </c>
      <c r="E117" s="269" t="s">
        <v>207</v>
      </c>
      <c r="F117" s="270"/>
      <c r="G117" s="269" t="s">
        <v>208</v>
      </c>
      <c r="H117" s="270" t="s">
        <v>209</v>
      </c>
      <c r="I117" s="270" t="s">
        <v>105</v>
      </c>
      <c r="J117" s="269" t="s">
        <v>106</v>
      </c>
      <c r="K117" s="271">
        <v>2.58</v>
      </c>
      <c r="L117" s="272">
        <v>3526.0</v>
      </c>
      <c r="M117" s="271">
        <v>0.39</v>
      </c>
      <c r="N117" s="272">
        <v>533.0</v>
      </c>
      <c r="O117" s="271">
        <v>0.0</v>
      </c>
      <c r="P117" s="272">
        <v>0.0</v>
      </c>
      <c r="Q117" s="273">
        <f t="shared" ref="Q117:R117" si="149">M117-O117</f>
        <v>0.39</v>
      </c>
      <c r="R117" s="274">
        <f t="shared" si="149"/>
        <v>533</v>
      </c>
      <c r="S117" s="275">
        <v>1366.8</v>
      </c>
      <c r="T117" s="276">
        <v>15.0</v>
      </c>
      <c r="U117" s="277" t="s">
        <v>107</v>
      </c>
      <c r="V117" s="277"/>
    </row>
    <row r="118" ht="12.75" customHeight="1">
      <c r="A118" s="267" t="s">
        <v>592</v>
      </c>
      <c r="B118" s="268" t="s">
        <v>118</v>
      </c>
      <c r="C118" s="269" t="s">
        <v>119</v>
      </c>
      <c r="D118" s="269" t="s">
        <v>206</v>
      </c>
      <c r="E118" s="269" t="s">
        <v>206</v>
      </c>
      <c r="F118" s="270"/>
      <c r="G118" s="269" t="s">
        <v>210</v>
      </c>
      <c r="H118" s="270" t="s">
        <v>211</v>
      </c>
      <c r="I118" s="270" t="s">
        <v>105</v>
      </c>
      <c r="J118" s="269" t="s">
        <v>106</v>
      </c>
      <c r="K118" s="271">
        <v>0.2</v>
      </c>
      <c r="L118" s="272">
        <v>273.0</v>
      </c>
      <c r="M118" s="271">
        <v>0.03</v>
      </c>
      <c r="N118" s="272">
        <v>41.0</v>
      </c>
      <c r="O118" s="271">
        <v>0.0</v>
      </c>
      <c r="P118" s="272">
        <v>0.0</v>
      </c>
      <c r="Q118" s="273">
        <f t="shared" ref="Q118:R118" si="150">M118-O118</f>
        <v>0.03</v>
      </c>
      <c r="R118" s="274">
        <f t="shared" si="150"/>
        <v>41</v>
      </c>
      <c r="S118" s="275">
        <v>1366.8</v>
      </c>
      <c r="T118" s="276">
        <v>15.0</v>
      </c>
      <c r="U118" s="277" t="s">
        <v>107</v>
      </c>
      <c r="V118" s="277"/>
    </row>
    <row r="119" ht="12.75" customHeight="1">
      <c r="A119" s="245" t="s">
        <v>593</v>
      </c>
      <c r="B119" s="246" t="s">
        <v>118</v>
      </c>
      <c r="C119" s="247" t="s">
        <v>119</v>
      </c>
      <c r="D119" s="247" t="s">
        <v>212</v>
      </c>
      <c r="E119" s="247" t="s">
        <v>207</v>
      </c>
      <c r="F119" s="248"/>
      <c r="G119" s="247" t="s">
        <v>139</v>
      </c>
      <c r="H119" s="247" t="s">
        <v>180</v>
      </c>
      <c r="I119" s="248" t="s">
        <v>105</v>
      </c>
      <c r="J119" s="247" t="s">
        <v>106</v>
      </c>
      <c r="K119" s="249">
        <v>325.87</v>
      </c>
      <c r="L119" s="250">
        <v>444356.0</v>
      </c>
      <c r="M119" s="249">
        <v>48.88</v>
      </c>
      <c r="N119" s="250">
        <v>66652.0</v>
      </c>
      <c r="O119" s="249">
        <v>0.0</v>
      </c>
      <c r="P119" s="250">
        <v>0.0</v>
      </c>
      <c r="Q119" s="251">
        <f t="shared" ref="Q119:R119" si="151">M119-O119</f>
        <v>48.88</v>
      </c>
      <c r="R119" s="252">
        <f t="shared" si="151"/>
        <v>66652</v>
      </c>
      <c r="S119" s="253">
        <v>1363.6</v>
      </c>
      <c r="T119" s="254">
        <v>15.0</v>
      </c>
      <c r="U119" s="255" t="s">
        <v>107</v>
      </c>
      <c r="V119" s="255"/>
    </row>
    <row r="120" ht="12.75" customHeight="1">
      <c r="A120" s="245" t="s">
        <v>594</v>
      </c>
      <c r="B120" s="246" t="s">
        <v>118</v>
      </c>
      <c r="C120" s="247" t="s">
        <v>119</v>
      </c>
      <c r="D120" s="247" t="s">
        <v>212</v>
      </c>
      <c r="E120" s="247" t="s">
        <v>207</v>
      </c>
      <c r="F120" s="248"/>
      <c r="G120" s="247" t="s">
        <v>139</v>
      </c>
      <c r="H120" s="247" t="s">
        <v>180</v>
      </c>
      <c r="I120" s="248" t="s">
        <v>105</v>
      </c>
      <c r="J120" s="247" t="s">
        <v>106</v>
      </c>
      <c r="K120" s="251">
        <f t="shared" ref="K120:R120" si="152">-K119</f>
        <v>-325.87</v>
      </c>
      <c r="L120" s="252">
        <f t="shared" si="152"/>
        <v>-444356</v>
      </c>
      <c r="M120" s="251">
        <f t="shared" si="152"/>
        <v>-48.88</v>
      </c>
      <c r="N120" s="252">
        <f t="shared" si="152"/>
        <v>-66652</v>
      </c>
      <c r="O120" s="251">
        <f t="shared" si="152"/>
        <v>0</v>
      </c>
      <c r="P120" s="252">
        <f t="shared" si="152"/>
        <v>0</v>
      </c>
      <c r="Q120" s="251">
        <f t="shared" si="152"/>
        <v>-48.88</v>
      </c>
      <c r="R120" s="252">
        <f t="shared" si="152"/>
        <v>-66652</v>
      </c>
      <c r="S120" s="253">
        <v>1363.6</v>
      </c>
      <c r="T120" s="254">
        <v>15.0</v>
      </c>
      <c r="U120" s="255" t="s">
        <v>107</v>
      </c>
      <c r="V120" s="255"/>
    </row>
    <row r="121" ht="12.75" customHeight="1">
      <c r="A121" s="256" t="s">
        <v>595</v>
      </c>
      <c r="B121" s="257" t="s">
        <v>118</v>
      </c>
      <c r="C121" s="258" t="s">
        <v>119</v>
      </c>
      <c r="D121" s="258" t="s">
        <v>212</v>
      </c>
      <c r="E121" s="258" t="s">
        <v>207</v>
      </c>
      <c r="F121" s="259"/>
      <c r="G121" s="258" t="s">
        <v>139</v>
      </c>
      <c r="H121" s="258" t="s">
        <v>180</v>
      </c>
      <c r="I121" s="259" t="s">
        <v>105</v>
      </c>
      <c r="J121" s="258" t="s">
        <v>106</v>
      </c>
      <c r="K121" s="260">
        <f>ROUND(M121/0.15,2)</f>
        <v>88.07</v>
      </c>
      <c r="L121" s="261">
        <f>ROUND(N121/0.15,0)</f>
        <v>120080</v>
      </c>
      <c r="M121" s="260">
        <f t="shared" ref="M121:N121" si="153">Q121</f>
        <v>13.21</v>
      </c>
      <c r="N121" s="261">
        <f t="shared" si="153"/>
        <v>18012</v>
      </c>
      <c r="O121" s="262">
        <v>35.67</v>
      </c>
      <c r="P121" s="263">
        <v>48640.0</v>
      </c>
      <c r="Q121" s="260">
        <f t="shared" ref="Q121:R121" si="154">M119-O121</f>
        <v>13.21</v>
      </c>
      <c r="R121" s="261">
        <f t="shared" si="154"/>
        <v>18012</v>
      </c>
      <c r="S121" s="264">
        <v>1363.6</v>
      </c>
      <c r="T121" s="265">
        <v>15.0</v>
      </c>
      <c r="U121" s="266" t="s">
        <v>107</v>
      </c>
      <c r="V121" s="266" t="s">
        <v>596</v>
      </c>
    </row>
    <row r="122" ht="12.75" customHeight="1">
      <c r="A122" s="245" t="s">
        <v>597</v>
      </c>
      <c r="B122" s="246" t="s">
        <v>118</v>
      </c>
      <c r="C122" s="247" t="s">
        <v>119</v>
      </c>
      <c r="D122" s="247" t="s">
        <v>213</v>
      </c>
      <c r="E122" s="247" t="s">
        <v>213</v>
      </c>
      <c r="F122" s="248"/>
      <c r="G122" s="247" t="s">
        <v>127</v>
      </c>
      <c r="H122" s="247" t="s">
        <v>186</v>
      </c>
      <c r="I122" s="248" t="s">
        <v>105</v>
      </c>
      <c r="J122" s="247" t="s">
        <v>106</v>
      </c>
      <c r="K122" s="249">
        <v>32.26</v>
      </c>
      <c r="L122" s="250">
        <v>44176.0</v>
      </c>
      <c r="M122" s="249">
        <v>4.84</v>
      </c>
      <c r="N122" s="250">
        <v>6627.0</v>
      </c>
      <c r="O122" s="249">
        <v>0.0</v>
      </c>
      <c r="P122" s="250">
        <v>0.0</v>
      </c>
      <c r="Q122" s="251">
        <f t="shared" ref="Q122:R122" si="155">M122-O122</f>
        <v>4.84</v>
      </c>
      <c r="R122" s="252">
        <f t="shared" si="155"/>
        <v>6627</v>
      </c>
      <c r="S122" s="253">
        <v>1369.4</v>
      </c>
      <c r="T122" s="254">
        <v>15.0</v>
      </c>
      <c r="U122" s="255" t="s">
        <v>107</v>
      </c>
      <c r="V122" s="255"/>
    </row>
    <row r="123" ht="12.75" customHeight="1">
      <c r="A123" s="245" t="s">
        <v>598</v>
      </c>
      <c r="B123" s="246" t="s">
        <v>118</v>
      </c>
      <c r="C123" s="247" t="s">
        <v>119</v>
      </c>
      <c r="D123" s="247" t="s">
        <v>213</v>
      </c>
      <c r="E123" s="247" t="s">
        <v>213</v>
      </c>
      <c r="F123" s="248"/>
      <c r="G123" s="247" t="s">
        <v>127</v>
      </c>
      <c r="H123" s="247" t="s">
        <v>186</v>
      </c>
      <c r="I123" s="248" t="s">
        <v>105</v>
      </c>
      <c r="J123" s="247" t="s">
        <v>106</v>
      </c>
      <c r="K123" s="251">
        <f t="shared" ref="K123:R123" si="156">-K122</f>
        <v>-32.26</v>
      </c>
      <c r="L123" s="252">
        <f t="shared" si="156"/>
        <v>-44176</v>
      </c>
      <c r="M123" s="251">
        <f t="shared" si="156"/>
        <v>-4.84</v>
      </c>
      <c r="N123" s="252">
        <f t="shared" si="156"/>
        <v>-6627</v>
      </c>
      <c r="O123" s="251">
        <f t="shared" si="156"/>
        <v>0</v>
      </c>
      <c r="P123" s="252">
        <f t="shared" si="156"/>
        <v>0</v>
      </c>
      <c r="Q123" s="251">
        <f t="shared" si="156"/>
        <v>-4.84</v>
      </c>
      <c r="R123" s="252">
        <f t="shared" si="156"/>
        <v>-6627</v>
      </c>
      <c r="S123" s="253">
        <v>1369.4</v>
      </c>
      <c r="T123" s="254">
        <v>15.0</v>
      </c>
      <c r="U123" s="255" t="s">
        <v>107</v>
      </c>
      <c r="V123" s="255"/>
    </row>
    <row r="124" ht="12.75" customHeight="1">
      <c r="A124" s="256" t="s">
        <v>599</v>
      </c>
      <c r="B124" s="257" t="s">
        <v>118</v>
      </c>
      <c r="C124" s="258" t="s">
        <v>119</v>
      </c>
      <c r="D124" s="258" t="s">
        <v>213</v>
      </c>
      <c r="E124" s="258" t="s">
        <v>213</v>
      </c>
      <c r="F124" s="259"/>
      <c r="G124" s="258" t="s">
        <v>127</v>
      </c>
      <c r="H124" s="258" t="s">
        <v>186</v>
      </c>
      <c r="I124" s="259" t="s">
        <v>105</v>
      </c>
      <c r="J124" s="258" t="s">
        <v>106</v>
      </c>
      <c r="K124" s="260">
        <f>ROUND(M124/0.15,2)</f>
        <v>15.33</v>
      </c>
      <c r="L124" s="261">
        <f>ROUND(N124/0.15,0)</f>
        <v>20993</v>
      </c>
      <c r="M124" s="260">
        <f t="shared" ref="M124:N124" si="157">Q124</f>
        <v>2.3</v>
      </c>
      <c r="N124" s="261">
        <f t="shared" si="157"/>
        <v>3149</v>
      </c>
      <c r="O124" s="262">
        <v>2.54</v>
      </c>
      <c r="P124" s="263">
        <v>3478.0</v>
      </c>
      <c r="Q124" s="260">
        <f t="shared" ref="Q124:R124" si="158">M122-O124</f>
        <v>2.3</v>
      </c>
      <c r="R124" s="261">
        <f t="shared" si="158"/>
        <v>3149</v>
      </c>
      <c r="S124" s="264">
        <v>1369.4</v>
      </c>
      <c r="T124" s="265">
        <v>15.0</v>
      </c>
      <c r="U124" s="266" t="s">
        <v>107</v>
      </c>
      <c r="V124" s="266" t="s">
        <v>600</v>
      </c>
    </row>
    <row r="125" ht="12.75" customHeight="1">
      <c r="A125" s="245" t="s">
        <v>601</v>
      </c>
      <c r="B125" s="246" t="s">
        <v>118</v>
      </c>
      <c r="C125" s="247" t="s">
        <v>119</v>
      </c>
      <c r="D125" s="247" t="s">
        <v>214</v>
      </c>
      <c r="E125" s="247" t="s">
        <v>213</v>
      </c>
      <c r="F125" s="248"/>
      <c r="G125" s="247" t="s">
        <v>143</v>
      </c>
      <c r="H125" s="247" t="s">
        <v>160</v>
      </c>
      <c r="I125" s="248" t="s">
        <v>105</v>
      </c>
      <c r="J125" s="247" t="s">
        <v>106</v>
      </c>
      <c r="K125" s="249">
        <v>22.53</v>
      </c>
      <c r="L125" s="250">
        <v>30753.0</v>
      </c>
      <c r="M125" s="249">
        <v>3.38</v>
      </c>
      <c r="N125" s="250">
        <v>4613.0</v>
      </c>
      <c r="O125" s="249">
        <v>0.0</v>
      </c>
      <c r="P125" s="250">
        <v>0.0</v>
      </c>
      <c r="Q125" s="251">
        <f t="shared" ref="Q125:R125" si="159">M125-O125</f>
        <v>3.38</v>
      </c>
      <c r="R125" s="252">
        <f t="shared" si="159"/>
        <v>4613</v>
      </c>
      <c r="S125" s="253">
        <v>1365.0</v>
      </c>
      <c r="T125" s="254">
        <v>15.0</v>
      </c>
      <c r="U125" s="255" t="s">
        <v>107</v>
      </c>
      <c r="V125" s="255"/>
    </row>
    <row r="126" ht="12.75" customHeight="1">
      <c r="A126" s="245" t="s">
        <v>602</v>
      </c>
      <c r="B126" s="246" t="s">
        <v>118</v>
      </c>
      <c r="C126" s="247" t="s">
        <v>119</v>
      </c>
      <c r="D126" s="247" t="s">
        <v>214</v>
      </c>
      <c r="E126" s="247" t="s">
        <v>213</v>
      </c>
      <c r="F126" s="248"/>
      <c r="G126" s="247" t="s">
        <v>143</v>
      </c>
      <c r="H126" s="247" t="s">
        <v>160</v>
      </c>
      <c r="I126" s="248" t="s">
        <v>105</v>
      </c>
      <c r="J126" s="247" t="s">
        <v>106</v>
      </c>
      <c r="K126" s="251">
        <f t="shared" ref="K126:R126" si="160">-K125</f>
        <v>-22.53</v>
      </c>
      <c r="L126" s="252">
        <f t="shared" si="160"/>
        <v>-30753</v>
      </c>
      <c r="M126" s="251">
        <f t="shared" si="160"/>
        <v>-3.38</v>
      </c>
      <c r="N126" s="252">
        <f t="shared" si="160"/>
        <v>-4613</v>
      </c>
      <c r="O126" s="251">
        <f t="shared" si="160"/>
        <v>0</v>
      </c>
      <c r="P126" s="252">
        <f t="shared" si="160"/>
        <v>0</v>
      </c>
      <c r="Q126" s="251">
        <f t="shared" si="160"/>
        <v>-3.38</v>
      </c>
      <c r="R126" s="252">
        <f t="shared" si="160"/>
        <v>-4613</v>
      </c>
      <c r="S126" s="253">
        <v>1365.0</v>
      </c>
      <c r="T126" s="254">
        <v>15.0</v>
      </c>
      <c r="U126" s="255" t="s">
        <v>107</v>
      </c>
      <c r="V126" s="255"/>
    </row>
    <row r="127" ht="12.75" customHeight="1">
      <c r="A127" s="256" t="s">
        <v>603</v>
      </c>
      <c r="B127" s="257" t="s">
        <v>118</v>
      </c>
      <c r="C127" s="258" t="s">
        <v>119</v>
      </c>
      <c r="D127" s="258" t="s">
        <v>214</v>
      </c>
      <c r="E127" s="258" t="s">
        <v>213</v>
      </c>
      <c r="F127" s="259"/>
      <c r="G127" s="258" t="s">
        <v>143</v>
      </c>
      <c r="H127" s="258" t="s">
        <v>160</v>
      </c>
      <c r="I127" s="259" t="s">
        <v>105</v>
      </c>
      <c r="J127" s="258" t="s">
        <v>106</v>
      </c>
      <c r="K127" s="260">
        <f>ROUND(M127/0.15,2)</f>
        <v>8.27</v>
      </c>
      <c r="L127" s="261">
        <f>ROUND(N127/0.15,0)</f>
        <v>11280</v>
      </c>
      <c r="M127" s="260">
        <f t="shared" ref="M127:N127" si="161">Q127</f>
        <v>1.24</v>
      </c>
      <c r="N127" s="261">
        <f t="shared" si="161"/>
        <v>1692</v>
      </c>
      <c r="O127" s="262">
        <v>2.14</v>
      </c>
      <c r="P127" s="263">
        <v>2921.0</v>
      </c>
      <c r="Q127" s="260">
        <f t="shared" ref="Q127:R127" si="162">M125-O127</f>
        <v>1.24</v>
      </c>
      <c r="R127" s="261">
        <f t="shared" si="162"/>
        <v>1692</v>
      </c>
      <c r="S127" s="264">
        <v>1365.0</v>
      </c>
      <c r="T127" s="265">
        <v>15.0</v>
      </c>
      <c r="U127" s="266" t="s">
        <v>107</v>
      </c>
      <c r="V127" s="266" t="s">
        <v>604</v>
      </c>
    </row>
    <row r="128" ht="12.75" customHeight="1">
      <c r="A128" s="267" t="s">
        <v>605</v>
      </c>
      <c r="B128" s="268" t="s">
        <v>118</v>
      </c>
      <c r="C128" s="269" t="s">
        <v>119</v>
      </c>
      <c r="D128" s="269" t="s">
        <v>214</v>
      </c>
      <c r="E128" s="269" t="s">
        <v>215</v>
      </c>
      <c r="F128" s="270"/>
      <c r="G128" s="269" t="s">
        <v>216</v>
      </c>
      <c r="H128" s="270" t="s">
        <v>217</v>
      </c>
      <c r="I128" s="270" t="s">
        <v>105</v>
      </c>
      <c r="J128" s="269" t="s">
        <v>106</v>
      </c>
      <c r="K128" s="271">
        <v>8.84</v>
      </c>
      <c r="L128" s="272">
        <v>12066.0</v>
      </c>
      <c r="M128" s="271">
        <v>1.33</v>
      </c>
      <c r="N128" s="272">
        <v>1815.0</v>
      </c>
      <c r="O128" s="271">
        <v>0.0</v>
      </c>
      <c r="P128" s="272">
        <v>0.0</v>
      </c>
      <c r="Q128" s="273">
        <f t="shared" ref="Q128:R128" si="163">M128-O128</f>
        <v>1.33</v>
      </c>
      <c r="R128" s="274">
        <f t="shared" si="163"/>
        <v>1815</v>
      </c>
      <c r="S128" s="275">
        <v>1365.0</v>
      </c>
      <c r="T128" s="276">
        <v>15.0</v>
      </c>
      <c r="U128" s="277" t="s">
        <v>107</v>
      </c>
      <c r="V128" s="277"/>
    </row>
    <row r="129" ht="12.75" customHeight="1">
      <c r="A129" s="245" t="s">
        <v>606</v>
      </c>
      <c r="B129" s="246" t="s">
        <v>118</v>
      </c>
      <c r="C129" s="247" t="s">
        <v>119</v>
      </c>
      <c r="D129" s="247" t="s">
        <v>218</v>
      </c>
      <c r="E129" s="247" t="s">
        <v>219</v>
      </c>
      <c r="F129" s="248"/>
      <c r="G129" s="247" t="s">
        <v>131</v>
      </c>
      <c r="H129" s="247" t="s">
        <v>167</v>
      </c>
      <c r="I129" s="248" t="s">
        <v>105</v>
      </c>
      <c r="J129" s="247" t="s">
        <v>106</v>
      </c>
      <c r="K129" s="249">
        <v>426.18</v>
      </c>
      <c r="L129" s="250">
        <v>576877.0</v>
      </c>
      <c r="M129" s="249">
        <v>63.93</v>
      </c>
      <c r="N129" s="250">
        <v>86535.0</v>
      </c>
      <c r="O129" s="249">
        <v>0.0</v>
      </c>
      <c r="P129" s="250">
        <v>0.0</v>
      </c>
      <c r="Q129" s="251">
        <f t="shared" ref="Q129:R129" si="164">M129-O129</f>
        <v>63.93</v>
      </c>
      <c r="R129" s="252">
        <f t="shared" si="164"/>
        <v>86535</v>
      </c>
      <c r="S129" s="253">
        <v>1353.6</v>
      </c>
      <c r="T129" s="254">
        <v>15.0</v>
      </c>
      <c r="U129" s="255" t="s">
        <v>107</v>
      </c>
      <c r="V129" s="255"/>
    </row>
    <row r="130" ht="12.75" customHeight="1">
      <c r="A130" s="245" t="s">
        <v>607</v>
      </c>
      <c r="B130" s="246" t="s">
        <v>118</v>
      </c>
      <c r="C130" s="247" t="s">
        <v>119</v>
      </c>
      <c r="D130" s="247" t="s">
        <v>218</v>
      </c>
      <c r="E130" s="247" t="s">
        <v>219</v>
      </c>
      <c r="F130" s="248"/>
      <c r="G130" s="247" t="s">
        <v>131</v>
      </c>
      <c r="H130" s="247" t="s">
        <v>167</v>
      </c>
      <c r="I130" s="248" t="s">
        <v>105</v>
      </c>
      <c r="J130" s="247" t="s">
        <v>106</v>
      </c>
      <c r="K130" s="251">
        <f t="shared" ref="K130:R130" si="165">-K129</f>
        <v>-426.18</v>
      </c>
      <c r="L130" s="252">
        <f t="shared" si="165"/>
        <v>-576877</v>
      </c>
      <c r="M130" s="251">
        <f t="shared" si="165"/>
        <v>-63.93</v>
      </c>
      <c r="N130" s="252">
        <f t="shared" si="165"/>
        <v>-86535</v>
      </c>
      <c r="O130" s="251">
        <f t="shared" si="165"/>
        <v>0</v>
      </c>
      <c r="P130" s="252">
        <f t="shared" si="165"/>
        <v>0</v>
      </c>
      <c r="Q130" s="251">
        <f t="shared" si="165"/>
        <v>-63.93</v>
      </c>
      <c r="R130" s="252">
        <f t="shared" si="165"/>
        <v>-86535</v>
      </c>
      <c r="S130" s="253">
        <v>1353.6</v>
      </c>
      <c r="T130" s="254">
        <v>15.0</v>
      </c>
      <c r="U130" s="255" t="s">
        <v>107</v>
      </c>
      <c r="V130" s="255"/>
    </row>
    <row r="131" ht="12.75" customHeight="1">
      <c r="A131" s="256" t="s">
        <v>608</v>
      </c>
      <c r="B131" s="257" t="s">
        <v>118</v>
      </c>
      <c r="C131" s="258" t="s">
        <v>119</v>
      </c>
      <c r="D131" s="258" t="s">
        <v>218</v>
      </c>
      <c r="E131" s="258" t="s">
        <v>219</v>
      </c>
      <c r="F131" s="259"/>
      <c r="G131" s="258" t="s">
        <v>131</v>
      </c>
      <c r="H131" s="258" t="s">
        <v>167</v>
      </c>
      <c r="I131" s="259" t="s">
        <v>105</v>
      </c>
      <c r="J131" s="258" t="s">
        <v>106</v>
      </c>
      <c r="K131" s="260">
        <f>ROUND(M131/0.15,2)</f>
        <v>12.6</v>
      </c>
      <c r="L131" s="261">
        <f>ROUND(N131/0.15,0)</f>
        <v>17053</v>
      </c>
      <c r="M131" s="260">
        <f t="shared" ref="M131:N131" si="166">Q131</f>
        <v>1.89</v>
      </c>
      <c r="N131" s="261">
        <f t="shared" si="166"/>
        <v>2558</v>
      </c>
      <c r="O131" s="262">
        <v>62.04</v>
      </c>
      <c r="P131" s="263">
        <v>83977.0</v>
      </c>
      <c r="Q131" s="260">
        <f t="shared" ref="Q131:R131" si="167">M129-O131</f>
        <v>1.89</v>
      </c>
      <c r="R131" s="261">
        <f t="shared" si="167"/>
        <v>2558</v>
      </c>
      <c r="S131" s="264">
        <v>1353.6</v>
      </c>
      <c r="T131" s="265">
        <v>15.0</v>
      </c>
      <c r="U131" s="266" t="s">
        <v>107</v>
      </c>
      <c r="V131" s="266" t="s">
        <v>609</v>
      </c>
    </row>
    <row r="132" ht="12.75" customHeight="1">
      <c r="A132" s="267" t="s">
        <v>610</v>
      </c>
      <c r="B132" s="268" t="s">
        <v>118</v>
      </c>
      <c r="C132" s="269" t="s">
        <v>119</v>
      </c>
      <c r="D132" s="269" t="s">
        <v>218</v>
      </c>
      <c r="E132" s="270"/>
      <c r="F132" s="270"/>
      <c r="G132" s="269" t="s">
        <v>148</v>
      </c>
      <c r="H132" s="269" t="s">
        <v>611</v>
      </c>
      <c r="I132" s="270" t="s">
        <v>105</v>
      </c>
      <c r="J132" s="269" t="s">
        <v>150</v>
      </c>
      <c r="K132" s="271">
        <v>0.0</v>
      </c>
      <c r="L132" s="272">
        <v>693.0</v>
      </c>
      <c r="M132" s="271">
        <v>0.0</v>
      </c>
      <c r="N132" s="272">
        <v>122.0</v>
      </c>
      <c r="O132" s="271">
        <v>0.0</v>
      </c>
      <c r="P132" s="272">
        <v>0.0</v>
      </c>
      <c r="Q132" s="273">
        <f t="shared" ref="Q132:R132" si="168">M132-O132</f>
        <v>0</v>
      </c>
      <c r="R132" s="274">
        <f t="shared" si="168"/>
        <v>122</v>
      </c>
      <c r="S132" s="275">
        <v>1.0</v>
      </c>
      <c r="T132" s="276">
        <v>14.0</v>
      </c>
      <c r="U132" s="277" t="s">
        <v>151</v>
      </c>
      <c r="V132" s="277"/>
    </row>
    <row r="133" ht="12.75" customHeight="1">
      <c r="A133" s="267" t="s">
        <v>612</v>
      </c>
      <c r="B133" s="268" t="s">
        <v>118</v>
      </c>
      <c r="C133" s="269" t="s">
        <v>119</v>
      </c>
      <c r="D133" s="269" t="s">
        <v>221</v>
      </c>
      <c r="E133" s="270"/>
      <c r="F133" s="270"/>
      <c r="G133" s="269" t="s">
        <v>148</v>
      </c>
      <c r="H133" s="269" t="s">
        <v>613</v>
      </c>
      <c r="I133" s="270" t="s">
        <v>105</v>
      </c>
      <c r="J133" s="269" t="s">
        <v>150</v>
      </c>
      <c r="K133" s="271">
        <v>0.0</v>
      </c>
      <c r="L133" s="272">
        <v>552.0</v>
      </c>
      <c r="M133" s="271">
        <v>0.0</v>
      </c>
      <c r="N133" s="272">
        <v>97.0</v>
      </c>
      <c r="O133" s="271">
        <v>0.0</v>
      </c>
      <c r="P133" s="272">
        <v>0.0</v>
      </c>
      <c r="Q133" s="273">
        <f t="shared" ref="Q133:R133" si="169">M133-O133</f>
        <v>0</v>
      </c>
      <c r="R133" s="274">
        <f t="shared" si="169"/>
        <v>97</v>
      </c>
      <c r="S133" s="275">
        <v>1.0</v>
      </c>
      <c r="T133" s="276">
        <v>14.0</v>
      </c>
      <c r="U133" s="277" t="s">
        <v>151</v>
      </c>
      <c r="V133" s="277"/>
    </row>
    <row r="134" ht="12.75" customHeight="1">
      <c r="A134" s="245" t="s">
        <v>614</v>
      </c>
      <c r="B134" s="246" t="s">
        <v>118</v>
      </c>
      <c r="C134" s="247" t="s">
        <v>119</v>
      </c>
      <c r="D134" s="247" t="s">
        <v>223</v>
      </c>
      <c r="E134" s="247" t="s">
        <v>223</v>
      </c>
      <c r="F134" s="248"/>
      <c r="G134" s="247" t="s">
        <v>224</v>
      </c>
      <c r="H134" s="247" t="s">
        <v>225</v>
      </c>
      <c r="I134" s="248" t="s">
        <v>105</v>
      </c>
      <c r="J134" s="247" t="s">
        <v>106</v>
      </c>
      <c r="K134" s="249">
        <v>96.61</v>
      </c>
      <c r="L134" s="250">
        <v>131795.0</v>
      </c>
      <c r="M134" s="249">
        <v>14.49</v>
      </c>
      <c r="N134" s="250">
        <v>19767.0</v>
      </c>
      <c r="O134" s="249">
        <v>0.0</v>
      </c>
      <c r="P134" s="250">
        <v>0.0</v>
      </c>
      <c r="Q134" s="251">
        <f t="shared" ref="Q134:R134" si="170">M134-O134</f>
        <v>14.49</v>
      </c>
      <c r="R134" s="252">
        <f t="shared" si="170"/>
        <v>19767</v>
      </c>
      <c r="S134" s="253">
        <v>1364.2</v>
      </c>
      <c r="T134" s="254">
        <v>15.0</v>
      </c>
      <c r="U134" s="255" t="s">
        <v>107</v>
      </c>
      <c r="V134" s="255"/>
    </row>
    <row r="135" ht="12.75" customHeight="1">
      <c r="A135" s="245" t="s">
        <v>615</v>
      </c>
      <c r="B135" s="246" t="s">
        <v>118</v>
      </c>
      <c r="C135" s="247" t="s">
        <v>119</v>
      </c>
      <c r="D135" s="247" t="s">
        <v>223</v>
      </c>
      <c r="E135" s="247" t="s">
        <v>223</v>
      </c>
      <c r="F135" s="248"/>
      <c r="G135" s="247" t="s">
        <v>224</v>
      </c>
      <c r="H135" s="247" t="s">
        <v>225</v>
      </c>
      <c r="I135" s="248" t="s">
        <v>105</v>
      </c>
      <c r="J135" s="247" t="s">
        <v>106</v>
      </c>
      <c r="K135" s="251">
        <f t="shared" ref="K135:R135" si="171">-K134</f>
        <v>-96.61</v>
      </c>
      <c r="L135" s="252">
        <f t="shared" si="171"/>
        <v>-131795</v>
      </c>
      <c r="M135" s="251">
        <f t="shared" si="171"/>
        <v>-14.49</v>
      </c>
      <c r="N135" s="252">
        <f t="shared" si="171"/>
        <v>-19767</v>
      </c>
      <c r="O135" s="251">
        <f t="shared" si="171"/>
        <v>0</v>
      </c>
      <c r="P135" s="252">
        <f t="shared" si="171"/>
        <v>0</v>
      </c>
      <c r="Q135" s="251">
        <f t="shared" si="171"/>
        <v>-14.49</v>
      </c>
      <c r="R135" s="252">
        <f t="shared" si="171"/>
        <v>-19767</v>
      </c>
      <c r="S135" s="253">
        <v>1364.2</v>
      </c>
      <c r="T135" s="254">
        <v>15.0</v>
      </c>
      <c r="U135" s="255" t="s">
        <v>107</v>
      </c>
      <c r="V135" s="255"/>
    </row>
    <row r="136" ht="12.75" customHeight="1">
      <c r="A136" s="256" t="s">
        <v>616</v>
      </c>
      <c r="B136" s="257" t="s">
        <v>118</v>
      </c>
      <c r="C136" s="258" t="s">
        <v>119</v>
      </c>
      <c r="D136" s="258" t="s">
        <v>223</v>
      </c>
      <c r="E136" s="258" t="s">
        <v>223</v>
      </c>
      <c r="F136" s="259"/>
      <c r="G136" s="258" t="s">
        <v>224</v>
      </c>
      <c r="H136" s="258" t="s">
        <v>225</v>
      </c>
      <c r="I136" s="259" t="s">
        <v>105</v>
      </c>
      <c r="J136" s="258" t="s">
        <v>106</v>
      </c>
      <c r="K136" s="260">
        <f>ROUND(M136/0.15,2)</f>
        <v>30.53</v>
      </c>
      <c r="L136" s="261">
        <f>ROUND(N136/0.15,0)</f>
        <v>41653</v>
      </c>
      <c r="M136" s="260">
        <f t="shared" ref="M136:N136" si="172">Q136</f>
        <v>4.58</v>
      </c>
      <c r="N136" s="261">
        <f t="shared" si="172"/>
        <v>6248</v>
      </c>
      <c r="O136" s="262">
        <v>9.91</v>
      </c>
      <c r="P136" s="263">
        <v>13519.0</v>
      </c>
      <c r="Q136" s="260">
        <f t="shared" ref="Q136:R136" si="173">M134-O136</f>
        <v>4.58</v>
      </c>
      <c r="R136" s="261">
        <f t="shared" si="173"/>
        <v>6248</v>
      </c>
      <c r="S136" s="264">
        <v>1364.2</v>
      </c>
      <c r="T136" s="265">
        <v>15.0</v>
      </c>
      <c r="U136" s="266" t="s">
        <v>107</v>
      </c>
      <c r="V136" s="266" t="s">
        <v>617</v>
      </c>
    </row>
    <row r="137" ht="12.75" customHeight="1">
      <c r="A137" s="245" t="s">
        <v>618</v>
      </c>
      <c r="B137" s="246" t="s">
        <v>118</v>
      </c>
      <c r="C137" s="247" t="s">
        <v>119</v>
      </c>
      <c r="D137" s="247" t="s">
        <v>226</v>
      </c>
      <c r="E137" s="247" t="s">
        <v>223</v>
      </c>
      <c r="F137" s="248"/>
      <c r="G137" s="247" t="s">
        <v>135</v>
      </c>
      <c r="H137" s="247" t="s">
        <v>172</v>
      </c>
      <c r="I137" s="248" t="s">
        <v>105</v>
      </c>
      <c r="J137" s="247" t="s">
        <v>106</v>
      </c>
      <c r="K137" s="249">
        <v>733.01</v>
      </c>
      <c r="L137" s="250">
        <v>1001731.0</v>
      </c>
      <c r="M137" s="249">
        <v>109.95</v>
      </c>
      <c r="N137" s="250">
        <v>150257.0</v>
      </c>
      <c r="O137" s="249">
        <v>0.0</v>
      </c>
      <c r="P137" s="250">
        <v>0.0</v>
      </c>
      <c r="Q137" s="251">
        <f t="shared" ref="Q137:R137" si="174">M137-O137</f>
        <v>109.95</v>
      </c>
      <c r="R137" s="252">
        <f t="shared" si="174"/>
        <v>150257</v>
      </c>
      <c r="S137" s="253">
        <v>1366.6</v>
      </c>
      <c r="T137" s="254">
        <v>15.0</v>
      </c>
      <c r="U137" s="255" t="s">
        <v>107</v>
      </c>
      <c r="V137" s="255"/>
    </row>
    <row r="138" ht="12.75" customHeight="1">
      <c r="A138" s="245" t="s">
        <v>619</v>
      </c>
      <c r="B138" s="246" t="s">
        <v>118</v>
      </c>
      <c r="C138" s="247" t="s">
        <v>119</v>
      </c>
      <c r="D138" s="247" t="s">
        <v>226</v>
      </c>
      <c r="E138" s="247" t="s">
        <v>223</v>
      </c>
      <c r="F138" s="248"/>
      <c r="G138" s="247" t="s">
        <v>135</v>
      </c>
      <c r="H138" s="247" t="s">
        <v>172</v>
      </c>
      <c r="I138" s="248" t="s">
        <v>105</v>
      </c>
      <c r="J138" s="247" t="s">
        <v>106</v>
      </c>
      <c r="K138" s="251">
        <f t="shared" ref="K138:R138" si="175">-K137</f>
        <v>-733.01</v>
      </c>
      <c r="L138" s="252">
        <f t="shared" si="175"/>
        <v>-1001731</v>
      </c>
      <c r="M138" s="251">
        <f t="shared" si="175"/>
        <v>-109.95</v>
      </c>
      <c r="N138" s="252">
        <f t="shared" si="175"/>
        <v>-150257</v>
      </c>
      <c r="O138" s="251">
        <f t="shared" si="175"/>
        <v>0</v>
      </c>
      <c r="P138" s="252">
        <f t="shared" si="175"/>
        <v>0</v>
      </c>
      <c r="Q138" s="251">
        <f t="shared" si="175"/>
        <v>-109.95</v>
      </c>
      <c r="R138" s="252">
        <f t="shared" si="175"/>
        <v>-150257</v>
      </c>
      <c r="S138" s="253">
        <v>1366.6</v>
      </c>
      <c r="T138" s="254">
        <v>15.0</v>
      </c>
      <c r="U138" s="255" t="s">
        <v>107</v>
      </c>
      <c r="V138" s="255"/>
    </row>
    <row r="139" ht="12.75" customHeight="1">
      <c r="A139" s="256" t="s">
        <v>620</v>
      </c>
      <c r="B139" s="257" t="s">
        <v>118</v>
      </c>
      <c r="C139" s="258" t="s">
        <v>119</v>
      </c>
      <c r="D139" s="258" t="s">
        <v>226</v>
      </c>
      <c r="E139" s="258" t="s">
        <v>223</v>
      </c>
      <c r="F139" s="259"/>
      <c r="G139" s="258" t="s">
        <v>135</v>
      </c>
      <c r="H139" s="258" t="s">
        <v>172</v>
      </c>
      <c r="I139" s="259" t="s">
        <v>105</v>
      </c>
      <c r="J139" s="258" t="s">
        <v>106</v>
      </c>
      <c r="K139" s="260">
        <f>ROUND(M139/0.15,2)</f>
        <v>0</v>
      </c>
      <c r="L139" s="261">
        <f>ROUND(N139/0.15,0)</f>
        <v>-7</v>
      </c>
      <c r="M139" s="260">
        <f t="shared" ref="M139:N139" si="176">Q139</f>
        <v>0</v>
      </c>
      <c r="N139" s="261">
        <f t="shared" si="176"/>
        <v>-1</v>
      </c>
      <c r="O139" s="262">
        <v>109.95</v>
      </c>
      <c r="P139" s="263">
        <v>150258.0</v>
      </c>
      <c r="Q139" s="260">
        <f t="shared" ref="Q139:R139" si="177">M137-O139</f>
        <v>0</v>
      </c>
      <c r="R139" s="261">
        <f t="shared" si="177"/>
        <v>-1</v>
      </c>
      <c r="S139" s="264">
        <v>1366.6</v>
      </c>
      <c r="T139" s="265">
        <v>15.0</v>
      </c>
      <c r="U139" s="266" t="s">
        <v>107</v>
      </c>
      <c r="V139" s="266" t="s">
        <v>621</v>
      </c>
    </row>
    <row r="140" ht="12.75" customHeight="1">
      <c r="A140" s="245" t="s">
        <v>622</v>
      </c>
      <c r="B140" s="246" t="s">
        <v>118</v>
      </c>
      <c r="C140" s="247" t="s">
        <v>119</v>
      </c>
      <c r="D140" s="247" t="s">
        <v>227</v>
      </c>
      <c r="E140" s="247" t="s">
        <v>226</v>
      </c>
      <c r="F140" s="248"/>
      <c r="G140" s="247" t="s">
        <v>116</v>
      </c>
      <c r="H140" s="247" t="s">
        <v>117</v>
      </c>
      <c r="I140" s="248" t="s">
        <v>105</v>
      </c>
      <c r="J140" s="247" t="s">
        <v>106</v>
      </c>
      <c r="K140" s="249">
        <v>524.97</v>
      </c>
      <c r="L140" s="250">
        <v>718158.0</v>
      </c>
      <c r="M140" s="249">
        <v>78.74</v>
      </c>
      <c r="N140" s="250">
        <v>107716.0</v>
      </c>
      <c r="O140" s="249">
        <v>0.0</v>
      </c>
      <c r="P140" s="250">
        <v>0.0</v>
      </c>
      <c r="Q140" s="251">
        <f t="shared" ref="Q140:R140" si="178">M140-O140</f>
        <v>78.74</v>
      </c>
      <c r="R140" s="252">
        <f t="shared" si="178"/>
        <v>107716</v>
      </c>
      <c r="S140" s="253">
        <v>1368.0</v>
      </c>
      <c r="T140" s="254">
        <v>15.0</v>
      </c>
      <c r="U140" s="255" t="s">
        <v>107</v>
      </c>
      <c r="V140" s="255"/>
    </row>
    <row r="141" ht="12.75" customHeight="1">
      <c r="A141" s="245" t="s">
        <v>623</v>
      </c>
      <c r="B141" s="246" t="s">
        <v>118</v>
      </c>
      <c r="C141" s="247" t="s">
        <v>119</v>
      </c>
      <c r="D141" s="247" t="s">
        <v>227</v>
      </c>
      <c r="E141" s="247" t="s">
        <v>226</v>
      </c>
      <c r="F141" s="248"/>
      <c r="G141" s="247" t="s">
        <v>116</v>
      </c>
      <c r="H141" s="247" t="s">
        <v>117</v>
      </c>
      <c r="I141" s="248" t="s">
        <v>105</v>
      </c>
      <c r="J141" s="247" t="s">
        <v>106</v>
      </c>
      <c r="K141" s="251">
        <f t="shared" ref="K141:R141" si="179">-K140</f>
        <v>-524.97</v>
      </c>
      <c r="L141" s="252">
        <f t="shared" si="179"/>
        <v>-718158</v>
      </c>
      <c r="M141" s="251">
        <f t="shared" si="179"/>
        <v>-78.74</v>
      </c>
      <c r="N141" s="252">
        <f t="shared" si="179"/>
        <v>-107716</v>
      </c>
      <c r="O141" s="251">
        <f t="shared" si="179"/>
        <v>0</v>
      </c>
      <c r="P141" s="252">
        <f t="shared" si="179"/>
        <v>0</v>
      </c>
      <c r="Q141" s="251">
        <f t="shared" si="179"/>
        <v>-78.74</v>
      </c>
      <c r="R141" s="252">
        <f t="shared" si="179"/>
        <v>-107716</v>
      </c>
      <c r="S141" s="253">
        <v>1368.0</v>
      </c>
      <c r="T141" s="254">
        <v>15.0</v>
      </c>
      <c r="U141" s="255" t="s">
        <v>107</v>
      </c>
      <c r="V141" s="255"/>
    </row>
    <row r="142" ht="12.75" customHeight="1">
      <c r="A142" s="256" t="s">
        <v>624</v>
      </c>
      <c r="B142" s="257" t="s">
        <v>118</v>
      </c>
      <c r="C142" s="258" t="s">
        <v>119</v>
      </c>
      <c r="D142" s="258" t="s">
        <v>227</v>
      </c>
      <c r="E142" s="258" t="s">
        <v>226</v>
      </c>
      <c r="F142" s="259"/>
      <c r="G142" s="258" t="s">
        <v>116</v>
      </c>
      <c r="H142" s="258" t="s">
        <v>117</v>
      </c>
      <c r="I142" s="259" t="s">
        <v>105</v>
      </c>
      <c r="J142" s="258" t="s">
        <v>106</v>
      </c>
      <c r="K142" s="260">
        <f>ROUND(M142/0.15,2)</f>
        <v>503.07</v>
      </c>
      <c r="L142" s="261">
        <f>ROUND(N142/0.15,0)</f>
        <v>688193</v>
      </c>
      <c r="M142" s="260">
        <f t="shared" ref="M142:N142" si="180">Q142</f>
        <v>75.46</v>
      </c>
      <c r="N142" s="261">
        <f t="shared" si="180"/>
        <v>103229</v>
      </c>
      <c r="O142" s="262">
        <v>3.28</v>
      </c>
      <c r="P142" s="263">
        <v>4487.0</v>
      </c>
      <c r="Q142" s="260">
        <f t="shared" ref="Q142:R142" si="181">M140-O142</f>
        <v>75.46</v>
      </c>
      <c r="R142" s="261">
        <f t="shared" si="181"/>
        <v>103229</v>
      </c>
      <c r="S142" s="264">
        <v>1368.0</v>
      </c>
      <c r="T142" s="265">
        <v>15.0</v>
      </c>
      <c r="U142" s="266" t="s">
        <v>107</v>
      </c>
      <c r="V142" s="266" t="s">
        <v>625</v>
      </c>
    </row>
    <row r="143" ht="12.75" customHeight="1">
      <c r="A143" s="267" t="s">
        <v>626</v>
      </c>
      <c r="B143" s="268" t="s">
        <v>118</v>
      </c>
      <c r="C143" s="269" t="s">
        <v>119</v>
      </c>
      <c r="D143" s="269" t="s">
        <v>227</v>
      </c>
      <c r="E143" s="269" t="s">
        <v>226</v>
      </c>
      <c r="F143" s="270"/>
      <c r="G143" s="269" t="s">
        <v>228</v>
      </c>
      <c r="H143" s="270" t="s">
        <v>229</v>
      </c>
      <c r="I143" s="270" t="s">
        <v>105</v>
      </c>
      <c r="J143" s="269" t="s">
        <v>106</v>
      </c>
      <c r="K143" s="271">
        <v>8.91</v>
      </c>
      <c r="L143" s="272">
        <v>12188.0</v>
      </c>
      <c r="M143" s="271">
        <v>1.34</v>
      </c>
      <c r="N143" s="272">
        <v>1833.0</v>
      </c>
      <c r="O143" s="271">
        <v>0.0</v>
      </c>
      <c r="P143" s="272">
        <v>0.0</v>
      </c>
      <c r="Q143" s="273">
        <f t="shared" ref="Q143:R143" si="182">M143-O143</f>
        <v>1.34</v>
      </c>
      <c r="R143" s="274">
        <f t="shared" si="182"/>
        <v>1833</v>
      </c>
      <c r="S143" s="275">
        <v>1368.0</v>
      </c>
      <c r="T143" s="276">
        <v>15.0</v>
      </c>
      <c r="U143" s="277" t="s">
        <v>107</v>
      </c>
      <c r="V143" s="277"/>
    </row>
    <row r="144" ht="12.75" customHeight="1">
      <c r="A144" s="267" t="s">
        <v>627</v>
      </c>
      <c r="B144" s="268" t="s">
        <v>118</v>
      </c>
      <c r="C144" s="269" t="s">
        <v>119</v>
      </c>
      <c r="D144" s="269" t="s">
        <v>230</v>
      </c>
      <c r="E144" s="269" t="s">
        <v>231</v>
      </c>
      <c r="F144" s="270"/>
      <c r="G144" s="269" t="s">
        <v>183</v>
      </c>
      <c r="H144" s="270" t="s">
        <v>184</v>
      </c>
      <c r="I144" s="270" t="s">
        <v>105</v>
      </c>
      <c r="J144" s="269" t="s">
        <v>106</v>
      </c>
      <c r="K144" s="271">
        <v>0.83</v>
      </c>
      <c r="L144" s="272">
        <v>1139.0</v>
      </c>
      <c r="M144" s="271">
        <v>0.12</v>
      </c>
      <c r="N144" s="272">
        <v>164.0</v>
      </c>
      <c r="O144" s="271">
        <v>0.0</v>
      </c>
      <c r="P144" s="272">
        <v>0.0</v>
      </c>
      <c r="Q144" s="273">
        <f t="shared" ref="Q144:R144" si="183">M144-O144</f>
        <v>0.12</v>
      </c>
      <c r="R144" s="274">
        <f t="shared" si="183"/>
        <v>164</v>
      </c>
      <c r="S144" s="275">
        <v>1373.0</v>
      </c>
      <c r="T144" s="276">
        <v>15.0</v>
      </c>
      <c r="U144" s="277" t="s">
        <v>107</v>
      </c>
      <c r="V144" s="277"/>
    </row>
    <row r="145" ht="12.75" customHeight="1">
      <c r="A145" s="245" t="s">
        <v>628</v>
      </c>
      <c r="B145" s="246" t="s">
        <v>118</v>
      </c>
      <c r="C145" s="247" t="s">
        <v>119</v>
      </c>
      <c r="D145" s="247" t="s">
        <v>232</v>
      </c>
      <c r="E145" s="247" t="s">
        <v>230</v>
      </c>
      <c r="F145" s="248"/>
      <c r="G145" s="247" t="s">
        <v>139</v>
      </c>
      <c r="H145" s="247" t="s">
        <v>180</v>
      </c>
      <c r="I145" s="248" t="s">
        <v>105</v>
      </c>
      <c r="J145" s="247" t="s">
        <v>106</v>
      </c>
      <c r="K145" s="249">
        <v>387.3</v>
      </c>
      <c r="L145" s="250">
        <v>532421.0</v>
      </c>
      <c r="M145" s="249">
        <v>58.1</v>
      </c>
      <c r="N145" s="250">
        <v>79870.0</v>
      </c>
      <c r="O145" s="249">
        <v>0.0</v>
      </c>
      <c r="P145" s="250">
        <v>0.0</v>
      </c>
      <c r="Q145" s="251">
        <f t="shared" ref="Q145:R145" si="184">M145-O145</f>
        <v>58.1</v>
      </c>
      <c r="R145" s="252">
        <f t="shared" si="184"/>
        <v>79870</v>
      </c>
      <c r="S145" s="253">
        <v>1374.7</v>
      </c>
      <c r="T145" s="254">
        <v>15.0</v>
      </c>
      <c r="U145" s="255" t="s">
        <v>107</v>
      </c>
      <c r="V145" s="255"/>
    </row>
    <row r="146" ht="12.75" customHeight="1">
      <c r="A146" s="245" t="s">
        <v>629</v>
      </c>
      <c r="B146" s="246" t="s">
        <v>118</v>
      </c>
      <c r="C146" s="247" t="s">
        <v>119</v>
      </c>
      <c r="D146" s="247" t="s">
        <v>232</v>
      </c>
      <c r="E146" s="247" t="s">
        <v>230</v>
      </c>
      <c r="F146" s="248"/>
      <c r="G146" s="247" t="s">
        <v>139</v>
      </c>
      <c r="H146" s="247" t="s">
        <v>180</v>
      </c>
      <c r="I146" s="248" t="s">
        <v>105</v>
      </c>
      <c r="J146" s="247" t="s">
        <v>106</v>
      </c>
      <c r="K146" s="251">
        <f t="shared" ref="K146:R146" si="185">-K145</f>
        <v>-387.3</v>
      </c>
      <c r="L146" s="252">
        <f t="shared" si="185"/>
        <v>-532421</v>
      </c>
      <c r="M146" s="251">
        <f t="shared" si="185"/>
        <v>-58.1</v>
      </c>
      <c r="N146" s="252">
        <f t="shared" si="185"/>
        <v>-79870</v>
      </c>
      <c r="O146" s="251">
        <f t="shared" si="185"/>
        <v>0</v>
      </c>
      <c r="P146" s="252">
        <f t="shared" si="185"/>
        <v>0</v>
      </c>
      <c r="Q146" s="251">
        <f t="shared" si="185"/>
        <v>-58.1</v>
      </c>
      <c r="R146" s="252">
        <f t="shared" si="185"/>
        <v>-79870</v>
      </c>
      <c r="S146" s="253">
        <v>1374.7</v>
      </c>
      <c r="T146" s="254">
        <v>15.0</v>
      </c>
      <c r="U146" s="255" t="s">
        <v>107</v>
      </c>
      <c r="V146" s="255"/>
    </row>
    <row r="147" ht="12.75" customHeight="1">
      <c r="A147" s="256" t="s">
        <v>630</v>
      </c>
      <c r="B147" s="257" t="s">
        <v>118</v>
      </c>
      <c r="C147" s="258" t="s">
        <v>119</v>
      </c>
      <c r="D147" s="258" t="s">
        <v>232</v>
      </c>
      <c r="E147" s="258" t="s">
        <v>230</v>
      </c>
      <c r="F147" s="259"/>
      <c r="G147" s="258" t="s">
        <v>139</v>
      </c>
      <c r="H147" s="258" t="s">
        <v>180</v>
      </c>
      <c r="I147" s="259" t="s">
        <v>105</v>
      </c>
      <c r="J147" s="258" t="s">
        <v>106</v>
      </c>
      <c r="K147" s="260">
        <f>ROUND(M147/0.15,2)</f>
        <v>104.67</v>
      </c>
      <c r="L147" s="261">
        <f>ROUND(N147/0.15,0)</f>
        <v>143887</v>
      </c>
      <c r="M147" s="260">
        <f t="shared" ref="M147:N147" si="186">Q147</f>
        <v>15.7</v>
      </c>
      <c r="N147" s="261">
        <f t="shared" si="186"/>
        <v>21583</v>
      </c>
      <c r="O147" s="262">
        <v>42.4</v>
      </c>
      <c r="P147" s="263">
        <v>58287.0</v>
      </c>
      <c r="Q147" s="260">
        <f t="shared" ref="Q147:R147" si="187">M145-O147</f>
        <v>15.7</v>
      </c>
      <c r="R147" s="261">
        <f t="shared" si="187"/>
        <v>21583</v>
      </c>
      <c r="S147" s="264">
        <v>1374.7</v>
      </c>
      <c r="T147" s="265">
        <v>15.0</v>
      </c>
      <c r="U147" s="266" t="s">
        <v>107</v>
      </c>
      <c r="V147" s="266" t="s">
        <v>631</v>
      </c>
    </row>
    <row r="148" ht="12.75" customHeight="1">
      <c r="A148" s="267" t="s">
        <v>632</v>
      </c>
      <c r="B148" s="268" t="s">
        <v>118</v>
      </c>
      <c r="C148" s="269" t="s">
        <v>119</v>
      </c>
      <c r="D148" s="269" t="s">
        <v>233</v>
      </c>
      <c r="E148" s="269" t="s">
        <v>234</v>
      </c>
      <c r="F148" s="270"/>
      <c r="G148" s="269" t="s">
        <v>173</v>
      </c>
      <c r="H148" s="270" t="s">
        <v>174</v>
      </c>
      <c r="I148" s="270" t="s">
        <v>105</v>
      </c>
      <c r="J148" s="269" t="s">
        <v>106</v>
      </c>
      <c r="K148" s="271">
        <v>0.5</v>
      </c>
      <c r="L148" s="272">
        <v>691.0</v>
      </c>
      <c r="M148" s="271">
        <v>0.08</v>
      </c>
      <c r="N148" s="272">
        <v>110.0</v>
      </c>
      <c r="O148" s="271">
        <v>0.0</v>
      </c>
      <c r="P148" s="272">
        <v>0.0</v>
      </c>
      <c r="Q148" s="273">
        <f t="shared" ref="Q148:R148" si="188">M148-O148</f>
        <v>0.08</v>
      </c>
      <c r="R148" s="274">
        <f t="shared" si="188"/>
        <v>110</v>
      </c>
      <c r="S148" s="275">
        <v>1382.7</v>
      </c>
      <c r="T148" s="276">
        <v>15.0</v>
      </c>
      <c r="U148" s="277" t="s">
        <v>107</v>
      </c>
      <c r="V148" s="277"/>
    </row>
    <row r="149" ht="12.75" customHeight="1">
      <c r="A149" s="267" t="s">
        <v>633</v>
      </c>
      <c r="B149" s="268" t="s">
        <v>118</v>
      </c>
      <c r="C149" s="269" t="s">
        <v>119</v>
      </c>
      <c r="D149" s="269" t="s">
        <v>235</v>
      </c>
      <c r="E149" s="270"/>
      <c r="F149" s="270"/>
      <c r="G149" s="269" t="s">
        <v>148</v>
      </c>
      <c r="H149" s="269" t="s">
        <v>634</v>
      </c>
      <c r="I149" s="270" t="s">
        <v>105</v>
      </c>
      <c r="J149" s="269" t="s">
        <v>150</v>
      </c>
      <c r="K149" s="271">
        <v>0.0</v>
      </c>
      <c r="L149" s="272">
        <v>193.0</v>
      </c>
      <c r="M149" s="271">
        <v>0.0</v>
      </c>
      <c r="N149" s="272">
        <v>34.0</v>
      </c>
      <c r="O149" s="271">
        <v>0.0</v>
      </c>
      <c r="P149" s="272">
        <v>0.0</v>
      </c>
      <c r="Q149" s="273">
        <f t="shared" ref="Q149:R149" si="189">M149-O149</f>
        <v>0</v>
      </c>
      <c r="R149" s="274">
        <f t="shared" si="189"/>
        <v>34</v>
      </c>
      <c r="S149" s="275">
        <v>1.0</v>
      </c>
      <c r="T149" s="276">
        <v>14.0</v>
      </c>
      <c r="U149" s="277" t="s">
        <v>151</v>
      </c>
      <c r="V149" s="277"/>
    </row>
    <row r="150" ht="12.75" customHeight="1">
      <c r="A150" s="245" t="s">
        <v>635</v>
      </c>
      <c r="B150" s="246" t="s">
        <v>118</v>
      </c>
      <c r="C150" s="247" t="s">
        <v>119</v>
      </c>
      <c r="D150" s="247" t="s">
        <v>237</v>
      </c>
      <c r="E150" s="247" t="s">
        <v>238</v>
      </c>
      <c r="F150" s="248"/>
      <c r="G150" s="247" t="s">
        <v>103</v>
      </c>
      <c r="H150" s="247" t="s">
        <v>239</v>
      </c>
      <c r="I150" s="248" t="s">
        <v>105</v>
      </c>
      <c r="J150" s="247" t="s">
        <v>106</v>
      </c>
      <c r="K150" s="249">
        <v>103.5</v>
      </c>
      <c r="L150" s="250">
        <v>144061.0</v>
      </c>
      <c r="M150" s="249">
        <v>15.52</v>
      </c>
      <c r="N150" s="250">
        <v>21602.0</v>
      </c>
      <c r="O150" s="249">
        <v>0.0</v>
      </c>
      <c r="P150" s="250">
        <v>0.0</v>
      </c>
      <c r="Q150" s="251">
        <f t="shared" ref="Q150:R150" si="190">M150-O150</f>
        <v>15.52</v>
      </c>
      <c r="R150" s="252">
        <f t="shared" si="190"/>
        <v>21602</v>
      </c>
      <c r="S150" s="253">
        <v>1391.9</v>
      </c>
      <c r="T150" s="254">
        <v>15.0</v>
      </c>
      <c r="U150" s="255" t="s">
        <v>107</v>
      </c>
      <c r="V150" s="255"/>
    </row>
    <row r="151" ht="12.75" customHeight="1">
      <c r="A151" s="245" t="s">
        <v>636</v>
      </c>
      <c r="B151" s="246" t="s">
        <v>118</v>
      </c>
      <c r="C151" s="247" t="s">
        <v>119</v>
      </c>
      <c r="D151" s="247" t="s">
        <v>237</v>
      </c>
      <c r="E151" s="247" t="s">
        <v>238</v>
      </c>
      <c r="F151" s="248"/>
      <c r="G151" s="247" t="s">
        <v>103</v>
      </c>
      <c r="H151" s="247" t="s">
        <v>239</v>
      </c>
      <c r="I151" s="248" t="s">
        <v>105</v>
      </c>
      <c r="J151" s="247" t="s">
        <v>106</v>
      </c>
      <c r="K151" s="251">
        <f t="shared" ref="K151:R151" si="191">-K150</f>
        <v>-103.5</v>
      </c>
      <c r="L151" s="252">
        <f t="shared" si="191"/>
        <v>-144061</v>
      </c>
      <c r="M151" s="251">
        <f t="shared" si="191"/>
        <v>-15.52</v>
      </c>
      <c r="N151" s="252">
        <f t="shared" si="191"/>
        <v>-21602</v>
      </c>
      <c r="O151" s="251">
        <f t="shared" si="191"/>
        <v>0</v>
      </c>
      <c r="P151" s="252">
        <f t="shared" si="191"/>
        <v>0</v>
      </c>
      <c r="Q151" s="251">
        <f t="shared" si="191"/>
        <v>-15.52</v>
      </c>
      <c r="R151" s="252">
        <f t="shared" si="191"/>
        <v>-21602</v>
      </c>
      <c r="S151" s="253">
        <v>1391.9</v>
      </c>
      <c r="T151" s="254">
        <v>15.0</v>
      </c>
      <c r="U151" s="255" t="s">
        <v>107</v>
      </c>
      <c r="V151" s="255"/>
    </row>
    <row r="152" ht="12.75" customHeight="1">
      <c r="A152" s="256" t="s">
        <v>637</v>
      </c>
      <c r="B152" s="257" t="s">
        <v>118</v>
      </c>
      <c r="C152" s="258" t="s">
        <v>119</v>
      </c>
      <c r="D152" s="258" t="s">
        <v>237</v>
      </c>
      <c r="E152" s="258" t="s">
        <v>238</v>
      </c>
      <c r="F152" s="259"/>
      <c r="G152" s="258" t="s">
        <v>103</v>
      </c>
      <c r="H152" s="258" t="s">
        <v>239</v>
      </c>
      <c r="I152" s="259" t="s">
        <v>105</v>
      </c>
      <c r="J152" s="258" t="s">
        <v>106</v>
      </c>
      <c r="K152" s="260">
        <f>ROUND(M152/0.15,2)</f>
        <v>33.27</v>
      </c>
      <c r="L152" s="261">
        <f>ROUND(N152/0.15,0)</f>
        <v>46300</v>
      </c>
      <c r="M152" s="260">
        <f t="shared" ref="M152:N152" si="192">Q152</f>
        <v>4.99</v>
      </c>
      <c r="N152" s="261">
        <f t="shared" si="192"/>
        <v>6945</v>
      </c>
      <c r="O152" s="262">
        <v>10.53</v>
      </c>
      <c r="P152" s="263">
        <v>14657.0</v>
      </c>
      <c r="Q152" s="260">
        <f t="shared" ref="Q152:R152" si="193">M150-O152</f>
        <v>4.99</v>
      </c>
      <c r="R152" s="261">
        <f t="shared" si="193"/>
        <v>6945</v>
      </c>
      <c r="S152" s="264">
        <v>1391.9</v>
      </c>
      <c r="T152" s="265">
        <v>15.0</v>
      </c>
      <c r="U152" s="266" t="s">
        <v>107</v>
      </c>
      <c r="V152" s="266" t="s">
        <v>638</v>
      </c>
    </row>
    <row r="153" ht="12.75" customHeight="1">
      <c r="A153" s="245" t="s">
        <v>639</v>
      </c>
      <c r="B153" s="246" t="s">
        <v>118</v>
      </c>
      <c r="C153" s="247" t="s">
        <v>119</v>
      </c>
      <c r="D153" s="247" t="s">
        <v>237</v>
      </c>
      <c r="E153" s="247" t="s">
        <v>238</v>
      </c>
      <c r="F153" s="248"/>
      <c r="G153" s="247" t="s">
        <v>127</v>
      </c>
      <c r="H153" s="247" t="s">
        <v>186</v>
      </c>
      <c r="I153" s="248" t="s">
        <v>105</v>
      </c>
      <c r="J153" s="247" t="s">
        <v>106</v>
      </c>
      <c r="K153" s="249">
        <v>1028.5</v>
      </c>
      <c r="L153" s="250">
        <v>1431569.0</v>
      </c>
      <c r="M153" s="249">
        <v>154.28</v>
      </c>
      <c r="N153" s="250">
        <v>214742.0</v>
      </c>
      <c r="O153" s="249">
        <v>0.0</v>
      </c>
      <c r="P153" s="250">
        <v>0.0</v>
      </c>
      <c r="Q153" s="251">
        <f t="shared" ref="Q153:R153" si="194">M153-O153</f>
        <v>154.28</v>
      </c>
      <c r="R153" s="252">
        <f t="shared" si="194"/>
        <v>214742</v>
      </c>
      <c r="S153" s="253">
        <v>1391.9</v>
      </c>
      <c r="T153" s="254">
        <v>15.0</v>
      </c>
      <c r="U153" s="255" t="s">
        <v>107</v>
      </c>
      <c r="V153" s="255"/>
    </row>
    <row r="154" ht="12.75" customHeight="1">
      <c r="A154" s="245" t="s">
        <v>640</v>
      </c>
      <c r="B154" s="246" t="s">
        <v>118</v>
      </c>
      <c r="C154" s="247" t="s">
        <v>119</v>
      </c>
      <c r="D154" s="247" t="s">
        <v>237</v>
      </c>
      <c r="E154" s="247" t="s">
        <v>238</v>
      </c>
      <c r="F154" s="248"/>
      <c r="G154" s="247" t="s">
        <v>127</v>
      </c>
      <c r="H154" s="247" t="s">
        <v>186</v>
      </c>
      <c r="I154" s="248" t="s">
        <v>105</v>
      </c>
      <c r="J154" s="247" t="s">
        <v>106</v>
      </c>
      <c r="K154" s="251">
        <f t="shared" ref="K154:R154" si="195">-K153</f>
        <v>-1028.5</v>
      </c>
      <c r="L154" s="252">
        <f t="shared" si="195"/>
        <v>-1431569</v>
      </c>
      <c r="M154" s="251">
        <f t="shared" si="195"/>
        <v>-154.28</v>
      </c>
      <c r="N154" s="252">
        <f t="shared" si="195"/>
        <v>-214742</v>
      </c>
      <c r="O154" s="251">
        <f t="shared" si="195"/>
        <v>0</v>
      </c>
      <c r="P154" s="252">
        <f t="shared" si="195"/>
        <v>0</v>
      </c>
      <c r="Q154" s="251">
        <f t="shared" si="195"/>
        <v>-154.28</v>
      </c>
      <c r="R154" s="252">
        <f t="shared" si="195"/>
        <v>-214742</v>
      </c>
      <c r="S154" s="253">
        <v>1391.9</v>
      </c>
      <c r="T154" s="254">
        <v>15.0</v>
      </c>
      <c r="U154" s="255" t="s">
        <v>107</v>
      </c>
      <c r="V154" s="255"/>
    </row>
    <row r="155" ht="12.75" customHeight="1">
      <c r="A155" s="256" t="s">
        <v>641</v>
      </c>
      <c r="B155" s="257" t="s">
        <v>118</v>
      </c>
      <c r="C155" s="258" t="s">
        <v>119</v>
      </c>
      <c r="D155" s="258" t="s">
        <v>237</v>
      </c>
      <c r="E155" s="258" t="s">
        <v>238</v>
      </c>
      <c r="F155" s="259"/>
      <c r="G155" s="258" t="s">
        <v>127</v>
      </c>
      <c r="H155" s="258" t="s">
        <v>186</v>
      </c>
      <c r="I155" s="259" t="s">
        <v>105</v>
      </c>
      <c r="J155" s="258" t="s">
        <v>106</v>
      </c>
      <c r="K155" s="260">
        <f>ROUND(M155/0.15,2)</f>
        <v>487</v>
      </c>
      <c r="L155" s="261">
        <f>ROUND(N155/0.15,0)</f>
        <v>677853</v>
      </c>
      <c r="M155" s="260">
        <f t="shared" ref="M155:N155" si="196">Q155</f>
        <v>73.05</v>
      </c>
      <c r="N155" s="261">
        <f t="shared" si="196"/>
        <v>101678</v>
      </c>
      <c r="O155" s="262">
        <v>81.23</v>
      </c>
      <c r="P155" s="263">
        <v>113064.0</v>
      </c>
      <c r="Q155" s="260">
        <f t="shared" ref="Q155:R155" si="197">M153-O155</f>
        <v>73.05</v>
      </c>
      <c r="R155" s="261">
        <f t="shared" si="197"/>
        <v>101678</v>
      </c>
      <c r="S155" s="264">
        <v>1391.9</v>
      </c>
      <c r="T155" s="265">
        <v>15.0</v>
      </c>
      <c r="U155" s="266" t="s">
        <v>107</v>
      </c>
      <c r="V155" s="266" t="s">
        <v>642</v>
      </c>
    </row>
    <row r="156" ht="12.75" customHeight="1">
      <c r="A156" s="245" t="s">
        <v>643</v>
      </c>
      <c r="B156" s="246" t="s">
        <v>118</v>
      </c>
      <c r="C156" s="247" t="s">
        <v>119</v>
      </c>
      <c r="D156" s="247" t="s">
        <v>240</v>
      </c>
      <c r="E156" s="247" t="s">
        <v>241</v>
      </c>
      <c r="F156" s="248"/>
      <c r="G156" s="247" t="s">
        <v>103</v>
      </c>
      <c r="H156" s="247" t="s">
        <v>239</v>
      </c>
      <c r="I156" s="248" t="s">
        <v>105</v>
      </c>
      <c r="J156" s="247" t="s">
        <v>106</v>
      </c>
      <c r="K156" s="249">
        <v>236.67</v>
      </c>
      <c r="L156" s="250">
        <v>325657.0</v>
      </c>
      <c r="M156" s="249">
        <v>35.5</v>
      </c>
      <c r="N156" s="250">
        <v>48848.0</v>
      </c>
      <c r="O156" s="249">
        <v>0.0</v>
      </c>
      <c r="P156" s="250">
        <v>0.0</v>
      </c>
      <c r="Q156" s="251">
        <f t="shared" ref="Q156:R156" si="198">M156-O156</f>
        <v>35.5</v>
      </c>
      <c r="R156" s="252">
        <f t="shared" si="198"/>
        <v>48848</v>
      </c>
      <c r="S156" s="253">
        <v>1376.0</v>
      </c>
      <c r="T156" s="254">
        <v>15.0</v>
      </c>
      <c r="U156" s="255" t="s">
        <v>107</v>
      </c>
      <c r="V156" s="255"/>
    </row>
    <row r="157" ht="12.75" customHeight="1">
      <c r="A157" s="245" t="s">
        <v>644</v>
      </c>
      <c r="B157" s="246" t="s">
        <v>118</v>
      </c>
      <c r="C157" s="247" t="s">
        <v>119</v>
      </c>
      <c r="D157" s="247" t="s">
        <v>240</v>
      </c>
      <c r="E157" s="247" t="s">
        <v>241</v>
      </c>
      <c r="F157" s="248"/>
      <c r="G157" s="247" t="s">
        <v>103</v>
      </c>
      <c r="H157" s="247" t="s">
        <v>239</v>
      </c>
      <c r="I157" s="248" t="s">
        <v>105</v>
      </c>
      <c r="J157" s="247" t="s">
        <v>106</v>
      </c>
      <c r="K157" s="251">
        <f t="shared" ref="K157:R157" si="199">-K156</f>
        <v>-236.67</v>
      </c>
      <c r="L157" s="252">
        <f t="shared" si="199"/>
        <v>-325657</v>
      </c>
      <c r="M157" s="251">
        <f t="shared" si="199"/>
        <v>-35.5</v>
      </c>
      <c r="N157" s="252">
        <f t="shared" si="199"/>
        <v>-48848</v>
      </c>
      <c r="O157" s="251">
        <f t="shared" si="199"/>
        <v>0</v>
      </c>
      <c r="P157" s="252">
        <f t="shared" si="199"/>
        <v>0</v>
      </c>
      <c r="Q157" s="251">
        <f t="shared" si="199"/>
        <v>-35.5</v>
      </c>
      <c r="R157" s="252">
        <f t="shared" si="199"/>
        <v>-48848</v>
      </c>
      <c r="S157" s="253">
        <v>1376.0</v>
      </c>
      <c r="T157" s="254">
        <v>15.0</v>
      </c>
      <c r="U157" s="255" t="s">
        <v>107</v>
      </c>
      <c r="V157" s="255"/>
    </row>
    <row r="158" ht="12.75" customHeight="1">
      <c r="A158" s="256" t="s">
        <v>645</v>
      </c>
      <c r="B158" s="257" t="s">
        <v>118</v>
      </c>
      <c r="C158" s="258" t="s">
        <v>119</v>
      </c>
      <c r="D158" s="258" t="s">
        <v>240</v>
      </c>
      <c r="E158" s="258" t="s">
        <v>241</v>
      </c>
      <c r="F158" s="259"/>
      <c r="G158" s="258" t="s">
        <v>103</v>
      </c>
      <c r="H158" s="258" t="s">
        <v>239</v>
      </c>
      <c r="I158" s="259" t="s">
        <v>105</v>
      </c>
      <c r="J158" s="258" t="s">
        <v>106</v>
      </c>
      <c r="K158" s="260">
        <f>ROUND(M158/0.15,2)</f>
        <v>76.13</v>
      </c>
      <c r="L158" s="261">
        <f>ROUND(N158/0.15,0)</f>
        <v>104760</v>
      </c>
      <c r="M158" s="260">
        <f t="shared" ref="M158:N158" si="200">Q158</f>
        <v>11.42</v>
      </c>
      <c r="N158" s="261">
        <f t="shared" si="200"/>
        <v>15714</v>
      </c>
      <c r="O158" s="262">
        <v>24.08</v>
      </c>
      <c r="P158" s="263">
        <v>33134.0</v>
      </c>
      <c r="Q158" s="260">
        <f t="shared" ref="Q158:R158" si="201">M156-O158</f>
        <v>11.42</v>
      </c>
      <c r="R158" s="261">
        <f t="shared" si="201"/>
        <v>15714</v>
      </c>
      <c r="S158" s="264">
        <v>1376.0</v>
      </c>
      <c r="T158" s="265">
        <v>15.0</v>
      </c>
      <c r="U158" s="266" t="s">
        <v>107</v>
      </c>
      <c r="V158" s="266" t="s">
        <v>646</v>
      </c>
    </row>
    <row r="159" ht="12.75" customHeight="1">
      <c r="A159" s="245" t="s">
        <v>647</v>
      </c>
      <c r="B159" s="246" t="s">
        <v>118</v>
      </c>
      <c r="C159" s="247" t="s">
        <v>119</v>
      </c>
      <c r="D159" s="247" t="s">
        <v>101</v>
      </c>
      <c r="E159" s="247" t="s">
        <v>241</v>
      </c>
      <c r="F159" s="248"/>
      <c r="G159" s="247" t="s">
        <v>131</v>
      </c>
      <c r="H159" s="247" t="s">
        <v>167</v>
      </c>
      <c r="I159" s="248" t="s">
        <v>105</v>
      </c>
      <c r="J159" s="247" t="s">
        <v>106</v>
      </c>
      <c r="K159" s="249">
        <v>795.1</v>
      </c>
      <c r="L159" s="250">
        <v>1096919.0</v>
      </c>
      <c r="M159" s="249">
        <v>119.26</v>
      </c>
      <c r="N159" s="250">
        <v>164531.0</v>
      </c>
      <c r="O159" s="249">
        <v>0.0</v>
      </c>
      <c r="P159" s="250">
        <v>0.0</v>
      </c>
      <c r="Q159" s="251">
        <f t="shared" ref="Q159:R159" si="202">M159-O159</f>
        <v>119.26</v>
      </c>
      <c r="R159" s="252">
        <f t="shared" si="202"/>
        <v>164531</v>
      </c>
      <c r="S159" s="253">
        <v>1379.6</v>
      </c>
      <c r="T159" s="254">
        <v>15.0</v>
      </c>
      <c r="U159" s="255" t="s">
        <v>107</v>
      </c>
      <c r="V159" s="255"/>
    </row>
    <row r="160" ht="12.75" customHeight="1">
      <c r="A160" s="245" t="s">
        <v>648</v>
      </c>
      <c r="B160" s="246" t="s">
        <v>118</v>
      </c>
      <c r="C160" s="247" t="s">
        <v>119</v>
      </c>
      <c r="D160" s="247" t="s">
        <v>101</v>
      </c>
      <c r="E160" s="247" t="s">
        <v>241</v>
      </c>
      <c r="F160" s="248"/>
      <c r="G160" s="247" t="s">
        <v>131</v>
      </c>
      <c r="H160" s="247" t="s">
        <v>167</v>
      </c>
      <c r="I160" s="248" t="s">
        <v>105</v>
      </c>
      <c r="J160" s="247" t="s">
        <v>106</v>
      </c>
      <c r="K160" s="251">
        <f t="shared" ref="K160:R160" si="203">-K159</f>
        <v>-795.1</v>
      </c>
      <c r="L160" s="252">
        <f t="shared" si="203"/>
        <v>-1096919</v>
      </c>
      <c r="M160" s="251">
        <f t="shared" si="203"/>
        <v>-119.26</v>
      </c>
      <c r="N160" s="252">
        <f t="shared" si="203"/>
        <v>-164531</v>
      </c>
      <c r="O160" s="251">
        <f t="shared" si="203"/>
        <v>0</v>
      </c>
      <c r="P160" s="252">
        <f t="shared" si="203"/>
        <v>0</v>
      </c>
      <c r="Q160" s="251">
        <f t="shared" si="203"/>
        <v>-119.26</v>
      </c>
      <c r="R160" s="252">
        <f t="shared" si="203"/>
        <v>-164531</v>
      </c>
      <c r="S160" s="253">
        <v>1379.6</v>
      </c>
      <c r="T160" s="254">
        <v>15.0</v>
      </c>
      <c r="U160" s="255" t="s">
        <v>107</v>
      </c>
      <c r="V160" s="255"/>
    </row>
    <row r="161" ht="12.75" customHeight="1">
      <c r="A161" s="256" t="s">
        <v>649</v>
      </c>
      <c r="B161" s="257" t="s">
        <v>118</v>
      </c>
      <c r="C161" s="258" t="s">
        <v>119</v>
      </c>
      <c r="D161" s="258" t="s">
        <v>101</v>
      </c>
      <c r="E161" s="258" t="s">
        <v>241</v>
      </c>
      <c r="F161" s="259"/>
      <c r="G161" s="258" t="s">
        <v>131</v>
      </c>
      <c r="H161" s="258" t="s">
        <v>167</v>
      </c>
      <c r="I161" s="259" t="s">
        <v>105</v>
      </c>
      <c r="J161" s="258" t="s">
        <v>106</v>
      </c>
      <c r="K161" s="260">
        <f>ROUND(M161/0.15,2)</f>
        <v>23.4</v>
      </c>
      <c r="L161" s="261">
        <f>ROUND(N161/0.15,0)</f>
        <v>32280</v>
      </c>
      <c r="M161" s="260">
        <f t="shared" ref="M161:N161" si="204">Q161</f>
        <v>3.51</v>
      </c>
      <c r="N161" s="261">
        <f t="shared" si="204"/>
        <v>4842</v>
      </c>
      <c r="O161" s="262">
        <v>115.75</v>
      </c>
      <c r="P161" s="263">
        <v>159689.0</v>
      </c>
      <c r="Q161" s="260">
        <f t="shared" ref="Q161:R161" si="205">M159-O161</f>
        <v>3.51</v>
      </c>
      <c r="R161" s="261">
        <f t="shared" si="205"/>
        <v>4842</v>
      </c>
      <c r="S161" s="264">
        <v>1379.6</v>
      </c>
      <c r="T161" s="265">
        <v>15.0</v>
      </c>
      <c r="U161" s="266" t="s">
        <v>107</v>
      </c>
      <c r="V161" s="266" t="s">
        <v>650</v>
      </c>
    </row>
    <row r="162" ht="12.75" customHeight="1">
      <c r="A162" s="245" t="s">
        <v>651</v>
      </c>
      <c r="B162" s="246" t="s">
        <v>118</v>
      </c>
      <c r="C162" s="247" t="s">
        <v>119</v>
      </c>
      <c r="D162" s="247" t="s">
        <v>108</v>
      </c>
      <c r="E162" s="247" t="s">
        <v>242</v>
      </c>
      <c r="F162" s="248"/>
      <c r="G162" s="247" t="s">
        <v>103</v>
      </c>
      <c r="H162" s="247" t="s">
        <v>239</v>
      </c>
      <c r="I162" s="248" t="s">
        <v>105</v>
      </c>
      <c r="J162" s="247" t="s">
        <v>106</v>
      </c>
      <c r="K162" s="249">
        <v>231.84</v>
      </c>
      <c r="L162" s="250">
        <v>321075.0</v>
      </c>
      <c r="M162" s="249">
        <v>34.78</v>
      </c>
      <c r="N162" s="250">
        <v>48166.0</v>
      </c>
      <c r="O162" s="249">
        <v>0.0</v>
      </c>
      <c r="P162" s="250">
        <v>0.0</v>
      </c>
      <c r="Q162" s="251">
        <f t="shared" ref="Q162:R162" si="206">M162-O162</f>
        <v>34.78</v>
      </c>
      <c r="R162" s="252">
        <f t="shared" si="206"/>
        <v>48166</v>
      </c>
      <c r="S162" s="253">
        <v>1384.9</v>
      </c>
      <c r="T162" s="254">
        <v>15.0</v>
      </c>
      <c r="U162" s="255" t="s">
        <v>107</v>
      </c>
      <c r="V162" s="255"/>
    </row>
    <row r="163" ht="12.75" customHeight="1">
      <c r="A163" s="245" t="s">
        <v>652</v>
      </c>
      <c r="B163" s="246" t="s">
        <v>118</v>
      </c>
      <c r="C163" s="247" t="s">
        <v>119</v>
      </c>
      <c r="D163" s="247" t="s">
        <v>108</v>
      </c>
      <c r="E163" s="247" t="s">
        <v>242</v>
      </c>
      <c r="F163" s="248"/>
      <c r="G163" s="247" t="s">
        <v>103</v>
      </c>
      <c r="H163" s="247" t="s">
        <v>239</v>
      </c>
      <c r="I163" s="248" t="s">
        <v>105</v>
      </c>
      <c r="J163" s="247" t="s">
        <v>106</v>
      </c>
      <c r="K163" s="251">
        <f t="shared" ref="K163:R163" si="207">-K162</f>
        <v>-231.84</v>
      </c>
      <c r="L163" s="252">
        <f t="shared" si="207"/>
        <v>-321075</v>
      </c>
      <c r="M163" s="251">
        <f t="shared" si="207"/>
        <v>-34.78</v>
      </c>
      <c r="N163" s="252">
        <f t="shared" si="207"/>
        <v>-48166</v>
      </c>
      <c r="O163" s="251">
        <f t="shared" si="207"/>
        <v>0</v>
      </c>
      <c r="P163" s="252">
        <f t="shared" si="207"/>
        <v>0</v>
      </c>
      <c r="Q163" s="251">
        <f t="shared" si="207"/>
        <v>-34.78</v>
      </c>
      <c r="R163" s="252">
        <f t="shared" si="207"/>
        <v>-48166</v>
      </c>
      <c r="S163" s="253">
        <v>1384.9</v>
      </c>
      <c r="T163" s="254">
        <v>15.0</v>
      </c>
      <c r="U163" s="255" t="s">
        <v>107</v>
      </c>
      <c r="V163" s="255"/>
    </row>
    <row r="164" ht="12.75" customHeight="1">
      <c r="A164" s="256" t="s">
        <v>653</v>
      </c>
      <c r="B164" s="257" t="s">
        <v>118</v>
      </c>
      <c r="C164" s="258" t="s">
        <v>119</v>
      </c>
      <c r="D164" s="258" t="s">
        <v>108</v>
      </c>
      <c r="E164" s="258" t="s">
        <v>242</v>
      </c>
      <c r="F164" s="259"/>
      <c r="G164" s="258" t="s">
        <v>103</v>
      </c>
      <c r="H164" s="258" t="s">
        <v>239</v>
      </c>
      <c r="I164" s="259" t="s">
        <v>105</v>
      </c>
      <c r="J164" s="258" t="s">
        <v>106</v>
      </c>
      <c r="K164" s="260">
        <f>ROUND(M164/0.15,2)</f>
        <v>74.67</v>
      </c>
      <c r="L164" s="261">
        <f>ROUND(N164/0.15,0)</f>
        <v>103400</v>
      </c>
      <c r="M164" s="260">
        <f t="shared" ref="M164:N164" si="208">Q164</f>
        <v>11.2</v>
      </c>
      <c r="N164" s="261">
        <f t="shared" si="208"/>
        <v>15510</v>
      </c>
      <c r="O164" s="262">
        <v>23.58</v>
      </c>
      <c r="P164" s="263">
        <v>32656.0</v>
      </c>
      <c r="Q164" s="260">
        <f t="shared" ref="Q164:R164" si="209">M162-O164</f>
        <v>11.2</v>
      </c>
      <c r="R164" s="261">
        <f t="shared" si="209"/>
        <v>15510</v>
      </c>
      <c r="S164" s="264">
        <v>1384.9</v>
      </c>
      <c r="T164" s="265">
        <v>15.0</v>
      </c>
      <c r="U164" s="266" t="s">
        <v>107</v>
      </c>
      <c r="V164" s="266" t="s">
        <v>654</v>
      </c>
    </row>
    <row r="165" ht="12.75" customHeight="1">
      <c r="A165" s="245" t="s">
        <v>655</v>
      </c>
      <c r="B165" s="246" t="s">
        <v>118</v>
      </c>
      <c r="C165" s="247" t="s">
        <v>119</v>
      </c>
      <c r="D165" s="247" t="s">
        <v>108</v>
      </c>
      <c r="E165" s="247" t="s">
        <v>242</v>
      </c>
      <c r="F165" s="248"/>
      <c r="G165" s="247" t="s">
        <v>135</v>
      </c>
      <c r="H165" s="247" t="s">
        <v>172</v>
      </c>
      <c r="I165" s="248" t="s">
        <v>105</v>
      </c>
      <c r="J165" s="247" t="s">
        <v>106</v>
      </c>
      <c r="K165" s="249">
        <v>1183.5</v>
      </c>
      <c r="L165" s="250">
        <v>1639029.0</v>
      </c>
      <c r="M165" s="249">
        <v>177.53</v>
      </c>
      <c r="N165" s="250">
        <v>245861.0</v>
      </c>
      <c r="O165" s="249">
        <v>0.0</v>
      </c>
      <c r="P165" s="250">
        <v>0.0</v>
      </c>
      <c r="Q165" s="251">
        <f t="shared" ref="Q165:R165" si="210">M165-O165</f>
        <v>177.53</v>
      </c>
      <c r="R165" s="252">
        <f t="shared" si="210"/>
        <v>245861</v>
      </c>
      <c r="S165" s="253">
        <v>1384.9</v>
      </c>
      <c r="T165" s="254">
        <v>15.0</v>
      </c>
      <c r="U165" s="255" t="s">
        <v>107</v>
      </c>
      <c r="V165" s="255"/>
    </row>
    <row r="166" ht="12.75" customHeight="1">
      <c r="A166" s="245" t="s">
        <v>656</v>
      </c>
      <c r="B166" s="246" t="s">
        <v>118</v>
      </c>
      <c r="C166" s="247" t="s">
        <v>119</v>
      </c>
      <c r="D166" s="247" t="s">
        <v>108</v>
      </c>
      <c r="E166" s="247" t="s">
        <v>242</v>
      </c>
      <c r="F166" s="248"/>
      <c r="G166" s="247" t="s">
        <v>135</v>
      </c>
      <c r="H166" s="247" t="s">
        <v>172</v>
      </c>
      <c r="I166" s="248" t="s">
        <v>105</v>
      </c>
      <c r="J166" s="247" t="s">
        <v>106</v>
      </c>
      <c r="K166" s="251">
        <f t="shared" ref="K166:R166" si="211">-K165</f>
        <v>-1183.5</v>
      </c>
      <c r="L166" s="252">
        <f t="shared" si="211"/>
        <v>-1639029</v>
      </c>
      <c r="M166" s="251">
        <f t="shared" si="211"/>
        <v>-177.53</v>
      </c>
      <c r="N166" s="252">
        <f t="shared" si="211"/>
        <v>-245861</v>
      </c>
      <c r="O166" s="251">
        <f t="shared" si="211"/>
        <v>0</v>
      </c>
      <c r="P166" s="252">
        <f t="shared" si="211"/>
        <v>0</v>
      </c>
      <c r="Q166" s="251">
        <f t="shared" si="211"/>
        <v>-177.53</v>
      </c>
      <c r="R166" s="252">
        <f t="shared" si="211"/>
        <v>-245861</v>
      </c>
      <c r="S166" s="253">
        <v>1384.9</v>
      </c>
      <c r="T166" s="254">
        <v>15.0</v>
      </c>
      <c r="U166" s="255" t="s">
        <v>107</v>
      </c>
      <c r="V166" s="255"/>
    </row>
    <row r="167" ht="12.75" customHeight="1">
      <c r="A167" s="256" t="s">
        <v>657</v>
      </c>
      <c r="B167" s="257" t="s">
        <v>118</v>
      </c>
      <c r="C167" s="258" t="s">
        <v>119</v>
      </c>
      <c r="D167" s="258" t="s">
        <v>108</v>
      </c>
      <c r="E167" s="258" t="s">
        <v>242</v>
      </c>
      <c r="F167" s="259"/>
      <c r="G167" s="258" t="s">
        <v>135</v>
      </c>
      <c r="H167" s="258" t="s">
        <v>172</v>
      </c>
      <c r="I167" s="259" t="s">
        <v>105</v>
      </c>
      <c r="J167" s="258" t="s">
        <v>106</v>
      </c>
      <c r="K167" s="260">
        <f>ROUND(M167/0.15,2)</f>
        <v>0</v>
      </c>
      <c r="L167" s="261">
        <f>ROUND(N167/0.15,0)</f>
        <v>0</v>
      </c>
      <c r="M167" s="260">
        <f t="shared" ref="M167:N167" si="212">Q167</f>
        <v>0</v>
      </c>
      <c r="N167" s="261">
        <f t="shared" si="212"/>
        <v>0</v>
      </c>
      <c r="O167" s="262">
        <v>177.53</v>
      </c>
      <c r="P167" s="263">
        <v>245861.0</v>
      </c>
      <c r="Q167" s="260">
        <f t="shared" ref="Q167:R167" si="213">M165-O167</f>
        <v>0</v>
      </c>
      <c r="R167" s="261">
        <f t="shared" si="213"/>
        <v>0</v>
      </c>
      <c r="S167" s="264">
        <v>1384.9</v>
      </c>
      <c r="T167" s="265">
        <v>15.0</v>
      </c>
      <c r="U167" s="266" t="s">
        <v>107</v>
      </c>
      <c r="V167" s="266" t="s">
        <v>658</v>
      </c>
    </row>
    <row r="168" ht="12.75" customHeight="1">
      <c r="A168" s="245" t="s">
        <v>659</v>
      </c>
      <c r="B168" s="246" t="s">
        <v>118</v>
      </c>
      <c r="C168" s="247" t="s">
        <v>119</v>
      </c>
      <c r="D168" s="247" t="s">
        <v>110</v>
      </c>
      <c r="E168" s="247" t="s">
        <v>243</v>
      </c>
      <c r="F168" s="248"/>
      <c r="G168" s="247" t="s">
        <v>103</v>
      </c>
      <c r="H168" s="247" t="s">
        <v>239</v>
      </c>
      <c r="I168" s="248" t="s">
        <v>105</v>
      </c>
      <c r="J168" s="247" t="s">
        <v>106</v>
      </c>
      <c r="K168" s="249">
        <v>230.69</v>
      </c>
      <c r="L168" s="250">
        <v>319736.0</v>
      </c>
      <c r="M168" s="249">
        <v>34.6</v>
      </c>
      <c r="N168" s="250">
        <v>47955.0</v>
      </c>
      <c r="O168" s="249">
        <v>0.0</v>
      </c>
      <c r="P168" s="250">
        <v>0.0</v>
      </c>
      <c r="Q168" s="251">
        <f t="shared" ref="Q168:R168" si="214">M168-O168</f>
        <v>34.6</v>
      </c>
      <c r="R168" s="252">
        <f t="shared" si="214"/>
        <v>47955</v>
      </c>
      <c r="S168" s="253">
        <v>1386.0</v>
      </c>
      <c r="T168" s="254">
        <v>15.0</v>
      </c>
      <c r="U168" s="255" t="s">
        <v>107</v>
      </c>
      <c r="V168" s="255"/>
    </row>
    <row r="169" ht="12.75" customHeight="1">
      <c r="A169" s="245" t="s">
        <v>660</v>
      </c>
      <c r="B169" s="246" t="s">
        <v>118</v>
      </c>
      <c r="C169" s="247" t="s">
        <v>119</v>
      </c>
      <c r="D169" s="247" t="s">
        <v>110</v>
      </c>
      <c r="E169" s="247" t="s">
        <v>243</v>
      </c>
      <c r="F169" s="248"/>
      <c r="G169" s="247" t="s">
        <v>103</v>
      </c>
      <c r="H169" s="247" t="s">
        <v>239</v>
      </c>
      <c r="I169" s="248" t="s">
        <v>105</v>
      </c>
      <c r="J169" s="247" t="s">
        <v>106</v>
      </c>
      <c r="K169" s="251">
        <f t="shared" ref="K169:R169" si="215">-K168</f>
        <v>-230.69</v>
      </c>
      <c r="L169" s="252">
        <f t="shared" si="215"/>
        <v>-319736</v>
      </c>
      <c r="M169" s="251">
        <f t="shared" si="215"/>
        <v>-34.6</v>
      </c>
      <c r="N169" s="252">
        <f t="shared" si="215"/>
        <v>-47955</v>
      </c>
      <c r="O169" s="251">
        <f t="shared" si="215"/>
        <v>0</v>
      </c>
      <c r="P169" s="252">
        <f t="shared" si="215"/>
        <v>0</v>
      </c>
      <c r="Q169" s="251">
        <f t="shared" si="215"/>
        <v>-34.6</v>
      </c>
      <c r="R169" s="252">
        <f t="shared" si="215"/>
        <v>-47955</v>
      </c>
      <c r="S169" s="253">
        <v>1386.0</v>
      </c>
      <c r="T169" s="254">
        <v>15.0</v>
      </c>
      <c r="U169" s="255" t="s">
        <v>107</v>
      </c>
      <c r="V169" s="255"/>
    </row>
    <row r="170" ht="12.75" customHeight="1">
      <c r="A170" s="256" t="s">
        <v>661</v>
      </c>
      <c r="B170" s="257" t="s">
        <v>118</v>
      </c>
      <c r="C170" s="258" t="s">
        <v>119</v>
      </c>
      <c r="D170" s="258" t="s">
        <v>110</v>
      </c>
      <c r="E170" s="258" t="s">
        <v>243</v>
      </c>
      <c r="F170" s="259"/>
      <c r="G170" s="258" t="s">
        <v>103</v>
      </c>
      <c r="H170" s="258" t="s">
        <v>239</v>
      </c>
      <c r="I170" s="259" t="s">
        <v>105</v>
      </c>
      <c r="J170" s="258" t="s">
        <v>106</v>
      </c>
      <c r="K170" s="260">
        <f>ROUND(M170/0.15,2)</f>
        <v>74.2</v>
      </c>
      <c r="L170" s="261">
        <f>ROUND(N170/0.15,0)</f>
        <v>102840</v>
      </c>
      <c r="M170" s="260">
        <f t="shared" ref="M170:N170" si="216">Q170</f>
        <v>11.13</v>
      </c>
      <c r="N170" s="261">
        <f t="shared" si="216"/>
        <v>15426</v>
      </c>
      <c r="O170" s="262">
        <v>23.47</v>
      </c>
      <c r="P170" s="263">
        <v>32529.0</v>
      </c>
      <c r="Q170" s="260">
        <f t="shared" ref="Q170:R170" si="217">M168-O170</f>
        <v>11.13</v>
      </c>
      <c r="R170" s="261">
        <f t="shared" si="217"/>
        <v>15426</v>
      </c>
      <c r="S170" s="264">
        <v>1386.0</v>
      </c>
      <c r="T170" s="265">
        <v>15.0</v>
      </c>
      <c r="U170" s="266" t="s">
        <v>107</v>
      </c>
      <c r="V170" s="266" t="s">
        <v>662</v>
      </c>
    </row>
    <row r="171" ht="12.75" customHeight="1">
      <c r="A171" s="245" t="s">
        <v>663</v>
      </c>
      <c r="B171" s="246" t="s">
        <v>118</v>
      </c>
      <c r="C171" s="247" t="s">
        <v>119</v>
      </c>
      <c r="D171" s="247" t="s">
        <v>110</v>
      </c>
      <c r="E171" s="247" t="s">
        <v>243</v>
      </c>
      <c r="F171" s="248"/>
      <c r="G171" s="247" t="s">
        <v>139</v>
      </c>
      <c r="H171" s="247" t="s">
        <v>180</v>
      </c>
      <c r="I171" s="248" t="s">
        <v>105</v>
      </c>
      <c r="J171" s="247" t="s">
        <v>106</v>
      </c>
      <c r="K171" s="249">
        <v>300.5</v>
      </c>
      <c r="L171" s="250">
        <v>416493.0</v>
      </c>
      <c r="M171" s="249">
        <v>45.07</v>
      </c>
      <c r="N171" s="250">
        <v>62467.0</v>
      </c>
      <c r="O171" s="249">
        <v>0.0</v>
      </c>
      <c r="P171" s="250">
        <v>0.0</v>
      </c>
      <c r="Q171" s="251">
        <f t="shared" ref="Q171:R171" si="218">M171-O171</f>
        <v>45.07</v>
      </c>
      <c r="R171" s="252">
        <f t="shared" si="218"/>
        <v>62467</v>
      </c>
      <c r="S171" s="253">
        <v>1386.0</v>
      </c>
      <c r="T171" s="254">
        <v>15.0</v>
      </c>
      <c r="U171" s="255" t="s">
        <v>107</v>
      </c>
      <c r="V171" s="255"/>
    </row>
    <row r="172" ht="12.75" customHeight="1">
      <c r="A172" s="245" t="s">
        <v>664</v>
      </c>
      <c r="B172" s="246" t="s">
        <v>118</v>
      </c>
      <c r="C172" s="247" t="s">
        <v>119</v>
      </c>
      <c r="D172" s="247" t="s">
        <v>110</v>
      </c>
      <c r="E172" s="247" t="s">
        <v>243</v>
      </c>
      <c r="F172" s="248"/>
      <c r="G172" s="247" t="s">
        <v>139</v>
      </c>
      <c r="H172" s="247" t="s">
        <v>180</v>
      </c>
      <c r="I172" s="248" t="s">
        <v>105</v>
      </c>
      <c r="J172" s="247" t="s">
        <v>106</v>
      </c>
      <c r="K172" s="251">
        <f t="shared" ref="K172:R172" si="219">-K171</f>
        <v>-300.5</v>
      </c>
      <c r="L172" s="252">
        <f t="shared" si="219"/>
        <v>-416493</v>
      </c>
      <c r="M172" s="251">
        <f t="shared" si="219"/>
        <v>-45.07</v>
      </c>
      <c r="N172" s="252">
        <f t="shared" si="219"/>
        <v>-62467</v>
      </c>
      <c r="O172" s="251">
        <f t="shared" si="219"/>
        <v>0</v>
      </c>
      <c r="P172" s="252">
        <f t="shared" si="219"/>
        <v>0</v>
      </c>
      <c r="Q172" s="251">
        <f t="shared" si="219"/>
        <v>-45.07</v>
      </c>
      <c r="R172" s="252">
        <f t="shared" si="219"/>
        <v>-62467</v>
      </c>
      <c r="S172" s="253">
        <v>1386.0</v>
      </c>
      <c r="T172" s="254">
        <v>15.0</v>
      </c>
      <c r="U172" s="255" t="s">
        <v>107</v>
      </c>
      <c r="V172" s="255"/>
    </row>
    <row r="173" ht="12.75" customHeight="1">
      <c r="A173" s="256" t="s">
        <v>665</v>
      </c>
      <c r="B173" s="257" t="s">
        <v>118</v>
      </c>
      <c r="C173" s="258" t="s">
        <v>119</v>
      </c>
      <c r="D173" s="258" t="s">
        <v>110</v>
      </c>
      <c r="E173" s="258" t="s">
        <v>243</v>
      </c>
      <c r="F173" s="259"/>
      <c r="G173" s="258" t="s">
        <v>139</v>
      </c>
      <c r="H173" s="258" t="s">
        <v>180</v>
      </c>
      <c r="I173" s="259" t="s">
        <v>105</v>
      </c>
      <c r="J173" s="258" t="s">
        <v>106</v>
      </c>
      <c r="K173" s="260">
        <f>ROUND(M173/0.15,2)</f>
        <v>81.13</v>
      </c>
      <c r="L173" s="261">
        <f>ROUND(N173/0.15,0)</f>
        <v>112453</v>
      </c>
      <c r="M173" s="260">
        <f t="shared" ref="M173:N173" si="220">Q173</f>
        <v>12.17</v>
      </c>
      <c r="N173" s="261">
        <f t="shared" si="220"/>
        <v>16868</v>
      </c>
      <c r="O173" s="262">
        <v>32.9</v>
      </c>
      <c r="P173" s="263">
        <v>45599.0</v>
      </c>
      <c r="Q173" s="260">
        <f t="shared" ref="Q173:R173" si="221">M171-O173</f>
        <v>12.17</v>
      </c>
      <c r="R173" s="261">
        <f t="shared" si="221"/>
        <v>16868</v>
      </c>
      <c r="S173" s="264">
        <v>1386.0</v>
      </c>
      <c r="T173" s="265">
        <v>15.0</v>
      </c>
      <c r="U173" s="266" t="s">
        <v>107</v>
      </c>
      <c r="V173" s="266" t="s">
        <v>666</v>
      </c>
    </row>
    <row r="174" ht="12.75" customHeight="1">
      <c r="A174" s="245" t="s">
        <v>667</v>
      </c>
      <c r="B174" s="246" t="s">
        <v>118</v>
      </c>
      <c r="C174" s="247" t="s">
        <v>119</v>
      </c>
      <c r="D174" s="247" t="s">
        <v>112</v>
      </c>
      <c r="E174" s="247" t="s">
        <v>244</v>
      </c>
      <c r="F174" s="248"/>
      <c r="G174" s="247" t="s">
        <v>127</v>
      </c>
      <c r="H174" s="247" t="s">
        <v>186</v>
      </c>
      <c r="I174" s="248" t="s">
        <v>105</v>
      </c>
      <c r="J174" s="247" t="s">
        <v>106</v>
      </c>
      <c r="K174" s="249">
        <v>839.7</v>
      </c>
      <c r="L174" s="250">
        <v>1160633.0</v>
      </c>
      <c r="M174" s="249">
        <v>125.95</v>
      </c>
      <c r="N174" s="250">
        <v>174088.0</v>
      </c>
      <c r="O174" s="249">
        <v>0.0</v>
      </c>
      <c r="P174" s="250">
        <v>0.0</v>
      </c>
      <c r="Q174" s="251">
        <f t="shared" ref="Q174:R174" si="222">M174-O174</f>
        <v>125.95</v>
      </c>
      <c r="R174" s="252">
        <f t="shared" si="222"/>
        <v>174088</v>
      </c>
      <c r="S174" s="253">
        <v>1382.2</v>
      </c>
      <c r="T174" s="254">
        <v>15.0</v>
      </c>
      <c r="U174" s="255" t="s">
        <v>107</v>
      </c>
      <c r="V174" s="255"/>
    </row>
    <row r="175" ht="12.75" customHeight="1">
      <c r="A175" s="245" t="s">
        <v>668</v>
      </c>
      <c r="B175" s="246" t="s">
        <v>118</v>
      </c>
      <c r="C175" s="247" t="s">
        <v>119</v>
      </c>
      <c r="D175" s="247" t="s">
        <v>112</v>
      </c>
      <c r="E175" s="247" t="s">
        <v>244</v>
      </c>
      <c r="F175" s="248"/>
      <c r="G175" s="247" t="s">
        <v>127</v>
      </c>
      <c r="H175" s="247" t="s">
        <v>186</v>
      </c>
      <c r="I175" s="248" t="s">
        <v>105</v>
      </c>
      <c r="J175" s="247" t="s">
        <v>106</v>
      </c>
      <c r="K175" s="251">
        <f t="shared" ref="K175:R175" si="223">-K174</f>
        <v>-839.7</v>
      </c>
      <c r="L175" s="252">
        <f t="shared" si="223"/>
        <v>-1160633</v>
      </c>
      <c r="M175" s="251">
        <f t="shared" si="223"/>
        <v>-125.95</v>
      </c>
      <c r="N175" s="252">
        <f t="shared" si="223"/>
        <v>-174088</v>
      </c>
      <c r="O175" s="251">
        <f t="shared" si="223"/>
        <v>0</v>
      </c>
      <c r="P175" s="252">
        <f t="shared" si="223"/>
        <v>0</v>
      </c>
      <c r="Q175" s="251">
        <f t="shared" si="223"/>
        <v>-125.95</v>
      </c>
      <c r="R175" s="252">
        <f t="shared" si="223"/>
        <v>-174088</v>
      </c>
      <c r="S175" s="253">
        <v>1382.2</v>
      </c>
      <c r="T175" s="254">
        <v>15.0</v>
      </c>
      <c r="U175" s="255" t="s">
        <v>107</v>
      </c>
      <c r="V175" s="255"/>
    </row>
    <row r="176" ht="12.75" customHeight="1">
      <c r="A176" s="256" t="s">
        <v>669</v>
      </c>
      <c r="B176" s="257" t="s">
        <v>118</v>
      </c>
      <c r="C176" s="258" t="s">
        <v>119</v>
      </c>
      <c r="D176" s="258" t="s">
        <v>112</v>
      </c>
      <c r="E176" s="258" t="s">
        <v>244</v>
      </c>
      <c r="F176" s="259"/>
      <c r="G176" s="258" t="s">
        <v>127</v>
      </c>
      <c r="H176" s="258" t="s">
        <v>186</v>
      </c>
      <c r="I176" s="259" t="s">
        <v>105</v>
      </c>
      <c r="J176" s="258" t="s">
        <v>106</v>
      </c>
      <c r="K176" s="260">
        <f>ROUND(M176/0.15,2)</f>
        <v>397.53</v>
      </c>
      <c r="L176" s="261">
        <f>ROUND(N176/0.15,0)</f>
        <v>549467</v>
      </c>
      <c r="M176" s="260">
        <f t="shared" ref="M176:N176" si="224">Q176</f>
        <v>59.63</v>
      </c>
      <c r="N176" s="261">
        <f t="shared" si="224"/>
        <v>82420</v>
      </c>
      <c r="O176" s="262">
        <v>66.32</v>
      </c>
      <c r="P176" s="263">
        <v>91668.0</v>
      </c>
      <c r="Q176" s="260">
        <f t="shared" ref="Q176:R176" si="225">M174-O176</f>
        <v>59.63</v>
      </c>
      <c r="R176" s="261">
        <f t="shared" si="225"/>
        <v>82420</v>
      </c>
      <c r="S176" s="264">
        <v>1382.2</v>
      </c>
      <c r="T176" s="265">
        <v>15.0</v>
      </c>
      <c r="U176" s="266" t="s">
        <v>107</v>
      </c>
      <c r="V176" s="266" t="s">
        <v>670</v>
      </c>
    </row>
    <row r="177" ht="12.75" customHeight="1">
      <c r="A177" s="245" t="s">
        <v>671</v>
      </c>
      <c r="B177" s="246" t="s">
        <v>118</v>
      </c>
      <c r="C177" s="247" t="s">
        <v>119</v>
      </c>
      <c r="D177" s="247" t="s">
        <v>112</v>
      </c>
      <c r="E177" s="247" t="s">
        <v>244</v>
      </c>
      <c r="F177" s="248"/>
      <c r="G177" s="247" t="s">
        <v>103</v>
      </c>
      <c r="H177" s="247" t="s">
        <v>239</v>
      </c>
      <c r="I177" s="248" t="s">
        <v>105</v>
      </c>
      <c r="J177" s="247" t="s">
        <v>106</v>
      </c>
      <c r="K177" s="249">
        <v>231.38</v>
      </c>
      <c r="L177" s="250">
        <v>319813.0</v>
      </c>
      <c r="M177" s="249">
        <v>34.71</v>
      </c>
      <c r="N177" s="250">
        <v>47976.0</v>
      </c>
      <c r="O177" s="249">
        <v>0.0</v>
      </c>
      <c r="P177" s="250">
        <v>0.0</v>
      </c>
      <c r="Q177" s="251">
        <f t="shared" ref="Q177:R177" si="226">M177-O177</f>
        <v>34.71</v>
      </c>
      <c r="R177" s="252">
        <f t="shared" si="226"/>
        <v>47976</v>
      </c>
      <c r="S177" s="253">
        <v>1382.2</v>
      </c>
      <c r="T177" s="254">
        <v>15.0</v>
      </c>
      <c r="U177" s="255" t="s">
        <v>107</v>
      </c>
      <c r="V177" s="255"/>
    </row>
    <row r="178" ht="12.75" customHeight="1">
      <c r="A178" s="245" t="s">
        <v>672</v>
      </c>
      <c r="B178" s="246" t="s">
        <v>118</v>
      </c>
      <c r="C178" s="247" t="s">
        <v>119</v>
      </c>
      <c r="D178" s="247" t="s">
        <v>112</v>
      </c>
      <c r="E178" s="247" t="s">
        <v>244</v>
      </c>
      <c r="F178" s="248"/>
      <c r="G178" s="247" t="s">
        <v>103</v>
      </c>
      <c r="H178" s="247" t="s">
        <v>239</v>
      </c>
      <c r="I178" s="248" t="s">
        <v>105</v>
      </c>
      <c r="J178" s="247" t="s">
        <v>106</v>
      </c>
      <c r="K178" s="251">
        <f t="shared" ref="K178:R178" si="227">-K177</f>
        <v>-231.38</v>
      </c>
      <c r="L178" s="252">
        <f t="shared" si="227"/>
        <v>-319813</v>
      </c>
      <c r="M178" s="251">
        <f t="shared" si="227"/>
        <v>-34.71</v>
      </c>
      <c r="N178" s="252">
        <f t="shared" si="227"/>
        <v>-47976</v>
      </c>
      <c r="O178" s="251">
        <f t="shared" si="227"/>
        <v>0</v>
      </c>
      <c r="P178" s="252">
        <f t="shared" si="227"/>
        <v>0</v>
      </c>
      <c r="Q178" s="251">
        <f t="shared" si="227"/>
        <v>-34.71</v>
      </c>
      <c r="R178" s="252">
        <f t="shared" si="227"/>
        <v>-47976</v>
      </c>
      <c r="S178" s="253">
        <v>1382.2</v>
      </c>
      <c r="T178" s="254">
        <v>15.0</v>
      </c>
      <c r="U178" s="255" t="s">
        <v>107</v>
      </c>
      <c r="V178" s="255"/>
    </row>
    <row r="179" ht="12.75" customHeight="1">
      <c r="A179" s="256" t="s">
        <v>673</v>
      </c>
      <c r="B179" s="257" t="s">
        <v>118</v>
      </c>
      <c r="C179" s="258" t="s">
        <v>119</v>
      </c>
      <c r="D179" s="258" t="s">
        <v>112</v>
      </c>
      <c r="E179" s="258" t="s">
        <v>244</v>
      </c>
      <c r="F179" s="259"/>
      <c r="G179" s="258" t="s">
        <v>103</v>
      </c>
      <c r="H179" s="258" t="s">
        <v>239</v>
      </c>
      <c r="I179" s="259" t="s">
        <v>105</v>
      </c>
      <c r="J179" s="258" t="s">
        <v>106</v>
      </c>
      <c r="K179" s="260">
        <f>ROUND(M179/0.15,2)</f>
        <v>74.47</v>
      </c>
      <c r="L179" s="261">
        <f>ROUND(N179/0.15,0)</f>
        <v>102927</v>
      </c>
      <c r="M179" s="260">
        <f t="shared" ref="M179:N179" si="228">Q179</f>
        <v>11.17</v>
      </c>
      <c r="N179" s="261">
        <f t="shared" si="228"/>
        <v>15439</v>
      </c>
      <c r="O179" s="262">
        <v>23.54</v>
      </c>
      <c r="P179" s="263">
        <v>32537.0</v>
      </c>
      <c r="Q179" s="260">
        <f t="shared" ref="Q179:R179" si="229">M177-O179</f>
        <v>11.17</v>
      </c>
      <c r="R179" s="261">
        <f t="shared" si="229"/>
        <v>15439</v>
      </c>
      <c r="S179" s="264">
        <v>1382.2</v>
      </c>
      <c r="T179" s="265">
        <v>15.0</v>
      </c>
      <c r="U179" s="266" t="s">
        <v>107</v>
      </c>
      <c r="V179" s="266" t="s">
        <v>674</v>
      </c>
    </row>
    <row r="180" ht="12.75" customHeight="1">
      <c r="A180" s="245" t="s">
        <v>675</v>
      </c>
      <c r="B180" s="246" t="s">
        <v>118</v>
      </c>
      <c r="C180" s="247" t="s">
        <v>119</v>
      </c>
      <c r="D180" s="247" t="s">
        <v>245</v>
      </c>
      <c r="E180" s="247" t="s">
        <v>246</v>
      </c>
      <c r="F180" s="248"/>
      <c r="G180" s="247" t="s">
        <v>103</v>
      </c>
      <c r="H180" s="247" t="s">
        <v>239</v>
      </c>
      <c r="I180" s="248" t="s">
        <v>105</v>
      </c>
      <c r="J180" s="247" t="s">
        <v>106</v>
      </c>
      <c r="K180" s="249">
        <v>100.0</v>
      </c>
      <c r="L180" s="250">
        <v>138630.0</v>
      </c>
      <c r="M180" s="249">
        <v>14.99</v>
      </c>
      <c r="N180" s="250">
        <v>20780.0</v>
      </c>
      <c r="O180" s="249">
        <v>0.0</v>
      </c>
      <c r="P180" s="250">
        <v>0.0</v>
      </c>
      <c r="Q180" s="251">
        <f t="shared" ref="Q180:R180" si="230">M180-O180</f>
        <v>14.99</v>
      </c>
      <c r="R180" s="252">
        <f t="shared" si="230"/>
        <v>20780</v>
      </c>
      <c r="S180" s="253">
        <v>1386.3</v>
      </c>
      <c r="T180" s="254">
        <v>15.0</v>
      </c>
      <c r="U180" s="255" t="s">
        <v>107</v>
      </c>
      <c r="V180" s="255"/>
    </row>
    <row r="181" ht="12.75" customHeight="1">
      <c r="A181" s="245" t="s">
        <v>676</v>
      </c>
      <c r="B181" s="246" t="s">
        <v>118</v>
      </c>
      <c r="C181" s="247" t="s">
        <v>119</v>
      </c>
      <c r="D181" s="247" t="s">
        <v>245</v>
      </c>
      <c r="E181" s="247" t="s">
        <v>246</v>
      </c>
      <c r="F181" s="248"/>
      <c r="G181" s="247" t="s">
        <v>103</v>
      </c>
      <c r="H181" s="247" t="s">
        <v>239</v>
      </c>
      <c r="I181" s="248" t="s">
        <v>105</v>
      </c>
      <c r="J181" s="247" t="s">
        <v>106</v>
      </c>
      <c r="K181" s="251">
        <f t="shared" ref="K181:R181" si="231">-K180</f>
        <v>-100</v>
      </c>
      <c r="L181" s="252">
        <f t="shared" si="231"/>
        <v>-138630</v>
      </c>
      <c r="M181" s="251">
        <f t="shared" si="231"/>
        <v>-14.99</v>
      </c>
      <c r="N181" s="252">
        <f t="shared" si="231"/>
        <v>-20780</v>
      </c>
      <c r="O181" s="251">
        <f t="shared" si="231"/>
        <v>0</v>
      </c>
      <c r="P181" s="252">
        <f t="shared" si="231"/>
        <v>0</v>
      </c>
      <c r="Q181" s="251">
        <f t="shared" si="231"/>
        <v>-14.99</v>
      </c>
      <c r="R181" s="252">
        <f t="shared" si="231"/>
        <v>-20780</v>
      </c>
      <c r="S181" s="253">
        <v>1386.3</v>
      </c>
      <c r="T181" s="254">
        <v>15.0</v>
      </c>
      <c r="U181" s="255" t="s">
        <v>107</v>
      </c>
      <c r="V181" s="255"/>
    </row>
    <row r="182" ht="12.75" customHeight="1">
      <c r="A182" s="256" t="s">
        <v>677</v>
      </c>
      <c r="B182" s="257" t="s">
        <v>118</v>
      </c>
      <c r="C182" s="258" t="s">
        <v>119</v>
      </c>
      <c r="D182" s="258" t="s">
        <v>245</v>
      </c>
      <c r="E182" s="258" t="s">
        <v>246</v>
      </c>
      <c r="F182" s="259"/>
      <c r="G182" s="258" t="s">
        <v>103</v>
      </c>
      <c r="H182" s="258" t="s">
        <v>239</v>
      </c>
      <c r="I182" s="259" t="s">
        <v>105</v>
      </c>
      <c r="J182" s="258" t="s">
        <v>106</v>
      </c>
      <c r="K182" s="260">
        <f>ROUND(M182/0.15,2)</f>
        <v>32.07</v>
      </c>
      <c r="L182" s="261">
        <f>ROUND(N182/0.15,0)</f>
        <v>44447</v>
      </c>
      <c r="M182" s="260">
        <f t="shared" ref="M182:N182" si="232">Q182</f>
        <v>4.81</v>
      </c>
      <c r="N182" s="261">
        <f t="shared" si="232"/>
        <v>6667</v>
      </c>
      <c r="O182" s="262">
        <v>10.18</v>
      </c>
      <c r="P182" s="263">
        <v>14113.0</v>
      </c>
      <c r="Q182" s="260">
        <f t="shared" ref="Q182:R182" si="233">M180-O182</f>
        <v>4.81</v>
      </c>
      <c r="R182" s="261">
        <f t="shared" si="233"/>
        <v>6667</v>
      </c>
      <c r="S182" s="264">
        <v>1386.3</v>
      </c>
      <c r="T182" s="265">
        <v>15.0</v>
      </c>
      <c r="U182" s="266" t="s">
        <v>107</v>
      </c>
      <c r="V182" s="266" t="s">
        <v>678</v>
      </c>
    </row>
    <row r="183" ht="12.75" customHeight="1">
      <c r="A183" s="245" t="s">
        <v>679</v>
      </c>
      <c r="B183" s="246" t="s">
        <v>118</v>
      </c>
      <c r="C183" s="247" t="s">
        <v>119</v>
      </c>
      <c r="D183" s="247" t="s">
        <v>247</v>
      </c>
      <c r="E183" s="247" t="s">
        <v>248</v>
      </c>
      <c r="F183" s="248"/>
      <c r="G183" s="247" t="s">
        <v>103</v>
      </c>
      <c r="H183" s="247" t="s">
        <v>239</v>
      </c>
      <c r="I183" s="248" t="s">
        <v>105</v>
      </c>
      <c r="J183" s="247" t="s">
        <v>106</v>
      </c>
      <c r="K183" s="249">
        <v>94.89</v>
      </c>
      <c r="L183" s="250">
        <v>131678.0</v>
      </c>
      <c r="M183" s="249">
        <v>14.23</v>
      </c>
      <c r="N183" s="250">
        <v>19746.0</v>
      </c>
      <c r="O183" s="249">
        <v>0.0</v>
      </c>
      <c r="P183" s="250">
        <v>0.0</v>
      </c>
      <c r="Q183" s="251">
        <f t="shared" ref="Q183:R183" si="234">M183-O183</f>
        <v>14.23</v>
      </c>
      <c r="R183" s="252">
        <f t="shared" si="234"/>
        <v>19746</v>
      </c>
      <c r="S183" s="253">
        <v>1387.7</v>
      </c>
      <c r="T183" s="254">
        <v>15.0</v>
      </c>
      <c r="U183" s="255" t="s">
        <v>107</v>
      </c>
      <c r="V183" s="255"/>
    </row>
    <row r="184" ht="12.75" customHeight="1">
      <c r="A184" s="245" t="s">
        <v>680</v>
      </c>
      <c r="B184" s="246" t="s">
        <v>118</v>
      </c>
      <c r="C184" s="247" t="s">
        <v>119</v>
      </c>
      <c r="D184" s="247" t="s">
        <v>247</v>
      </c>
      <c r="E184" s="247" t="s">
        <v>248</v>
      </c>
      <c r="F184" s="248"/>
      <c r="G184" s="247" t="s">
        <v>103</v>
      </c>
      <c r="H184" s="247" t="s">
        <v>239</v>
      </c>
      <c r="I184" s="248" t="s">
        <v>105</v>
      </c>
      <c r="J184" s="247" t="s">
        <v>106</v>
      </c>
      <c r="K184" s="251">
        <f t="shared" ref="K184:R184" si="235">-K183</f>
        <v>-94.89</v>
      </c>
      <c r="L184" s="252">
        <f t="shared" si="235"/>
        <v>-131678</v>
      </c>
      <c r="M184" s="251">
        <f t="shared" si="235"/>
        <v>-14.23</v>
      </c>
      <c r="N184" s="252">
        <f t="shared" si="235"/>
        <v>-19746</v>
      </c>
      <c r="O184" s="251">
        <f t="shared" si="235"/>
        <v>0</v>
      </c>
      <c r="P184" s="252">
        <f t="shared" si="235"/>
        <v>0</v>
      </c>
      <c r="Q184" s="251">
        <f t="shared" si="235"/>
        <v>-14.23</v>
      </c>
      <c r="R184" s="252">
        <f t="shared" si="235"/>
        <v>-19746</v>
      </c>
      <c r="S184" s="253">
        <v>1387.7</v>
      </c>
      <c r="T184" s="254">
        <v>15.0</v>
      </c>
      <c r="U184" s="255" t="s">
        <v>107</v>
      </c>
      <c r="V184" s="255"/>
    </row>
    <row r="185" ht="12.75" customHeight="1">
      <c r="A185" s="256" t="s">
        <v>681</v>
      </c>
      <c r="B185" s="257" t="s">
        <v>118</v>
      </c>
      <c r="C185" s="258" t="s">
        <v>119</v>
      </c>
      <c r="D185" s="258" t="s">
        <v>247</v>
      </c>
      <c r="E185" s="258" t="s">
        <v>248</v>
      </c>
      <c r="F185" s="259"/>
      <c r="G185" s="258" t="s">
        <v>103</v>
      </c>
      <c r="H185" s="258" t="s">
        <v>239</v>
      </c>
      <c r="I185" s="259" t="s">
        <v>105</v>
      </c>
      <c r="J185" s="258" t="s">
        <v>106</v>
      </c>
      <c r="K185" s="260">
        <f>ROUND(M185/0.15,2)</f>
        <v>30.47</v>
      </c>
      <c r="L185" s="261">
        <f>ROUND(N185/0.15,0)</f>
        <v>42273</v>
      </c>
      <c r="M185" s="260">
        <f t="shared" ref="M185:N185" si="236">Q185</f>
        <v>4.57</v>
      </c>
      <c r="N185" s="261">
        <f t="shared" si="236"/>
        <v>6341</v>
      </c>
      <c r="O185" s="262">
        <v>9.66</v>
      </c>
      <c r="P185" s="263">
        <v>13405.0</v>
      </c>
      <c r="Q185" s="260">
        <f t="shared" ref="Q185:R185" si="237">M183-O185</f>
        <v>4.57</v>
      </c>
      <c r="R185" s="261">
        <f t="shared" si="237"/>
        <v>6341</v>
      </c>
      <c r="S185" s="264">
        <v>1387.7</v>
      </c>
      <c r="T185" s="265">
        <v>15.0</v>
      </c>
      <c r="U185" s="266" t="s">
        <v>107</v>
      </c>
      <c r="V185" s="266" t="s">
        <v>682</v>
      </c>
    </row>
    <row r="186" ht="12.75" customHeight="1">
      <c r="A186" s="245" t="s">
        <v>683</v>
      </c>
      <c r="B186" s="246" t="s">
        <v>118</v>
      </c>
      <c r="C186" s="247" t="s">
        <v>119</v>
      </c>
      <c r="D186" s="247" t="s">
        <v>114</v>
      </c>
      <c r="E186" s="247" t="s">
        <v>249</v>
      </c>
      <c r="F186" s="248"/>
      <c r="G186" s="247" t="s">
        <v>103</v>
      </c>
      <c r="H186" s="247" t="s">
        <v>239</v>
      </c>
      <c r="I186" s="248" t="s">
        <v>105</v>
      </c>
      <c r="J186" s="247" t="s">
        <v>106</v>
      </c>
      <c r="K186" s="249">
        <v>90.0</v>
      </c>
      <c r="L186" s="250">
        <v>125262.0</v>
      </c>
      <c r="M186" s="249">
        <v>13.5</v>
      </c>
      <c r="N186" s="250">
        <v>18789.0</v>
      </c>
      <c r="O186" s="249">
        <v>0.0</v>
      </c>
      <c r="P186" s="250">
        <v>0.0</v>
      </c>
      <c r="Q186" s="251">
        <f t="shared" ref="Q186:R186" si="238">M186-O186</f>
        <v>13.5</v>
      </c>
      <c r="R186" s="252">
        <f t="shared" si="238"/>
        <v>18789</v>
      </c>
      <c r="S186" s="253">
        <v>1391.8</v>
      </c>
      <c r="T186" s="254">
        <v>15.0</v>
      </c>
      <c r="U186" s="255" t="s">
        <v>107</v>
      </c>
      <c r="V186" s="255"/>
    </row>
    <row r="187" ht="12.75" customHeight="1">
      <c r="A187" s="245" t="s">
        <v>684</v>
      </c>
      <c r="B187" s="246" t="s">
        <v>118</v>
      </c>
      <c r="C187" s="247" t="s">
        <v>119</v>
      </c>
      <c r="D187" s="247" t="s">
        <v>114</v>
      </c>
      <c r="E187" s="247" t="s">
        <v>249</v>
      </c>
      <c r="F187" s="248"/>
      <c r="G187" s="247" t="s">
        <v>103</v>
      </c>
      <c r="H187" s="247" t="s">
        <v>239</v>
      </c>
      <c r="I187" s="248" t="s">
        <v>105</v>
      </c>
      <c r="J187" s="247" t="s">
        <v>106</v>
      </c>
      <c r="K187" s="251">
        <f t="shared" ref="K187:R187" si="239">-K186</f>
        <v>-90</v>
      </c>
      <c r="L187" s="252">
        <f t="shared" si="239"/>
        <v>-125262</v>
      </c>
      <c r="M187" s="251">
        <f t="shared" si="239"/>
        <v>-13.5</v>
      </c>
      <c r="N187" s="252">
        <f t="shared" si="239"/>
        <v>-18789</v>
      </c>
      <c r="O187" s="251">
        <f t="shared" si="239"/>
        <v>0</v>
      </c>
      <c r="P187" s="252">
        <f t="shared" si="239"/>
        <v>0</v>
      </c>
      <c r="Q187" s="251">
        <f t="shared" si="239"/>
        <v>-13.5</v>
      </c>
      <c r="R187" s="252">
        <f t="shared" si="239"/>
        <v>-18789</v>
      </c>
      <c r="S187" s="253">
        <v>1391.8</v>
      </c>
      <c r="T187" s="254">
        <v>15.0</v>
      </c>
      <c r="U187" s="255" t="s">
        <v>107</v>
      </c>
      <c r="V187" s="255"/>
    </row>
    <row r="188" ht="12.75" customHeight="1">
      <c r="A188" s="256" t="s">
        <v>685</v>
      </c>
      <c r="B188" s="257" t="s">
        <v>118</v>
      </c>
      <c r="C188" s="258" t="s">
        <v>119</v>
      </c>
      <c r="D188" s="258" t="s">
        <v>114</v>
      </c>
      <c r="E188" s="258" t="s">
        <v>249</v>
      </c>
      <c r="F188" s="259"/>
      <c r="G188" s="258" t="s">
        <v>103</v>
      </c>
      <c r="H188" s="258" t="s">
        <v>239</v>
      </c>
      <c r="I188" s="259" t="s">
        <v>105</v>
      </c>
      <c r="J188" s="258" t="s">
        <v>106</v>
      </c>
      <c r="K188" s="260">
        <f>ROUND(M188/0.15,2)</f>
        <v>28.93</v>
      </c>
      <c r="L188" s="261">
        <f>ROUND(N188/0.15,0)</f>
        <v>40267</v>
      </c>
      <c r="M188" s="260">
        <f t="shared" ref="M188:N188" si="240">Q188</f>
        <v>4.34</v>
      </c>
      <c r="N188" s="261">
        <f t="shared" si="240"/>
        <v>6040</v>
      </c>
      <c r="O188" s="262">
        <v>9.16</v>
      </c>
      <c r="P188" s="263">
        <v>12749.0</v>
      </c>
      <c r="Q188" s="260">
        <f t="shared" ref="Q188:R188" si="241">M186-O188</f>
        <v>4.34</v>
      </c>
      <c r="R188" s="261">
        <f t="shared" si="241"/>
        <v>6040</v>
      </c>
      <c r="S188" s="264">
        <v>1391.8</v>
      </c>
      <c r="T188" s="265">
        <v>15.0</v>
      </c>
      <c r="U188" s="266" t="s">
        <v>107</v>
      </c>
      <c r="V188" s="266" t="s">
        <v>686</v>
      </c>
    </row>
    <row r="189" ht="12.75" customHeight="1">
      <c r="A189" s="245" t="s">
        <v>687</v>
      </c>
      <c r="B189" s="246" t="s">
        <v>118</v>
      </c>
      <c r="C189" s="247" t="s">
        <v>119</v>
      </c>
      <c r="D189" s="247" t="s">
        <v>114</v>
      </c>
      <c r="E189" s="247" t="s">
        <v>114</v>
      </c>
      <c r="F189" s="248"/>
      <c r="G189" s="247" t="s">
        <v>116</v>
      </c>
      <c r="H189" s="247" t="s">
        <v>117</v>
      </c>
      <c r="I189" s="248" t="s">
        <v>105</v>
      </c>
      <c r="J189" s="247" t="s">
        <v>106</v>
      </c>
      <c r="K189" s="249">
        <v>861.12</v>
      </c>
      <c r="L189" s="250">
        <v>1198506.0</v>
      </c>
      <c r="M189" s="249">
        <v>129.17</v>
      </c>
      <c r="N189" s="250">
        <v>179778.0</v>
      </c>
      <c r="O189" s="249">
        <v>0.0</v>
      </c>
      <c r="P189" s="250">
        <v>0.0</v>
      </c>
      <c r="Q189" s="251">
        <f t="shared" ref="Q189:R189" si="242">M189-O189</f>
        <v>129.17</v>
      </c>
      <c r="R189" s="252">
        <f t="shared" si="242"/>
        <v>179778</v>
      </c>
      <c r="S189" s="253">
        <v>1391.8</v>
      </c>
      <c r="T189" s="254">
        <v>15.0</v>
      </c>
      <c r="U189" s="255" t="s">
        <v>107</v>
      </c>
      <c r="V189" s="255"/>
    </row>
    <row r="190" ht="12.75" customHeight="1">
      <c r="A190" s="245" t="s">
        <v>688</v>
      </c>
      <c r="B190" s="246" t="s">
        <v>118</v>
      </c>
      <c r="C190" s="247" t="s">
        <v>119</v>
      </c>
      <c r="D190" s="247" t="s">
        <v>114</v>
      </c>
      <c r="E190" s="247" t="s">
        <v>114</v>
      </c>
      <c r="F190" s="248"/>
      <c r="G190" s="247" t="s">
        <v>116</v>
      </c>
      <c r="H190" s="247" t="s">
        <v>117</v>
      </c>
      <c r="I190" s="248" t="s">
        <v>105</v>
      </c>
      <c r="J190" s="247" t="s">
        <v>106</v>
      </c>
      <c r="K190" s="251">
        <f t="shared" ref="K190:R190" si="243">-K189</f>
        <v>-861.12</v>
      </c>
      <c r="L190" s="252">
        <f t="shared" si="243"/>
        <v>-1198506</v>
      </c>
      <c r="M190" s="251">
        <f t="shared" si="243"/>
        <v>-129.17</v>
      </c>
      <c r="N190" s="252">
        <f t="shared" si="243"/>
        <v>-179778</v>
      </c>
      <c r="O190" s="251">
        <f t="shared" si="243"/>
        <v>0</v>
      </c>
      <c r="P190" s="252">
        <f t="shared" si="243"/>
        <v>0</v>
      </c>
      <c r="Q190" s="251">
        <f t="shared" si="243"/>
        <v>-129.17</v>
      </c>
      <c r="R190" s="252">
        <f t="shared" si="243"/>
        <v>-179778</v>
      </c>
      <c r="S190" s="253">
        <v>1391.8</v>
      </c>
      <c r="T190" s="254">
        <v>15.0</v>
      </c>
      <c r="U190" s="255" t="s">
        <v>107</v>
      </c>
      <c r="V190" s="255"/>
    </row>
    <row r="191" ht="12.75" customHeight="1">
      <c r="A191" s="256" t="s">
        <v>689</v>
      </c>
      <c r="B191" s="257" t="s">
        <v>118</v>
      </c>
      <c r="C191" s="258" t="s">
        <v>119</v>
      </c>
      <c r="D191" s="258" t="s">
        <v>114</v>
      </c>
      <c r="E191" s="258" t="s">
        <v>114</v>
      </c>
      <c r="F191" s="259"/>
      <c r="G191" s="258" t="s">
        <v>116</v>
      </c>
      <c r="H191" s="258" t="s">
        <v>117</v>
      </c>
      <c r="I191" s="259" t="s">
        <v>105</v>
      </c>
      <c r="J191" s="258" t="s">
        <v>106</v>
      </c>
      <c r="K191" s="260">
        <f>ROUND(M191/0.15,2)</f>
        <v>828.2</v>
      </c>
      <c r="L191" s="261">
        <f>ROUND(N191/0.15,0)</f>
        <v>1152687</v>
      </c>
      <c r="M191" s="260">
        <f t="shared" ref="M191:N191" si="244">Q191</f>
        <v>124.23</v>
      </c>
      <c r="N191" s="261">
        <f t="shared" si="244"/>
        <v>172903</v>
      </c>
      <c r="O191" s="262">
        <v>4.94</v>
      </c>
      <c r="P191" s="263">
        <v>6875.0</v>
      </c>
      <c r="Q191" s="260">
        <f t="shared" ref="Q191:R191" si="245">M189-O191</f>
        <v>124.23</v>
      </c>
      <c r="R191" s="261">
        <f t="shared" si="245"/>
        <v>172903</v>
      </c>
      <c r="S191" s="264">
        <v>1391.8</v>
      </c>
      <c r="T191" s="265">
        <v>15.0</v>
      </c>
      <c r="U191" s="266" t="s">
        <v>107</v>
      </c>
      <c r="V191" s="266" t="s">
        <v>690</v>
      </c>
    </row>
    <row r="192" ht="12.75" customHeight="1">
      <c r="A192" s="267" t="s">
        <v>691</v>
      </c>
      <c r="B192" s="268" t="s">
        <v>118</v>
      </c>
      <c r="C192" s="269" t="s">
        <v>119</v>
      </c>
      <c r="D192" s="269" t="s">
        <v>250</v>
      </c>
      <c r="E192" s="269" t="s">
        <v>250</v>
      </c>
      <c r="F192" s="270"/>
      <c r="G192" s="269" t="s">
        <v>251</v>
      </c>
      <c r="H192" s="270" t="s">
        <v>252</v>
      </c>
      <c r="I192" s="270" t="s">
        <v>105</v>
      </c>
      <c r="J192" s="269" t="s">
        <v>106</v>
      </c>
      <c r="K192" s="271">
        <v>1.66</v>
      </c>
      <c r="L192" s="272">
        <v>2303.0</v>
      </c>
      <c r="M192" s="271">
        <v>0.25</v>
      </c>
      <c r="N192" s="272">
        <v>346.0</v>
      </c>
      <c r="O192" s="271">
        <v>0.0</v>
      </c>
      <c r="P192" s="272">
        <v>0.0</v>
      </c>
      <c r="Q192" s="273">
        <f t="shared" ref="Q192:R192" si="246">M192-O192</f>
        <v>0.25</v>
      </c>
      <c r="R192" s="274">
        <f t="shared" si="246"/>
        <v>346</v>
      </c>
      <c r="S192" s="275">
        <v>1387.6</v>
      </c>
      <c r="T192" s="276">
        <v>15.0</v>
      </c>
      <c r="U192" s="277" t="s">
        <v>107</v>
      </c>
      <c r="V192" s="277"/>
    </row>
    <row r="193" ht="12.75" customHeight="1">
      <c r="A193" s="245" t="s">
        <v>692</v>
      </c>
      <c r="B193" s="246" t="s">
        <v>118</v>
      </c>
      <c r="C193" s="247" t="s">
        <v>119</v>
      </c>
      <c r="D193" s="247" t="s">
        <v>253</v>
      </c>
      <c r="E193" s="247" t="s">
        <v>254</v>
      </c>
      <c r="F193" s="248"/>
      <c r="G193" s="247" t="s">
        <v>103</v>
      </c>
      <c r="H193" s="247" t="s">
        <v>239</v>
      </c>
      <c r="I193" s="248" t="s">
        <v>105</v>
      </c>
      <c r="J193" s="247" t="s">
        <v>106</v>
      </c>
      <c r="K193" s="249">
        <v>92.8</v>
      </c>
      <c r="L193" s="250">
        <v>128871.0</v>
      </c>
      <c r="M193" s="249">
        <v>13.92</v>
      </c>
      <c r="N193" s="250">
        <v>19330.0</v>
      </c>
      <c r="O193" s="249">
        <v>0.0</v>
      </c>
      <c r="P193" s="250">
        <v>0.0</v>
      </c>
      <c r="Q193" s="251">
        <f t="shared" ref="Q193:R193" si="247">M193-O193</f>
        <v>13.92</v>
      </c>
      <c r="R193" s="252">
        <f t="shared" si="247"/>
        <v>19330</v>
      </c>
      <c r="S193" s="253">
        <v>1388.7</v>
      </c>
      <c r="T193" s="254">
        <v>15.0</v>
      </c>
      <c r="U193" s="255" t="s">
        <v>107</v>
      </c>
      <c r="V193" s="255"/>
    </row>
    <row r="194" ht="12.75" customHeight="1">
      <c r="A194" s="245" t="s">
        <v>693</v>
      </c>
      <c r="B194" s="246" t="s">
        <v>118</v>
      </c>
      <c r="C194" s="247" t="s">
        <v>119</v>
      </c>
      <c r="D194" s="247" t="s">
        <v>253</v>
      </c>
      <c r="E194" s="247" t="s">
        <v>254</v>
      </c>
      <c r="F194" s="248"/>
      <c r="G194" s="247" t="s">
        <v>103</v>
      </c>
      <c r="H194" s="247" t="s">
        <v>239</v>
      </c>
      <c r="I194" s="248" t="s">
        <v>105</v>
      </c>
      <c r="J194" s="247" t="s">
        <v>106</v>
      </c>
      <c r="K194" s="251">
        <f t="shared" ref="K194:R194" si="248">-K193</f>
        <v>-92.8</v>
      </c>
      <c r="L194" s="252">
        <f t="shared" si="248"/>
        <v>-128871</v>
      </c>
      <c r="M194" s="251">
        <f t="shared" si="248"/>
        <v>-13.92</v>
      </c>
      <c r="N194" s="252">
        <f t="shared" si="248"/>
        <v>-19330</v>
      </c>
      <c r="O194" s="251">
        <f t="shared" si="248"/>
        <v>0</v>
      </c>
      <c r="P194" s="252">
        <f t="shared" si="248"/>
        <v>0</v>
      </c>
      <c r="Q194" s="251">
        <f t="shared" si="248"/>
        <v>-13.92</v>
      </c>
      <c r="R194" s="252">
        <f t="shared" si="248"/>
        <v>-19330</v>
      </c>
      <c r="S194" s="253">
        <v>1388.7</v>
      </c>
      <c r="T194" s="254">
        <v>15.0</v>
      </c>
      <c r="U194" s="255" t="s">
        <v>107</v>
      </c>
      <c r="V194" s="255"/>
    </row>
    <row r="195" ht="12.75" customHeight="1">
      <c r="A195" s="256" t="s">
        <v>694</v>
      </c>
      <c r="B195" s="257" t="s">
        <v>118</v>
      </c>
      <c r="C195" s="258" t="s">
        <v>119</v>
      </c>
      <c r="D195" s="258" t="s">
        <v>253</v>
      </c>
      <c r="E195" s="258" t="s">
        <v>254</v>
      </c>
      <c r="F195" s="259"/>
      <c r="G195" s="258" t="s">
        <v>103</v>
      </c>
      <c r="H195" s="258" t="s">
        <v>239</v>
      </c>
      <c r="I195" s="259" t="s">
        <v>105</v>
      </c>
      <c r="J195" s="258" t="s">
        <v>106</v>
      </c>
      <c r="K195" s="260">
        <f>ROUND(M195/0.15,2)</f>
        <v>29.87</v>
      </c>
      <c r="L195" s="261">
        <f>ROUND(N195/0.15,0)</f>
        <v>41473</v>
      </c>
      <c r="M195" s="260">
        <f t="shared" ref="M195:N195" si="249">Q195</f>
        <v>4.48</v>
      </c>
      <c r="N195" s="261">
        <f t="shared" si="249"/>
        <v>6221</v>
      </c>
      <c r="O195" s="262">
        <v>9.44</v>
      </c>
      <c r="P195" s="263">
        <v>13109.0</v>
      </c>
      <c r="Q195" s="260">
        <f t="shared" ref="Q195:R195" si="250">M193-O195</f>
        <v>4.48</v>
      </c>
      <c r="R195" s="261">
        <f t="shared" si="250"/>
        <v>6221</v>
      </c>
      <c r="S195" s="264">
        <v>1388.7</v>
      </c>
      <c r="T195" s="265">
        <v>15.0</v>
      </c>
      <c r="U195" s="266" t="s">
        <v>107</v>
      </c>
      <c r="V195" s="266" t="s">
        <v>695</v>
      </c>
    </row>
    <row r="196" ht="12.75" customHeight="1">
      <c r="A196" s="245" t="s">
        <v>696</v>
      </c>
      <c r="B196" s="246" t="s">
        <v>118</v>
      </c>
      <c r="C196" s="247" t="s">
        <v>119</v>
      </c>
      <c r="D196" s="247" t="s">
        <v>255</v>
      </c>
      <c r="E196" s="247" t="s">
        <v>256</v>
      </c>
      <c r="F196" s="248"/>
      <c r="G196" s="247" t="s">
        <v>103</v>
      </c>
      <c r="H196" s="247" t="s">
        <v>239</v>
      </c>
      <c r="I196" s="248" t="s">
        <v>105</v>
      </c>
      <c r="J196" s="247" t="s">
        <v>106</v>
      </c>
      <c r="K196" s="249">
        <v>92.6</v>
      </c>
      <c r="L196" s="250">
        <v>129084.0</v>
      </c>
      <c r="M196" s="249">
        <v>13.89</v>
      </c>
      <c r="N196" s="250">
        <v>19362.0</v>
      </c>
      <c r="O196" s="249">
        <v>0.0</v>
      </c>
      <c r="P196" s="250">
        <v>0.0</v>
      </c>
      <c r="Q196" s="251">
        <f t="shared" ref="Q196:R196" si="251">M196-O196</f>
        <v>13.89</v>
      </c>
      <c r="R196" s="252">
        <f t="shared" si="251"/>
        <v>19362</v>
      </c>
      <c r="S196" s="253">
        <v>1394.0</v>
      </c>
      <c r="T196" s="254">
        <v>15.0</v>
      </c>
      <c r="U196" s="255" t="s">
        <v>107</v>
      </c>
      <c r="V196" s="255"/>
    </row>
    <row r="197" ht="12.75" customHeight="1">
      <c r="A197" s="245" t="s">
        <v>697</v>
      </c>
      <c r="B197" s="246" t="s">
        <v>118</v>
      </c>
      <c r="C197" s="247" t="s">
        <v>119</v>
      </c>
      <c r="D197" s="247" t="s">
        <v>255</v>
      </c>
      <c r="E197" s="247" t="s">
        <v>256</v>
      </c>
      <c r="F197" s="248"/>
      <c r="G197" s="247" t="s">
        <v>103</v>
      </c>
      <c r="H197" s="247" t="s">
        <v>239</v>
      </c>
      <c r="I197" s="248" t="s">
        <v>105</v>
      </c>
      <c r="J197" s="247" t="s">
        <v>106</v>
      </c>
      <c r="K197" s="251">
        <f t="shared" ref="K197:R197" si="252">-K196</f>
        <v>-92.6</v>
      </c>
      <c r="L197" s="252">
        <f t="shared" si="252"/>
        <v>-129084</v>
      </c>
      <c r="M197" s="251">
        <f t="shared" si="252"/>
        <v>-13.89</v>
      </c>
      <c r="N197" s="252">
        <f t="shared" si="252"/>
        <v>-19362</v>
      </c>
      <c r="O197" s="251">
        <f t="shared" si="252"/>
        <v>0</v>
      </c>
      <c r="P197" s="252">
        <f t="shared" si="252"/>
        <v>0</v>
      </c>
      <c r="Q197" s="251">
        <f t="shared" si="252"/>
        <v>-13.89</v>
      </c>
      <c r="R197" s="252">
        <f t="shared" si="252"/>
        <v>-19362</v>
      </c>
      <c r="S197" s="253">
        <v>1394.0</v>
      </c>
      <c r="T197" s="254">
        <v>15.0</v>
      </c>
      <c r="U197" s="255" t="s">
        <v>107</v>
      </c>
      <c r="V197" s="255"/>
    </row>
    <row r="198" ht="12.75" customHeight="1">
      <c r="A198" s="256" t="s">
        <v>698</v>
      </c>
      <c r="B198" s="257" t="s">
        <v>118</v>
      </c>
      <c r="C198" s="258" t="s">
        <v>119</v>
      </c>
      <c r="D198" s="258" t="s">
        <v>255</v>
      </c>
      <c r="E198" s="258" t="s">
        <v>256</v>
      </c>
      <c r="F198" s="259"/>
      <c r="G198" s="258" t="s">
        <v>103</v>
      </c>
      <c r="H198" s="258" t="s">
        <v>239</v>
      </c>
      <c r="I198" s="259" t="s">
        <v>105</v>
      </c>
      <c r="J198" s="258" t="s">
        <v>106</v>
      </c>
      <c r="K198" s="260">
        <f>ROUND(M198/0.15,2)</f>
        <v>29.8</v>
      </c>
      <c r="L198" s="261">
        <f>ROUND(N198/0.15,0)</f>
        <v>41540</v>
      </c>
      <c r="M198" s="260">
        <f t="shared" ref="M198:N198" si="253">Q198</f>
        <v>4.47</v>
      </c>
      <c r="N198" s="261">
        <f t="shared" si="253"/>
        <v>6231</v>
      </c>
      <c r="O198" s="262">
        <v>9.42</v>
      </c>
      <c r="P198" s="263">
        <v>13131.0</v>
      </c>
      <c r="Q198" s="260">
        <f t="shared" ref="Q198:R198" si="254">M196-O198</f>
        <v>4.47</v>
      </c>
      <c r="R198" s="261">
        <f t="shared" si="254"/>
        <v>6231</v>
      </c>
      <c r="S198" s="264">
        <v>1394.0</v>
      </c>
      <c r="T198" s="265">
        <v>15.0</v>
      </c>
      <c r="U198" s="266" t="s">
        <v>107</v>
      </c>
      <c r="V198" s="266" t="s">
        <v>699</v>
      </c>
    </row>
    <row r="199" ht="12.75" customHeight="1">
      <c r="A199" s="267" t="s">
        <v>700</v>
      </c>
      <c r="B199" s="268" t="s">
        <v>118</v>
      </c>
      <c r="C199" s="269" t="s">
        <v>119</v>
      </c>
      <c r="D199" s="269" t="s">
        <v>257</v>
      </c>
      <c r="E199" s="269" t="s">
        <v>255</v>
      </c>
      <c r="F199" s="270"/>
      <c r="G199" s="269" t="s">
        <v>216</v>
      </c>
      <c r="H199" s="270" t="s">
        <v>217</v>
      </c>
      <c r="I199" s="270" t="s">
        <v>105</v>
      </c>
      <c r="J199" s="269" t="s">
        <v>106</v>
      </c>
      <c r="K199" s="271">
        <v>37.57</v>
      </c>
      <c r="L199" s="272">
        <v>52406.0</v>
      </c>
      <c r="M199" s="271">
        <v>5.64</v>
      </c>
      <c r="N199" s="272">
        <v>7867.0</v>
      </c>
      <c r="O199" s="271">
        <v>0.0</v>
      </c>
      <c r="P199" s="272">
        <v>0.0</v>
      </c>
      <c r="Q199" s="273">
        <f t="shared" ref="Q199:R199" si="255">M199-O199</f>
        <v>5.64</v>
      </c>
      <c r="R199" s="274">
        <f t="shared" si="255"/>
        <v>7867</v>
      </c>
      <c r="S199" s="275">
        <v>1394.9</v>
      </c>
      <c r="T199" s="276">
        <v>15.0</v>
      </c>
      <c r="U199" s="277" t="s">
        <v>107</v>
      </c>
      <c r="V199" s="277"/>
    </row>
    <row r="200" ht="12.75" customHeight="1">
      <c r="A200" s="245" t="s">
        <v>701</v>
      </c>
      <c r="B200" s="246" t="s">
        <v>118</v>
      </c>
      <c r="C200" s="247" t="s">
        <v>119</v>
      </c>
      <c r="D200" s="247" t="s">
        <v>258</v>
      </c>
      <c r="E200" s="247" t="s">
        <v>259</v>
      </c>
      <c r="F200" s="248"/>
      <c r="G200" s="247" t="s">
        <v>103</v>
      </c>
      <c r="H200" s="247" t="s">
        <v>239</v>
      </c>
      <c r="I200" s="248" t="s">
        <v>105</v>
      </c>
      <c r="J200" s="247" t="s">
        <v>106</v>
      </c>
      <c r="K200" s="249">
        <v>92.1</v>
      </c>
      <c r="L200" s="250">
        <v>130008.0</v>
      </c>
      <c r="M200" s="249">
        <v>13.82</v>
      </c>
      <c r="N200" s="250">
        <v>19508.0</v>
      </c>
      <c r="O200" s="249">
        <v>0.0</v>
      </c>
      <c r="P200" s="250">
        <v>0.0</v>
      </c>
      <c r="Q200" s="251">
        <f t="shared" ref="Q200:R200" si="256">M200-O200</f>
        <v>13.82</v>
      </c>
      <c r="R200" s="252">
        <f t="shared" si="256"/>
        <v>19508</v>
      </c>
      <c r="S200" s="253">
        <v>1411.6</v>
      </c>
      <c r="T200" s="254">
        <v>15.0</v>
      </c>
      <c r="U200" s="255" t="s">
        <v>107</v>
      </c>
      <c r="V200" s="255"/>
    </row>
    <row r="201" ht="12.75" customHeight="1">
      <c r="A201" s="245" t="s">
        <v>702</v>
      </c>
      <c r="B201" s="246" t="s">
        <v>118</v>
      </c>
      <c r="C201" s="247" t="s">
        <v>119</v>
      </c>
      <c r="D201" s="247" t="s">
        <v>258</v>
      </c>
      <c r="E201" s="247" t="s">
        <v>259</v>
      </c>
      <c r="F201" s="248"/>
      <c r="G201" s="247" t="s">
        <v>103</v>
      </c>
      <c r="H201" s="247" t="s">
        <v>239</v>
      </c>
      <c r="I201" s="248" t="s">
        <v>105</v>
      </c>
      <c r="J201" s="247" t="s">
        <v>106</v>
      </c>
      <c r="K201" s="251">
        <f t="shared" ref="K201:R201" si="257">-K200</f>
        <v>-92.1</v>
      </c>
      <c r="L201" s="252">
        <f t="shared" si="257"/>
        <v>-130008</v>
      </c>
      <c r="M201" s="251">
        <f t="shared" si="257"/>
        <v>-13.82</v>
      </c>
      <c r="N201" s="252">
        <f t="shared" si="257"/>
        <v>-19508</v>
      </c>
      <c r="O201" s="251">
        <f t="shared" si="257"/>
        <v>0</v>
      </c>
      <c r="P201" s="252">
        <f t="shared" si="257"/>
        <v>0</v>
      </c>
      <c r="Q201" s="251">
        <f t="shared" si="257"/>
        <v>-13.82</v>
      </c>
      <c r="R201" s="252">
        <f t="shared" si="257"/>
        <v>-19508</v>
      </c>
      <c r="S201" s="253">
        <v>1411.6</v>
      </c>
      <c r="T201" s="254">
        <v>15.0</v>
      </c>
      <c r="U201" s="255" t="s">
        <v>107</v>
      </c>
      <c r="V201" s="255"/>
    </row>
    <row r="202" ht="12.75" customHeight="1">
      <c r="A202" s="256" t="s">
        <v>703</v>
      </c>
      <c r="B202" s="257" t="s">
        <v>118</v>
      </c>
      <c r="C202" s="258" t="s">
        <v>119</v>
      </c>
      <c r="D202" s="258" t="s">
        <v>258</v>
      </c>
      <c r="E202" s="258" t="s">
        <v>259</v>
      </c>
      <c r="F202" s="259"/>
      <c r="G202" s="258" t="s">
        <v>103</v>
      </c>
      <c r="H202" s="258" t="s">
        <v>239</v>
      </c>
      <c r="I202" s="259" t="s">
        <v>105</v>
      </c>
      <c r="J202" s="258" t="s">
        <v>106</v>
      </c>
      <c r="K202" s="260">
        <f>ROUND(M202/0.15,2)</f>
        <v>29.67</v>
      </c>
      <c r="L202" s="261">
        <f>ROUND(N202/0.15,0)</f>
        <v>41873</v>
      </c>
      <c r="M202" s="260">
        <f t="shared" ref="M202:N202" si="258">Q202</f>
        <v>4.45</v>
      </c>
      <c r="N202" s="261">
        <f t="shared" si="258"/>
        <v>6281</v>
      </c>
      <c r="O202" s="262">
        <v>9.37</v>
      </c>
      <c r="P202" s="263">
        <v>13227.0</v>
      </c>
      <c r="Q202" s="260">
        <f t="shared" ref="Q202:R202" si="259">M200-O202</f>
        <v>4.45</v>
      </c>
      <c r="R202" s="261">
        <f t="shared" si="259"/>
        <v>6281</v>
      </c>
      <c r="S202" s="264">
        <v>1411.6</v>
      </c>
      <c r="T202" s="265">
        <v>15.0</v>
      </c>
      <c r="U202" s="266" t="s">
        <v>107</v>
      </c>
      <c r="V202" s="266" t="s">
        <v>704</v>
      </c>
    </row>
    <row r="203" ht="12.75" customHeight="1">
      <c r="A203" s="267" t="s">
        <v>705</v>
      </c>
      <c r="B203" s="268" t="s">
        <v>118</v>
      </c>
      <c r="C203" s="269" t="s">
        <v>119</v>
      </c>
      <c r="D203" s="269" t="s">
        <v>260</v>
      </c>
      <c r="E203" s="269" t="s">
        <v>261</v>
      </c>
      <c r="F203" s="270"/>
      <c r="G203" s="269" t="s">
        <v>262</v>
      </c>
      <c r="H203" s="270" t="s">
        <v>263</v>
      </c>
      <c r="I203" s="270" t="s">
        <v>105</v>
      </c>
      <c r="J203" s="269" t="s">
        <v>106</v>
      </c>
      <c r="K203" s="271">
        <v>0.04</v>
      </c>
      <c r="L203" s="272">
        <v>56.0</v>
      </c>
      <c r="M203" s="271">
        <v>0.01</v>
      </c>
      <c r="N203" s="272">
        <v>14.0</v>
      </c>
      <c r="O203" s="271">
        <v>0.0</v>
      </c>
      <c r="P203" s="272">
        <v>0.0</v>
      </c>
      <c r="Q203" s="273">
        <f t="shared" ref="Q203:R203" si="260">M203-O203</f>
        <v>0.01</v>
      </c>
      <c r="R203" s="274">
        <f t="shared" si="260"/>
        <v>14</v>
      </c>
      <c r="S203" s="275">
        <v>1401.9</v>
      </c>
      <c r="T203" s="276">
        <v>15.0</v>
      </c>
      <c r="U203" s="277" t="s">
        <v>107</v>
      </c>
      <c r="V203" s="277"/>
    </row>
    <row r="204" ht="12.75" customHeight="1">
      <c r="A204" s="267" t="s">
        <v>706</v>
      </c>
      <c r="B204" s="268" t="s">
        <v>118</v>
      </c>
      <c r="C204" s="269" t="s">
        <v>119</v>
      </c>
      <c r="D204" s="269" t="s">
        <v>264</v>
      </c>
      <c r="E204" s="269" t="s">
        <v>265</v>
      </c>
      <c r="F204" s="270"/>
      <c r="G204" s="269" t="s">
        <v>266</v>
      </c>
      <c r="H204" s="269" t="s">
        <v>267</v>
      </c>
      <c r="I204" s="270" t="s">
        <v>105</v>
      </c>
      <c r="J204" s="269" t="s">
        <v>106</v>
      </c>
      <c r="K204" s="271">
        <v>2.47</v>
      </c>
      <c r="L204" s="272">
        <v>3508.0</v>
      </c>
      <c r="M204" s="271">
        <v>0.52</v>
      </c>
      <c r="N204" s="272">
        <v>738.0</v>
      </c>
      <c r="O204" s="271">
        <v>0.0</v>
      </c>
      <c r="P204" s="272">
        <v>0.0</v>
      </c>
      <c r="Q204" s="273">
        <f t="shared" ref="Q204:R204" si="261">M204-O204</f>
        <v>0.52</v>
      </c>
      <c r="R204" s="274">
        <f t="shared" si="261"/>
        <v>738</v>
      </c>
      <c r="S204" s="275">
        <v>1420.5</v>
      </c>
      <c r="T204" s="276">
        <v>21.0</v>
      </c>
      <c r="U204" s="277" t="s">
        <v>107</v>
      </c>
      <c r="V204" s="277"/>
    </row>
    <row r="205" ht="12.75" customHeight="1">
      <c r="A205" s="267" t="s">
        <v>707</v>
      </c>
      <c r="B205" s="268" t="s">
        <v>118</v>
      </c>
      <c r="C205" s="269" t="s">
        <v>119</v>
      </c>
      <c r="D205" s="269" t="s">
        <v>268</v>
      </c>
      <c r="E205" s="270"/>
      <c r="F205" s="270"/>
      <c r="G205" s="269" t="s">
        <v>269</v>
      </c>
      <c r="H205" s="270" t="s">
        <v>708</v>
      </c>
      <c r="I205" s="270" t="s">
        <v>105</v>
      </c>
      <c r="J205" s="269" t="s">
        <v>150</v>
      </c>
      <c r="K205" s="271">
        <v>0.0</v>
      </c>
      <c r="L205" s="272">
        <v>3.0</v>
      </c>
      <c r="M205" s="271">
        <v>0.0</v>
      </c>
      <c r="N205" s="272">
        <v>0.0</v>
      </c>
      <c r="O205" s="271">
        <v>0.0</v>
      </c>
      <c r="P205" s="272">
        <v>0.0</v>
      </c>
      <c r="Q205" s="273">
        <f t="shared" ref="Q205:R205" si="262">M205-O205</f>
        <v>0</v>
      </c>
      <c r="R205" s="274">
        <f t="shared" si="262"/>
        <v>0</v>
      </c>
      <c r="S205" s="275">
        <v>1.0</v>
      </c>
      <c r="T205" s="276">
        <v>14.0</v>
      </c>
      <c r="U205" s="277" t="s">
        <v>151</v>
      </c>
      <c r="V205" s="277"/>
    </row>
    <row r="206" ht="12.75" customHeight="1">
      <c r="A206" s="267" t="s">
        <v>709</v>
      </c>
      <c r="B206" s="268" t="s">
        <v>118</v>
      </c>
      <c r="C206" s="269" t="s">
        <v>119</v>
      </c>
      <c r="D206" s="269" t="s">
        <v>268</v>
      </c>
      <c r="E206" s="270"/>
      <c r="F206" s="270"/>
      <c r="G206" s="269" t="s">
        <v>271</v>
      </c>
      <c r="H206" s="270" t="s">
        <v>710</v>
      </c>
      <c r="I206" s="270" t="s">
        <v>105</v>
      </c>
      <c r="J206" s="269" t="s">
        <v>150</v>
      </c>
      <c r="K206" s="271">
        <v>0.0</v>
      </c>
      <c r="L206" s="272">
        <v>0.0</v>
      </c>
      <c r="M206" s="271">
        <v>0.0</v>
      </c>
      <c r="N206" s="272">
        <v>0.0</v>
      </c>
      <c r="O206" s="271">
        <v>0.0</v>
      </c>
      <c r="P206" s="272">
        <v>0.0</v>
      </c>
      <c r="Q206" s="273">
        <f t="shared" ref="Q206:R206" si="263">M206-O206</f>
        <v>0</v>
      </c>
      <c r="R206" s="274">
        <f t="shared" si="263"/>
        <v>0</v>
      </c>
      <c r="S206" s="275">
        <v>1.0</v>
      </c>
      <c r="T206" s="276">
        <v>14.0</v>
      </c>
      <c r="U206" s="277" t="s">
        <v>151</v>
      </c>
      <c r="V206" s="277"/>
    </row>
    <row r="207" ht="12.75" customHeight="1">
      <c r="A207" s="267" t="s">
        <v>711</v>
      </c>
      <c r="B207" s="268" t="s">
        <v>118</v>
      </c>
      <c r="C207" s="269" t="s">
        <v>119</v>
      </c>
      <c r="D207" s="269" t="s">
        <v>273</v>
      </c>
      <c r="E207" s="270"/>
      <c r="F207" s="270"/>
      <c r="G207" s="269" t="s">
        <v>271</v>
      </c>
      <c r="H207" s="270" t="s">
        <v>712</v>
      </c>
      <c r="I207" s="270" t="s">
        <v>105</v>
      </c>
      <c r="J207" s="269" t="s">
        <v>150</v>
      </c>
      <c r="K207" s="271">
        <v>0.0</v>
      </c>
      <c r="L207" s="272">
        <v>0.0</v>
      </c>
      <c r="M207" s="271">
        <v>0.0</v>
      </c>
      <c r="N207" s="272">
        <v>0.0</v>
      </c>
      <c r="O207" s="271">
        <v>0.0</v>
      </c>
      <c r="P207" s="272">
        <v>0.0</v>
      </c>
      <c r="Q207" s="273">
        <f t="shared" ref="Q207:R207" si="264">M207-O207</f>
        <v>0</v>
      </c>
      <c r="R207" s="274">
        <f t="shared" si="264"/>
        <v>0</v>
      </c>
      <c r="S207" s="275">
        <v>1.0</v>
      </c>
      <c r="T207" s="276">
        <v>14.0</v>
      </c>
      <c r="U207" s="277" t="s">
        <v>151</v>
      </c>
      <c r="V207" s="277"/>
    </row>
    <row r="208" ht="12.75" customHeight="1">
      <c r="A208" s="245" t="s">
        <v>713</v>
      </c>
      <c r="B208" s="246" t="s">
        <v>118</v>
      </c>
      <c r="C208" s="247" t="s">
        <v>119</v>
      </c>
      <c r="D208" s="247" t="s">
        <v>275</v>
      </c>
      <c r="E208" s="247" t="s">
        <v>276</v>
      </c>
      <c r="F208" s="248"/>
      <c r="G208" s="247" t="s">
        <v>116</v>
      </c>
      <c r="H208" s="247" t="s">
        <v>117</v>
      </c>
      <c r="I208" s="248" t="s">
        <v>105</v>
      </c>
      <c r="J208" s="247" t="s">
        <v>106</v>
      </c>
      <c r="K208" s="249">
        <v>989.11</v>
      </c>
      <c r="L208" s="250">
        <v>1438165.0</v>
      </c>
      <c r="M208" s="249">
        <v>148.37</v>
      </c>
      <c r="N208" s="250">
        <v>215729.0</v>
      </c>
      <c r="O208" s="249">
        <v>0.0</v>
      </c>
      <c r="P208" s="250">
        <v>0.0</v>
      </c>
      <c r="Q208" s="251">
        <f t="shared" ref="Q208:R208" si="265">M208-O208</f>
        <v>148.37</v>
      </c>
      <c r="R208" s="252">
        <f t="shared" si="265"/>
        <v>215729</v>
      </c>
      <c r="S208" s="253">
        <v>1454.0</v>
      </c>
      <c r="T208" s="254">
        <v>15.0</v>
      </c>
      <c r="U208" s="255" t="s">
        <v>107</v>
      </c>
      <c r="V208" s="255"/>
    </row>
    <row r="209" ht="12.75" customHeight="1">
      <c r="A209" s="245" t="s">
        <v>714</v>
      </c>
      <c r="B209" s="246" t="s">
        <v>118</v>
      </c>
      <c r="C209" s="247" t="s">
        <v>119</v>
      </c>
      <c r="D209" s="247" t="s">
        <v>275</v>
      </c>
      <c r="E209" s="247" t="s">
        <v>276</v>
      </c>
      <c r="F209" s="248"/>
      <c r="G209" s="247" t="s">
        <v>116</v>
      </c>
      <c r="H209" s="247" t="s">
        <v>117</v>
      </c>
      <c r="I209" s="248" t="s">
        <v>105</v>
      </c>
      <c r="J209" s="247" t="s">
        <v>106</v>
      </c>
      <c r="K209" s="251">
        <f t="shared" ref="K209:R209" si="266">-K208</f>
        <v>-989.11</v>
      </c>
      <c r="L209" s="252">
        <f t="shared" si="266"/>
        <v>-1438165</v>
      </c>
      <c r="M209" s="251">
        <f t="shared" si="266"/>
        <v>-148.37</v>
      </c>
      <c r="N209" s="252">
        <f t="shared" si="266"/>
        <v>-215729</v>
      </c>
      <c r="O209" s="251">
        <f t="shared" si="266"/>
        <v>0</v>
      </c>
      <c r="P209" s="252">
        <f t="shared" si="266"/>
        <v>0</v>
      </c>
      <c r="Q209" s="251">
        <f t="shared" si="266"/>
        <v>-148.37</v>
      </c>
      <c r="R209" s="252">
        <f t="shared" si="266"/>
        <v>-215729</v>
      </c>
      <c r="S209" s="253">
        <v>1454.0</v>
      </c>
      <c r="T209" s="254">
        <v>15.0</v>
      </c>
      <c r="U209" s="255" t="s">
        <v>107</v>
      </c>
      <c r="V209" s="255"/>
    </row>
    <row r="210" ht="12.75" customHeight="1">
      <c r="A210" s="256" t="s">
        <v>715</v>
      </c>
      <c r="B210" s="257" t="s">
        <v>118</v>
      </c>
      <c r="C210" s="258" t="s">
        <v>119</v>
      </c>
      <c r="D210" s="258" t="s">
        <v>275</v>
      </c>
      <c r="E210" s="258" t="s">
        <v>276</v>
      </c>
      <c r="F210" s="259"/>
      <c r="G210" s="258" t="s">
        <v>116</v>
      </c>
      <c r="H210" s="258" t="s">
        <v>117</v>
      </c>
      <c r="I210" s="259" t="s">
        <v>105</v>
      </c>
      <c r="J210" s="258" t="s">
        <v>106</v>
      </c>
      <c r="K210" s="260">
        <f>ROUND(M210/0.15,2)</f>
        <v>954.73</v>
      </c>
      <c r="L210" s="261">
        <f>ROUND(N210/0.15,0)</f>
        <v>1388173</v>
      </c>
      <c r="M210" s="260">
        <f t="shared" ref="M210:N210" si="267">Q210</f>
        <v>143.21</v>
      </c>
      <c r="N210" s="261">
        <f t="shared" si="267"/>
        <v>208226</v>
      </c>
      <c r="O210" s="262">
        <v>5.16</v>
      </c>
      <c r="P210" s="263">
        <v>7503.0</v>
      </c>
      <c r="Q210" s="260">
        <f t="shared" ref="Q210:R210" si="268">M208-O210</f>
        <v>143.21</v>
      </c>
      <c r="R210" s="261">
        <f t="shared" si="268"/>
        <v>208226</v>
      </c>
      <c r="S210" s="264">
        <v>1454.0</v>
      </c>
      <c r="T210" s="265">
        <v>15.0</v>
      </c>
      <c r="U210" s="266" t="s">
        <v>107</v>
      </c>
      <c r="V210" s="266" t="s">
        <v>716</v>
      </c>
    </row>
    <row r="211" ht="12.75" customHeight="1">
      <c r="A211" s="245" t="s">
        <v>717</v>
      </c>
      <c r="B211" s="246" t="s">
        <v>118</v>
      </c>
      <c r="C211" s="247" t="s">
        <v>119</v>
      </c>
      <c r="D211" s="247" t="s">
        <v>277</v>
      </c>
      <c r="E211" s="247" t="s">
        <v>278</v>
      </c>
      <c r="F211" s="248"/>
      <c r="G211" s="247" t="s">
        <v>279</v>
      </c>
      <c r="H211" s="247" t="s">
        <v>280</v>
      </c>
      <c r="I211" s="248" t="s">
        <v>105</v>
      </c>
      <c r="J211" s="247" t="s">
        <v>106</v>
      </c>
      <c r="K211" s="249">
        <v>0.45</v>
      </c>
      <c r="L211" s="250">
        <v>661.0</v>
      </c>
      <c r="M211" s="249">
        <v>0.07</v>
      </c>
      <c r="N211" s="250">
        <v>102.0</v>
      </c>
      <c r="O211" s="249">
        <v>0.0</v>
      </c>
      <c r="P211" s="250">
        <v>0.0</v>
      </c>
      <c r="Q211" s="251">
        <f t="shared" ref="Q211:R211" si="269">M211-O211</f>
        <v>0.07</v>
      </c>
      <c r="R211" s="252">
        <f t="shared" si="269"/>
        <v>102</v>
      </c>
      <c r="S211" s="253">
        <v>1469.5</v>
      </c>
      <c r="T211" s="254">
        <v>15.0</v>
      </c>
      <c r="U211" s="255" t="s">
        <v>107</v>
      </c>
      <c r="V211" s="255"/>
    </row>
    <row r="212" ht="12.75" customHeight="1">
      <c r="A212" s="245" t="s">
        <v>718</v>
      </c>
      <c r="B212" s="246" t="s">
        <v>118</v>
      </c>
      <c r="C212" s="247" t="s">
        <v>119</v>
      </c>
      <c r="D212" s="247" t="s">
        <v>277</v>
      </c>
      <c r="E212" s="247" t="s">
        <v>278</v>
      </c>
      <c r="F212" s="248"/>
      <c r="G212" s="247" t="s">
        <v>279</v>
      </c>
      <c r="H212" s="247" t="s">
        <v>280</v>
      </c>
      <c r="I212" s="248" t="s">
        <v>105</v>
      </c>
      <c r="J212" s="247" t="s">
        <v>106</v>
      </c>
      <c r="K212" s="251">
        <f t="shared" ref="K212:R212" si="270">-K211</f>
        <v>-0.45</v>
      </c>
      <c r="L212" s="252">
        <f t="shared" si="270"/>
        <v>-661</v>
      </c>
      <c r="M212" s="251">
        <f t="shared" si="270"/>
        <v>-0.07</v>
      </c>
      <c r="N212" s="252">
        <f t="shared" si="270"/>
        <v>-102</v>
      </c>
      <c r="O212" s="251">
        <f t="shared" si="270"/>
        <v>0</v>
      </c>
      <c r="P212" s="252">
        <f t="shared" si="270"/>
        <v>0</v>
      </c>
      <c r="Q212" s="251">
        <f t="shared" si="270"/>
        <v>-0.07</v>
      </c>
      <c r="R212" s="252">
        <f t="shared" si="270"/>
        <v>-102</v>
      </c>
      <c r="S212" s="253">
        <v>1469.5</v>
      </c>
      <c r="T212" s="254">
        <v>15.0</v>
      </c>
      <c r="U212" s="255" t="s">
        <v>107</v>
      </c>
      <c r="V212" s="255"/>
    </row>
    <row r="213" ht="12.75" customHeight="1">
      <c r="A213" s="256" t="s">
        <v>719</v>
      </c>
      <c r="B213" s="257" t="s">
        <v>118</v>
      </c>
      <c r="C213" s="258" t="s">
        <v>119</v>
      </c>
      <c r="D213" s="258" t="s">
        <v>277</v>
      </c>
      <c r="E213" s="258" t="s">
        <v>278</v>
      </c>
      <c r="F213" s="259"/>
      <c r="G213" s="258" t="s">
        <v>279</v>
      </c>
      <c r="H213" s="258" t="s">
        <v>280</v>
      </c>
      <c r="I213" s="259" t="s">
        <v>105</v>
      </c>
      <c r="J213" s="258" t="s">
        <v>106</v>
      </c>
      <c r="K213" s="260">
        <f>ROUND(M213/0.15,2)</f>
        <v>0.4</v>
      </c>
      <c r="L213" s="261">
        <f>ROUND(N213/0.15,0)</f>
        <v>580</v>
      </c>
      <c r="M213" s="260">
        <f t="shared" ref="M213:N213" si="271">Q213</f>
        <v>0.06</v>
      </c>
      <c r="N213" s="261">
        <f t="shared" si="271"/>
        <v>87</v>
      </c>
      <c r="O213" s="262">
        <v>0.01</v>
      </c>
      <c r="P213" s="263">
        <v>15.0</v>
      </c>
      <c r="Q213" s="260">
        <f t="shared" ref="Q213:R213" si="272">M211-O213</f>
        <v>0.06</v>
      </c>
      <c r="R213" s="261">
        <f t="shared" si="272"/>
        <v>87</v>
      </c>
      <c r="S213" s="264">
        <v>1469.5</v>
      </c>
      <c r="T213" s="265">
        <v>15.0</v>
      </c>
      <c r="U213" s="266" t="s">
        <v>107</v>
      </c>
      <c r="V213" s="266" t="s">
        <v>720</v>
      </c>
    </row>
    <row r="214" ht="12.75" customHeight="1">
      <c r="A214" s="267" t="s">
        <v>721</v>
      </c>
      <c r="B214" s="268" t="s">
        <v>118</v>
      </c>
      <c r="C214" s="269" t="s">
        <v>119</v>
      </c>
      <c r="D214" s="269" t="s">
        <v>277</v>
      </c>
      <c r="E214" s="269" t="s">
        <v>278</v>
      </c>
      <c r="F214" s="270"/>
      <c r="G214" s="269" t="s">
        <v>281</v>
      </c>
      <c r="H214" s="269" t="s">
        <v>282</v>
      </c>
      <c r="I214" s="270" t="s">
        <v>105</v>
      </c>
      <c r="J214" s="269" t="s">
        <v>106</v>
      </c>
      <c r="K214" s="271">
        <v>0.65</v>
      </c>
      <c r="L214" s="272">
        <v>955.0</v>
      </c>
      <c r="M214" s="271">
        <v>0.1</v>
      </c>
      <c r="N214" s="272">
        <v>146.0</v>
      </c>
      <c r="O214" s="271">
        <v>0.0</v>
      </c>
      <c r="P214" s="272">
        <v>0.0</v>
      </c>
      <c r="Q214" s="273">
        <f t="shared" ref="Q214:R214" si="273">M214-O214</f>
        <v>0.1</v>
      </c>
      <c r="R214" s="274">
        <f t="shared" si="273"/>
        <v>146</v>
      </c>
      <c r="S214" s="275">
        <v>1469.5</v>
      </c>
      <c r="T214" s="276">
        <v>15.0</v>
      </c>
      <c r="U214" s="277" t="s">
        <v>107</v>
      </c>
      <c r="V214" s="277"/>
    </row>
    <row r="215" ht="12.75" customHeight="1">
      <c r="A215" s="267" t="s">
        <v>722</v>
      </c>
      <c r="B215" s="268" t="s">
        <v>118</v>
      </c>
      <c r="C215" s="269" t="s">
        <v>119</v>
      </c>
      <c r="D215" s="269" t="s">
        <v>283</v>
      </c>
      <c r="E215" s="269" t="s">
        <v>277</v>
      </c>
      <c r="F215" s="270"/>
      <c r="G215" s="269" t="s">
        <v>284</v>
      </c>
      <c r="H215" s="269" t="s">
        <v>285</v>
      </c>
      <c r="I215" s="270" t="s">
        <v>105</v>
      </c>
      <c r="J215" s="269" t="s">
        <v>106</v>
      </c>
      <c r="K215" s="271">
        <v>1.84</v>
      </c>
      <c r="L215" s="272">
        <v>2683.0</v>
      </c>
      <c r="M215" s="271">
        <v>0.28</v>
      </c>
      <c r="N215" s="272">
        <v>408.0</v>
      </c>
      <c r="O215" s="271">
        <v>0.0</v>
      </c>
      <c r="P215" s="272">
        <v>0.0</v>
      </c>
      <c r="Q215" s="273">
        <f t="shared" ref="Q215:R215" si="274">M215-O215</f>
        <v>0.28</v>
      </c>
      <c r="R215" s="274">
        <f t="shared" si="274"/>
        <v>408</v>
      </c>
      <c r="S215" s="275">
        <v>1458.5</v>
      </c>
      <c r="T215" s="276">
        <v>15.0</v>
      </c>
      <c r="U215" s="277" t="s">
        <v>107</v>
      </c>
      <c r="V215" s="277"/>
    </row>
    <row r="216" ht="12.75" customHeight="1">
      <c r="A216" s="267" t="s">
        <v>723</v>
      </c>
      <c r="B216" s="268" t="s">
        <v>118</v>
      </c>
      <c r="C216" s="269" t="s">
        <v>119</v>
      </c>
      <c r="D216" s="269" t="s">
        <v>286</v>
      </c>
      <c r="E216" s="269" t="s">
        <v>287</v>
      </c>
      <c r="F216" s="270"/>
      <c r="G216" s="269" t="s">
        <v>288</v>
      </c>
      <c r="H216" s="269" t="s">
        <v>289</v>
      </c>
      <c r="I216" s="270" t="s">
        <v>105</v>
      </c>
      <c r="J216" s="269" t="s">
        <v>106</v>
      </c>
      <c r="K216" s="271">
        <v>28.46</v>
      </c>
      <c r="L216" s="272">
        <v>41628.0</v>
      </c>
      <c r="M216" s="271">
        <v>4.27</v>
      </c>
      <c r="N216" s="272">
        <v>6245.0</v>
      </c>
      <c r="O216" s="271">
        <v>0.0</v>
      </c>
      <c r="P216" s="272">
        <v>0.0</v>
      </c>
      <c r="Q216" s="273">
        <f t="shared" ref="Q216:R216" si="275">M216-O216</f>
        <v>4.27</v>
      </c>
      <c r="R216" s="274">
        <f t="shared" si="275"/>
        <v>6245</v>
      </c>
      <c r="S216" s="275">
        <v>1462.7</v>
      </c>
      <c r="T216" s="276">
        <v>15.0</v>
      </c>
      <c r="U216" s="277" t="s">
        <v>107</v>
      </c>
      <c r="V216" s="277"/>
    </row>
    <row r="217" ht="12.75" customHeight="1">
      <c r="A217" s="245" t="s">
        <v>724</v>
      </c>
      <c r="B217" s="246" t="s">
        <v>118</v>
      </c>
      <c r="C217" s="247" t="s">
        <v>119</v>
      </c>
      <c r="D217" s="247" t="s">
        <v>290</v>
      </c>
      <c r="E217" s="247" t="s">
        <v>291</v>
      </c>
      <c r="F217" s="248"/>
      <c r="G217" s="247" t="s">
        <v>116</v>
      </c>
      <c r="H217" s="247" t="s">
        <v>117</v>
      </c>
      <c r="I217" s="248" t="s">
        <v>105</v>
      </c>
      <c r="J217" s="247" t="s">
        <v>106</v>
      </c>
      <c r="K217" s="249">
        <v>310.35</v>
      </c>
      <c r="L217" s="250">
        <v>456866.0</v>
      </c>
      <c r="M217" s="249">
        <v>46.55</v>
      </c>
      <c r="N217" s="250">
        <v>68526.0</v>
      </c>
      <c r="O217" s="249">
        <v>0.0</v>
      </c>
      <c r="P217" s="250">
        <v>0.0</v>
      </c>
      <c r="Q217" s="251">
        <f t="shared" ref="Q217:R217" si="276">M217-O217</f>
        <v>46.55</v>
      </c>
      <c r="R217" s="252">
        <f t="shared" si="276"/>
        <v>68526</v>
      </c>
      <c r="S217" s="253">
        <v>1472.1</v>
      </c>
      <c r="T217" s="254">
        <v>15.0</v>
      </c>
      <c r="U217" s="255" t="s">
        <v>107</v>
      </c>
      <c r="V217" s="255"/>
    </row>
    <row r="218" ht="12.75" customHeight="1">
      <c r="A218" s="245" t="s">
        <v>725</v>
      </c>
      <c r="B218" s="246" t="s">
        <v>118</v>
      </c>
      <c r="C218" s="247" t="s">
        <v>119</v>
      </c>
      <c r="D218" s="247" t="s">
        <v>290</v>
      </c>
      <c r="E218" s="247" t="s">
        <v>291</v>
      </c>
      <c r="F218" s="248"/>
      <c r="G218" s="247" t="s">
        <v>116</v>
      </c>
      <c r="H218" s="247" t="s">
        <v>117</v>
      </c>
      <c r="I218" s="248" t="s">
        <v>105</v>
      </c>
      <c r="J218" s="247" t="s">
        <v>106</v>
      </c>
      <c r="K218" s="251">
        <f t="shared" ref="K218:R218" si="277">-K217</f>
        <v>-310.35</v>
      </c>
      <c r="L218" s="252">
        <f t="shared" si="277"/>
        <v>-456866</v>
      </c>
      <c r="M218" s="251">
        <f t="shared" si="277"/>
        <v>-46.55</v>
      </c>
      <c r="N218" s="252">
        <f t="shared" si="277"/>
        <v>-68526</v>
      </c>
      <c r="O218" s="251">
        <f t="shared" si="277"/>
        <v>0</v>
      </c>
      <c r="P218" s="252">
        <f t="shared" si="277"/>
        <v>0</v>
      </c>
      <c r="Q218" s="251">
        <f t="shared" si="277"/>
        <v>-46.55</v>
      </c>
      <c r="R218" s="252">
        <f t="shared" si="277"/>
        <v>-68526</v>
      </c>
      <c r="S218" s="253">
        <v>1472.1</v>
      </c>
      <c r="T218" s="254">
        <v>15.0</v>
      </c>
      <c r="U218" s="255" t="s">
        <v>107</v>
      </c>
      <c r="V218" s="255"/>
    </row>
    <row r="219" ht="12.75" customHeight="1">
      <c r="A219" s="256" t="s">
        <v>726</v>
      </c>
      <c r="B219" s="257" t="s">
        <v>118</v>
      </c>
      <c r="C219" s="258" t="s">
        <v>119</v>
      </c>
      <c r="D219" s="258" t="s">
        <v>290</v>
      </c>
      <c r="E219" s="258" t="s">
        <v>291</v>
      </c>
      <c r="F219" s="259"/>
      <c r="G219" s="258" t="s">
        <v>116</v>
      </c>
      <c r="H219" s="258" t="s">
        <v>117</v>
      </c>
      <c r="I219" s="259" t="s">
        <v>105</v>
      </c>
      <c r="J219" s="258" t="s">
        <v>106</v>
      </c>
      <c r="K219" s="260">
        <f>ROUND(M219/0.15,2)</f>
        <v>300.87</v>
      </c>
      <c r="L219" s="261">
        <f>ROUND(N219/0.15,0)</f>
        <v>442907</v>
      </c>
      <c r="M219" s="260">
        <f t="shared" ref="M219:N219" si="278">Q219</f>
        <v>45.13</v>
      </c>
      <c r="N219" s="261">
        <f t="shared" si="278"/>
        <v>66436</v>
      </c>
      <c r="O219" s="262">
        <v>1.42</v>
      </c>
      <c r="P219" s="263">
        <v>2090.0</v>
      </c>
      <c r="Q219" s="260">
        <f t="shared" ref="Q219:R219" si="279">M217-O219</f>
        <v>45.13</v>
      </c>
      <c r="R219" s="261">
        <f t="shared" si="279"/>
        <v>66436</v>
      </c>
      <c r="S219" s="264">
        <v>1472.1</v>
      </c>
      <c r="T219" s="265">
        <v>15.0</v>
      </c>
      <c r="U219" s="266" t="s">
        <v>107</v>
      </c>
      <c r="V219" s="266" t="s">
        <v>727</v>
      </c>
    </row>
    <row r="220" ht="12.75" customHeight="1">
      <c r="A220" s="267" t="s">
        <v>728</v>
      </c>
      <c r="B220" s="268" t="s">
        <v>118</v>
      </c>
      <c r="C220" s="269" t="s">
        <v>119</v>
      </c>
      <c r="D220" s="269" t="s">
        <v>292</v>
      </c>
      <c r="E220" s="269" t="s">
        <v>292</v>
      </c>
      <c r="F220" s="270"/>
      <c r="G220" s="269" t="s">
        <v>293</v>
      </c>
      <c r="H220" s="270" t="s">
        <v>294</v>
      </c>
      <c r="I220" s="270" t="s">
        <v>105</v>
      </c>
      <c r="J220" s="269" t="s">
        <v>106</v>
      </c>
      <c r="K220" s="271">
        <v>1.5</v>
      </c>
      <c r="L220" s="272">
        <v>2205.0</v>
      </c>
      <c r="M220" s="271">
        <v>0.23</v>
      </c>
      <c r="N220" s="272">
        <v>338.0</v>
      </c>
      <c r="O220" s="271">
        <v>0.0</v>
      </c>
      <c r="P220" s="272">
        <v>0.0</v>
      </c>
      <c r="Q220" s="273">
        <f t="shared" ref="Q220:R220" si="280">M220-O220</f>
        <v>0.23</v>
      </c>
      <c r="R220" s="274">
        <f t="shared" si="280"/>
        <v>338</v>
      </c>
      <c r="S220" s="275">
        <v>1470.4</v>
      </c>
      <c r="T220" s="276">
        <v>15.0</v>
      </c>
      <c r="U220" s="277" t="s">
        <v>107</v>
      </c>
      <c r="V220" s="277"/>
    </row>
    <row r="221" ht="12.75" customHeight="1">
      <c r="A221" s="267" t="s">
        <v>729</v>
      </c>
      <c r="B221" s="268" t="s">
        <v>118</v>
      </c>
      <c r="C221" s="269" t="s">
        <v>119</v>
      </c>
      <c r="D221" s="269" t="s">
        <v>295</v>
      </c>
      <c r="E221" s="269" t="s">
        <v>295</v>
      </c>
      <c r="F221" s="270"/>
      <c r="G221" s="269" t="s">
        <v>296</v>
      </c>
      <c r="H221" s="269" t="s">
        <v>297</v>
      </c>
      <c r="I221" s="270" t="s">
        <v>105</v>
      </c>
      <c r="J221" s="269" t="s">
        <v>106</v>
      </c>
      <c r="K221" s="271">
        <v>42.8</v>
      </c>
      <c r="L221" s="272">
        <v>62513.0</v>
      </c>
      <c r="M221" s="271">
        <v>6.42</v>
      </c>
      <c r="N221" s="272">
        <v>9377.0</v>
      </c>
      <c r="O221" s="271">
        <v>0.0</v>
      </c>
      <c r="P221" s="272">
        <v>0.0</v>
      </c>
      <c r="Q221" s="273">
        <f t="shared" ref="Q221:R221" si="281">M221-O221</f>
        <v>6.42</v>
      </c>
      <c r="R221" s="274">
        <f t="shared" si="281"/>
        <v>9377</v>
      </c>
      <c r="S221" s="275">
        <v>1460.6</v>
      </c>
      <c r="T221" s="276">
        <v>15.0</v>
      </c>
      <c r="U221" s="277" t="s">
        <v>107</v>
      </c>
      <c r="V221" s="277"/>
    </row>
    <row r="222" ht="12.75" customHeight="1">
      <c r="A222" s="245" t="s">
        <v>434</v>
      </c>
      <c r="B222" s="246" t="s">
        <v>359</v>
      </c>
      <c r="C222" s="247" t="s">
        <v>360</v>
      </c>
      <c r="D222" s="247" t="s">
        <v>361</v>
      </c>
      <c r="E222" s="248"/>
      <c r="F222" s="248"/>
      <c r="G222" s="247" t="s">
        <v>135</v>
      </c>
      <c r="H222" s="248" t="s">
        <v>730</v>
      </c>
      <c r="I222" s="248" t="s">
        <v>105</v>
      </c>
      <c r="J222" s="247" t="s">
        <v>106</v>
      </c>
      <c r="K222" s="249">
        <v>2.28</v>
      </c>
      <c r="L222" s="250">
        <v>3278.0</v>
      </c>
      <c r="M222" s="249">
        <v>0.34</v>
      </c>
      <c r="N222" s="250">
        <v>488.0</v>
      </c>
      <c r="O222" s="249">
        <v>0.34</v>
      </c>
      <c r="P222" s="250">
        <v>488.0</v>
      </c>
      <c r="Q222" s="251">
        <f t="shared" ref="Q222:R222" si="282">M222-O222</f>
        <v>0</v>
      </c>
      <c r="R222" s="252">
        <f t="shared" si="282"/>
        <v>0</v>
      </c>
      <c r="S222" s="253">
        <v>1437.9</v>
      </c>
      <c r="T222" s="254">
        <v>15.0</v>
      </c>
      <c r="U222" s="255" t="s">
        <v>107</v>
      </c>
      <c r="V222" s="255"/>
    </row>
    <row r="223" ht="12.75" customHeight="1">
      <c r="A223" s="245" t="s">
        <v>436</v>
      </c>
      <c r="B223" s="246" t="s">
        <v>359</v>
      </c>
      <c r="C223" s="247" t="s">
        <v>360</v>
      </c>
      <c r="D223" s="247" t="s">
        <v>361</v>
      </c>
      <c r="E223" s="248"/>
      <c r="F223" s="248"/>
      <c r="G223" s="247" t="s">
        <v>135</v>
      </c>
      <c r="H223" s="248" t="s">
        <v>731</v>
      </c>
      <c r="I223" s="248" t="s">
        <v>105</v>
      </c>
      <c r="J223" s="247" t="s">
        <v>106</v>
      </c>
      <c r="K223" s="251">
        <f t="shared" ref="K223:R223" si="283">-K222</f>
        <v>-2.28</v>
      </c>
      <c r="L223" s="252">
        <f t="shared" si="283"/>
        <v>-3278</v>
      </c>
      <c r="M223" s="251">
        <f t="shared" si="283"/>
        <v>-0.34</v>
      </c>
      <c r="N223" s="252">
        <f t="shared" si="283"/>
        <v>-488</v>
      </c>
      <c r="O223" s="251">
        <f t="shared" si="283"/>
        <v>-0.34</v>
      </c>
      <c r="P223" s="252">
        <f t="shared" si="283"/>
        <v>-488</v>
      </c>
      <c r="Q223" s="251">
        <f t="shared" si="283"/>
        <v>0</v>
      </c>
      <c r="R223" s="252">
        <f t="shared" si="283"/>
        <v>0</v>
      </c>
      <c r="S223" s="253">
        <v>1437.9</v>
      </c>
      <c r="T223" s="254">
        <v>15.0</v>
      </c>
      <c r="U223" s="255" t="s">
        <v>107</v>
      </c>
      <c r="V223" s="255"/>
    </row>
    <row r="224" ht="12.75" customHeight="1">
      <c r="A224" s="256" t="s">
        <v>438</v>
      </c>
      <c r="B224" s="257" t="s">
        <v>359</v>
      </c>
      <c r="C224" s="258" t="s">
        <v>360</v>
      </c>
      <c r="D224" s="258" t="s">
        <v>361</v>
      </c>
      <c r="E224" s="259"/>
      <c r="F224" s="259"/>
      <c r="G224" s="258" t="s">
        <v>135</v>
      </c>
      <c r="H224" s="259" t="s">
        <v>732</v>
      </c>
      <c r="I224" s="259" t="s">
        <v>105</v>
      </c>
      <c r="J224" s="258" t="s">
        <v>106</v>
      </c>
      <c r="K224" s="260">
        <f>ROUND(M224/0.15,2)</f>
        <v>0</v>
      </c>
      <c r="L224" s="261">
        <f>ROUND(N224/0.15,0)</f>
        <v>0</v>
      </c>
      <c r="M224" s="260">
        <f t="shared" ref="M224:N224" si="284">Q224</f>
        <v>0</v>
      </c>
      <c r="N224" s="261">
        <f t="shared" si="284"/>
        <v>0</v>
      </c>
      <c r="O224" s="262">
        <v>0.34</v>
      </c>
      <c r="P224" s="263">
        <v>488.0</v>
      </c>
      <c r="Q224" s="260">
        <f t="shared" ref="Q224:R224" si="285">M222-O224</f>
        <v>0</v>
      </c>
      <c r="R224" s="261">
        <f t="shared" si="285"/>
        <v>0</v>
      </c>
      <c r="S224" s="264">
        <v>1437.9</v>
      </c>
      <c r="T224" s="265">
        <v>15.0</v>
      </c>
      <c r="U224" s="266" t="s">
        <v>107</v>
      </c>
      <c r="V224" s="266" t="s">
        <v>733</v>
      </c>
    </row>
    <row r="225" ht="12.75" customHeight="1">
      <c r="A225" s="267" t="s">
        <v>467</v>
      </c>
      <c r="B225" s="268" t="s">
        <v>359</v>
      </c>
      <c r="C225" s="269" t="s">
        <v>360</v>
      </c>
      <c r="D225" s="269" t="s">
        <v>126</v>
      </c>
      <c r="E225" s="270"/>
      <c r="F225" s="270"/>
      <c r="G225" s="269" t="s">
        <v>288</v>
      </c>
      <c r="H225" s="270" t="s">
        <v>734</v>
      </c>
      <c r="I225" s="270" t="s">
        <v>105</v>
      </c>
      <c r="J225" s="269" t="s">
        <v>106</v>
      </c>
      <c r="K225" s="271">
        <v>0.82</v>
      </c>
      <c r="L225" s="272">
        <v>1175.0</v>
      </c>
      <c r="M225" s="271">
        <v>0.12</v>
      </c>
      <c r="N225" s="272">
        <v>171.0</v>
      </c>
      <c r="O225" s="271">
        <v>0.0</v>
      </c>
      <c r="P225" s="272">
        <v>0.0</v>
      </c>
      <c r="Q225" s="273">
        <f t="shared" ref="Q225:R225" si="286">M225-O225</f>
        <v>0.12</v>
      </c>
      <c r="R225" s="274">
        <f t="shared" si="286"/>
        <v>171</v>
      </c>
      <c r="S225" s="275">
        <v>1433.3</v>
      </c>
      <c r="T225" s="276">
        <v>15.0</v>
      </c>
      <c r="U225" s="277" t="s">
        <v>107</v>
      </c>
      <c r="V225" s="277"/>
    </row>
    <row r="226" ht="12.75" customHeight="1">
      <c r="A226" s="245" t="s">
        <v>448</v>
      </c>
      <c r="B226" s="246" t="s">
        <v>359</v>
      </c>
      <c r="C226" s="247" t="s">
        <v>360</v>
      </c>
      <c r="D226" s="247" t="s">
        <v>125</v>
      </c>
      <c r="E226" s="248"/>
      <c r="F226" s="248"/>
      <c r="G226" s="247" t="s">
        <v>127</v>
      </c>
      <c r="H226" s="248" t="s">
        <v>735</v>
      </c>
      <c r="I226" s="248" t="s">
        <v>105</v>
      </c>
      <c r="J226" s="247" t="s">
        <v>106</v>
      </c>
      <c r="K226" s="249">
        <v>4.98</v>
      </c>
      <c r="L226" s="250">
        <v>7235.0</v>
      </c>
      <c r="M226" s="249">
        <v>0.75</v>
      </c>
      <c r="N226" s="250">
        <v>1089.0</v>
      </c>
      <c r="O226" s="249">
        <v>0.4</v>
      </c>
      <c r="P226" s="250">
        <v>581.0</v>
      </c>
      <c r="Q226" s="251">
        <f t="shared" ref="Q226:R226" si="287">M226-O226</f>
        <v>0.35</v>
      </c>
      <c r="R226" s="252">
        <f t="shared" si="287"/>
        <v>508</v>
      </c>
      <c r="S226" s="253">
        <v>1453.0</v>
      </c>
      <c r="T226" s="254">
        <v>15.0</v>
      </c>
      <c r="U226" s="255" t="s">
        <v>107</v>
      </c>
      <c r="V226" s="255"/>
    </row>
    <row r="227" ht="12.75" customHeight="1">
      <c r="A227" s="245" t="s">
        <v>450</v>
      </c>
      <c r="B227" s="246" t="s">
        <v>359</v>
      </c>
      <c r="C227" s="247" t="s">
        <v>360</v>
      </c>
      <c r="D227" s="247" t="s">
        <v>125</v>
      </c>
      <c r="E227" s="248"/>
      <c r="F227" s="248"/>
      <c r="G227" s="247" t="s">
        <v>127</v>
      </c>
      <c r="H227" s="248" t="s">
        <v>736</v>
      </c>
      <c r="I227" s="248" t="s">
        <v>105</v>
      </c>
      <c r="J227" s="247" t="s">
        <v>106</v>
      </c>
      <c r="K227" s="251">
        <f t="shared" ref="K227:R227" si="288">-K226</f>
        <v>-4.98</v>
      </c>
      <c r="L227" s="252">
        <f t="shared" si="288"/>
        <v>-7235</v>
      </c>
      <c r="M227" s="251">
        <f t="shared" si="288"/>
        <v>-0.75</v>
      </c>
      <c r="N227" s="252">
        <f t="shared" si="288"/>
        <v>-1089</v>
      </c>
      <c r="O227" s="251">
        <f t="shared" si="288"/>
        <v>-0.4</v>
      </c>
      <c r="P227" s="252">
        <f t="shared" si="288"/>
        <v>-581</v>
      </c>
      <c r="Q227" s="251">
        <f t="shared" si="288"/>
        <v>-0.35</v>
      </c>
      <c r="R227" s="252">
        <f t="shared" si="288"/>
        <v>-508</v>
      </c>
      <c r="S227" s="253">
        <v>1453.0</v>
      </c>
      <c r="T227" s="254">
        <v>15.0</v>
      </c>
      <c r="U227" s="255" t="s">
        <v>107</v>
      </c>
      <c r="V227" s="255"/>
    </row>
    <row r="228" ht="12.75" customHeight="1">
      <c r="A228" s="256" t="s">
        <v>452</v>
      </c>
      <c r="B228" s="257" t="s">
        <v>359</v>
      </c>
      <c r="C228" s="258" t="s">
        <v>360</v>
      </c>
      <c r="D228" s="258" t="s">
        <v>125</v>
      </c>
      <c r="E228" s="259"/>
      <c r="F228" s="259"/>
      <c r="G228" s="258" t="s">
        <v>127</v>
      </c>
      <c r="H228" s="259" t="s">
        <v>737</v>
      </c>
      <c r="I228" s="259" t="s">
        <v>105</v>
      </c>
      <c r="J228" s="258" t="s">
        <v>106</v>
      </c>
      <c r="K228" s="260">
        <f>ROUND(M228/0.15,2)</f>
        <v>2.33</v>
      </c>
      <c r="L228" s="261">
        <f>ROUND(N228/0.15,0)</f>
        <v>3387</v>
      </c>
      <c r="M228" s="260">
        <f t="shared" ref="M228:N228" si="289">Q228</f>
        <v>0.35</v>
      </c>
      <c r="N228" s="261">
        <f t="shared" si="289"/>
        <v>508</v>
      </c>
      <c r="O228" s="262">
        <v>0.4</v>
      </c>
      <c r="P228" s="263">
        <v>581.0</v>
      </c>
      <c r="Q228" s="260">
        <f t="shared" ref="Q228:R228" si="290">M226-O228</f>
        <v>0.35</v>
      </c>
      <c r="R228" s="261">
        <f t="shared" si="290"/>
        <v>508</v>
      </c>
      <c r="S228" s="264">
        <v>1453.0</v>
      </c>
      <c r="T228" s="265">
        <v>15.0</v>
      </c>
      <c r="U228" s="266" t="s">
        <v>107</v>
      </c>
      <c r="V228" s="266" t="s">
        <v>738</v>
      </c>
    </row>
    <row r="229" ht="12.75" customHeight="1">
      <c r="A229" s="245" t="s">
        <v>455</v>
      </c>
      <c r="B229" s="246" t="s">
        <v>359</v>
      </c>
      <c r="C229" s="247" t="s">
        <v>360</v>
      </c>
      <c r="D229" s="247" t="s">
        <v>365</v>
      </c>
      <c r="E229" s="248"/>
      <c r="F229" s="248"/>
      <c r="G229" s="247" t="s">
        <v>131</v>
      </c>
      <c r="H229" s="248" t="s">
        <v>739</v>
      </c>
      <c r="I229" s="248" t="s">
        <v>105</v>
      </c>
      <c r="J229" s="247" t="s">
        <v>106</v>
      </c>
      <c r="K229" s="249">
        <v>8.37</v>
      </c>
      <c r="L229" s="250">
        <v>12164.0</v>
      </c>
      <c r="M229" s="249">
        <v>1.26</v>
      </c>
      <c r="N229" s="250">
        <v>1831.0</v>
      </c>
      <c r="O229" s="249">
        <v>1.22</v>
      </c>
      <c r="P229" s="250">
        <v>1773.0</v>
      </c>
      <c r="Q229" s="251">
        <f t="shared" ref="Q229:R229" si="291">M229-O229</f>
        <v>0.04</v>
      </c>
      <c r="R229" s="252">
        <f t="shared" si="291"/>
        <v>58</v>
      </c>
      <c r="S229" s="253">
        <v>1453.4</v>
      </c>
      <c r="T229" s="254">
        <v>15.0</v>
      </c>
      <c r="U229" s="255" t="s">
        <v>107</v>
      </c>
      <c r="V229" s="255"/>
    </row>
    <row r="230" ht="12.75" customHeight="1">
      <c r="A230" s="245" t="s">
        <v>457</v>
      </c>
      <c r="B230" s="246" t="s">
        <v>359</v>
      </c>
      <c r="C230" s="247" t="s">
        <v>360</v>
      </c>
      <c r="D230" s="247" t="s">
        <v>365</v>
      </c>
      <c r="E230" s="248"/>
      <c r="F230" s="248"/>
      <c r="G230" s="247" t="s">
        <v>131</v>
      </c>
      <c r="H230" s="248" t="s">
        <v>740</v>
      </c>
      <c r="I230" s="248" t="s">
        <v>105</v>
      </c>
      <c r="J230" s="247" t="s">
        <v>106</v>
      </c>
      <c r="K230" s="251">
        <f t="shared" ref="K230:R230" si="292">-K229</f>
        <v>-8.37</v>
      </c>
      <c r="L230" s="252">
        <f t="shared" si="292"/>
        <v>-12164</v>
      </c>
      <c r="M230" s="251">
        <f t="shared" si="292"/>
        <v>-1.26</v>
      </c>
      <c r="N230" s="252">
        <f t="shared" si="292"/>
        <v>-1831</v>
      </c>
      <c r="O230" s="251">
        <f t="shared" si="292"/>
        <v>-1.22</v>
      </c>
      <c r="P230" s="252">
        <f t="shared" si="292"/>
        <v>-1773</v>
      </c>
      <c r="Q230" s="251">
        <f t="shared" si="292"/>
        <v>-0.04</v>
      </c>
      <c r="R230" s="252">
        <f t="shared" si="292"/>
        <v>-58</v>
      </c>
      <c r="S230" s="253">
        <v>1453.4</v>
      </c>
      <c r="T230" s="254">
        <v>15.0</v>
      </c>
      <c r="U230" s="255" t="s">
        <v>107</v>
      </c>
      <c r="V230" s="255"/>
    </row>
    <row r="231" ht="12.75" customHeight="1">
      <c r="A231" s="256" t="s">
        <v>459</v>
      </c>
      <c r="B231" s="257" t="s">
        <v>359</v>
      </c>
      <c r="C231" s="258" t="s">
        <v>360</v>
      </c>
      <c r="D231" s="258" t="s">
        <v>365</v>
      </c>
      <c r="E231" s="259"/>
      <c r="F231" s="259"/>
      <c r="G231" s="258" t="s">
        <v>131</v>
      </c>
      <c r="H231" s="259" t="s">
        <v>741</v>
      </c>
      <c r="I231" s="259" t="s">
        <v>105</v>
      </c>
      <c r="J231" s="258" t="s">
        <v>106</v>
      </c>
      <c r="K231" s="260">
        <f>ROUND(M231/0.15,2)</f>
        <v>0.27</v>
      </c>
      <c r="L231" s="261">
        <f>ROUND(N231/0.15,0)</f>
        <v>387</v>
      </c>
      <c r="M231" s="260">
        <f t="shared" ref="M231:N231" si="293">Q231</f>
        <v>0.04</v>
      </c>
      <c r="N231" s="261">
        <f t="shared" si="293"/>
        <v>58</v>
      </c>
      <c r="O231" s="262">
        <v>1.22</v>
      </c>
      <c r="P231" s="263">
        <v>1773.0</v>
      </c>
      <c r="Q231" s="260">
        <f t="shared" ref="Q231:R231" si="294">M229-O231</f>
        <v>0.04</v>
      </c>
      <c r="R231" s="261">
        <f t="shared" si="294"/>
        <v>58</v>
      </c>
      <c r="S231" s="264">
        <v>1453.4</v>
      </c>
      <c r="T231" s="265">
        <v>15.0</v>
      </c>
      <c r="U231" s="266" t="s">
        <v>107</v>
      </c>
      <c r="V231" s="266" t="s">
        <v>742</v>
      </c>
    </row>
    <row r="232" ht="12.75" customHeight="1">
      <c r="A232" s="245" t="s">
        <v>462</v>
      </c>
      <c r="B232" s="246" t="s">
        <v>359</v>
      </c>
      <c r="C232" s="247" t="s">
        <v>360</v>
      </c>
      <c r="D232" s="247" t="s">
        <v>367</v>
      </c>
      <c r="E232" s="248"/>
      <c r="F232" s="248"/>
      <c r="G232" s="247" t="s">
        <v>135</v>
      </c>
      <c r="H232" s="248" t="s">
        <v>743</v>
      </c>
      <c r="I232" s="248" t="s">
        <v>105</v>
      </c>
      <c r="J232" s="247" t="s">
        <v>106</v>
      </c>
      <c r="K232" s="249">
        <v>12.13</v>
      </c>
      <c r="L232" s="250">
        <v>17507.0</v>
      </c>
      <c r="M232" s="249">
        <v>1.82</v>
      </c>
      <c r="N232" s="250">
        <v>2626.0</v>
      </c>
      <c r="O232" s="249">
        <v>1.82</v>
      </c>
      <c r="P232" s="250">
        <v>2626.0</v>
      </c>
      <c r="Q232" s="251">
        <f t="shared" ref="Q232:R232" si="295">M232-O232</f>
        <v>0</v>
      </c>
      <c r="R232" s="252">
        <f t="shared" si="295"/>
        <v>0</v>
      </c>
      <c r="S232" s="253">
        <v>1443.3</v>
      </c>
      <c r="T232" s="254">
        <v>15.0</v>
      </c>
      <c r="U232" s="255" t="s">
        <v>107</v>
      </c>
      <c r="V232" s="255"/>
    </row>
    <row r="233" ht="12.75" customHeight="1">
      <c r="A233" s="245" t="s">
        <v>463</v>
      </c>
      <c r="B233" s="246" t="s">
        <v>359</v>
      </c>
      <c r="C233" s="247" t="s">
        <v>360</v>
      </c>
      <c r="D233" s="247" t="s">
        <v>367</v>
      </c>
      <c r="E233" s="248"/>
      <c r="F233" s="248"/>
      <c r="G233" s="247" t="s">
        <v>135</v>
      </c>
      <c r="H233" s="248" t="s">
        <v>744</v>
      </c>
      <c r="I233" s="248" t="s">
        <v>105</v>
      </c>
      <c r="J233" s="247" t="s">
        <v>106</v>
      </c>
      <c r="K233" s="251">
        <f t="shared" ref="K233:R233" si="296">-K232</f>
        <v>-12.13</v>
      </c>
      <c r="L233" s="252">
        <f t="shared" si="296"/>
        <v>-17507</v>
      </c>
      <c r="M233" s="251">
        <f t="shared" si="296"/>
        <v>-1.82</v>
      </c>
      <c r="N233" s="252">
        <f t="shared" si="296"/>
        <v>-2626</v>
      </c>
      <c r="O233" s="251">
        <f t="shared" si="296"/>
        <v>-1.82</v>
      </c>
      <c r="P233" s="252">
        <f t="shared" si="296"/>
        <v>-2626</v>
      </c>
      <c r="Q233" s="251">
        <f t="shared" si="296"/>
        <v>0</v>
      </c>
      <c r="R233" s="252">
        <f t="shared" si="296"/>
        <v>0</v>
      </c>
      <c r="S233" s="253">
        <v>1443.3</v>
      </c>
      <c r="T233" s="254">
        <v>15.0</v>
      </c>
      <c r="U233" s="255" t="s">
        <v>107</v>
      </c>
      <c r="V233" s="255"/>
    </row>
    <row r="234" ht="12.75" customHeight="1">
      <c r="A234" s="256" t="s">
        <v>464</v>
      </c>
      <c r="B234" s="257" t="s">
        <v>359</v>
      </c>
      <c r="C234" s="258" t="s">
        <v>360</v>
      </c>
      <c r="D234" s="258" t="s">
        <v>367</v>
      </c>
      <c r="E234" s="259"/>
      <c r="F234" s="259"/>
      <c r="G234" s="258" t="s">
        <v>135</v>
      </c>
      <c r="H234" s="259" t="s">
        <v>745</v>
      </c>
      <c r="I234" s="259" t="s">
        <v>105</v>
      </c>
      <c r="J234" s="258" t="s">
        <v>106</v>
      </c>
      <c r="K234" s="260">
        <f>ROUND(M234/0.15,2)</f>
        <v>0</v>
      </c>
      <c r="L234" s="261">
        <f>ROUND(N234/0.15,0)</f>
        <v>0</v>
      </c>
      <c r="M234" s="260">
        <f t="shared" ref="M234:N234" si="297">Q234</f>
        <v>0</v>
      </c>
      <c r="N234" s="261">
        <f t="shared" si="297"/>
        <v>0</v>
      </c>
      <c r="O234" s="262">
        <v>1.82</v>
      </c>
      <c r="P234" s="263">
        <v>2626.0</v>
      </c>
      <c r="Q234" s="260">
        <f t="shared" ref="Q234:R234" si="298">M232-O234</f>
        <v>0</v>
      </c>
      <c r="R234" s="261">
        <f t="shared" si="298"/>
        <v>0</v>
      </c>
      <c r="S234" s="264">
        <v>1443.3</v>
      </c>
      <c r="T234" s="265">
        <v>15.0</v>
      </c>
      <c r="U234" s="266" t="s">
        <v>107</v>
      </c>
      <c r="V234" s="266" t="s">
        <v>746</v>
      </c>
    </row>
    <row r="235" ht="12.75" customHeight="1">
      <c r="A235" s="245" t="s">
        <v>471</v>
      </c>
      <c r="B235" s="246" t="s">
        <v>359</v>
      </c>
      <c r="C235" s="247" t="s">
        <v>360</v>
      </c>
      <c r="D235" s="247" t="s">
        <v>137</v>
      </c>
      <c r="E235" s="248"/>
      <c r="F235" s="248"/>
      <c r="G235" s="247" t="s">
        <v>139</v>
      </c>
      <c r="H235" s="248" t="s">
        <v>747</v>
      </c>
      <c r="I235" s="248" t="s">
        <v>105</v>
      </c>
      <c r="J235" s="247" t="s">
        <v>106</v>
      </c>
      <c r="K235" s="249">
        <v>5.21</v>
      </c>
      <c r="L235" s="250">
        <v>7471.0</v>
      </c>
      <c r="M235" s="249">
        <v>0.78</v>
      </c>
      <c r="N235" s="250">
        <v>1118.0</v>
      </c>
      <c r="O235" s="249">
        <v>0.57</v>
      </c>
      <c r="P235" s="250">
        <v>817.0</v>
      </c>
      <c r="Q235" s="251">
        <f t="shared" ref="Q235:R235" si="299">M235-O235</f>
        <v>0.21</v>
      </c>
      <c r="R235" s="252">
        <f t="shared" si="299"/>
        <v>301</v>
      </c>
      <c r="S235" s="253">
        <v>1434.1</v>
      </c>
      <c r="T235" s="254">
        <v>15.0</v>
      </c>
      <c r="U235" s="255" t="s">
        <v>107</v>
      </c>
      <c r="V235" s="255"/>
    </row>
    <row r="236" ht="12.75" customHeight="1">
      <c r="A236" s="245" t="s">
        <v>472</v>
      </c>
      <c r="B236" s="246" t="s">
        <v>359</v>
      </c>
      <c r="C236" s="247" t="s">
        <v>360</v>
      </c>
      <c r="D236" s="247" t="s">
        <v>137</v>
      </c>
      <c r="E236" s="248"/>
      <c r="F236" s="248"/>
      <c r="G236" s="247" t="s">
        <v>139</v>
      </c>
      <c r="H236" s="248" t="s">
        <v>748</v>
      </c>
      <c r="I236" s="248" t="s">
        <v>105</v>
      </c>
      <c r="J236" s="247" t="s">
        <v>106</v>
      </c>
      <c r="K236" s="251">
        <f t="shared" ref="K236:R236" si="300">-K235</f>
        <v>-5.21</v>
      </c>
      <c r="L236" s="252">
        <f t="shared" si="300"/>
        <v>-7471</v>
      </c>
      <c r="M236" s="251">
        <f t="shared" si="300"/>
        <v>-0.78</v>
      </c>
      <c r="N236" s="252">
        <f t="shared" si="300"/>
        <v>-1118</v>
      </c>
      <c r="O236" s="251">
        <f t="shared" si="300"/>
        <v>-0.57</v>
      </c>
      <c r="P236" s="252">
        <f t="shared" si="300"/>
        <v>-817</v>
      </c>
      <c r="Q236" s="251">
        <f t="shared" si="300"/>
        <v>-0.21</v>
      </c>
      <c r="R236" s="252">
        <f t="shared" si="300"/>
        <v>-301</v>
      </c>
      <c r="S236" s="253">
        <v>1434.1</v>
      </c>
      <c r="T236" s="254">
        <v>15.0</v>
      </c>
      <c r="U236" s="255" t="s">
        <v>107</v>
      </c>
      <c r="V236" s="255"/>
    </row>
    <row r="237" ht="12.75" customHeight="1">
      <c r="A237" s="256" t="s">
        <v>473</v>
      </c>
      <c r="B237" s="257" t="s">
        <v>359</v>
      </c>
      <c r="C237" s="258" t="s">
        <v>360</v>
      </c>
      <c r="D237" s="258" t="s">
        <v>137</v>
      </c>
      <c r="E237" s="259"/>
      <c r="F237" s="259"/>
      <c r="G237" s="258" t="s">
        <v>139</v>
      </c>
      <c r="H237" s="259" t="s">
        <v>749</v>
      </c>
      <c r="I237" s="259" t="s">
        <v>105</v>
      </c>
      <c r="J237" s="258" t="s">
        <v>106</v>
      </c>
      <c r="K237" s="260">
        <f>ROUND(M237/0.15,2)</f>
        <v>1.4</v>
      </c>
      <c r="L237" s="261">
        <f>ROUND(N237/0.15,0)</f>
        <v>2007</v>
      </c>
      <c r="M237" s="260">
        <f t="shared" ref="M237:N237" si="301">Q237</f>
        <v>0.21</v>
      </c>
      <c r="N237" s="261">
        <f t="shared" si="301"/>
        <v>301</v>
      </c>
      <c r="O237" s="262">
        <v>0.57</v>
      </c>
      <c r="P237" s="263">
        <v>817.0</v>
      </c>
      <c r="Q237" s="260">
        <f t="shared" ref="Q237:R237" si="302">M235-O237</f>
        <v>0.21</v>
      </c>
      <c r="R237" s="261">
        <f t="shared" si="302"/>
        <v>301</v>
      </c>
      <c r="S237" s="264">
        <v>1434.1</v>
      </c>
      <c r="T237" s="265">
        <v>15.0</v>
      </c>
      <c r="U237" s="266" t="s">
        <v>107</v>
      </c>
      <c r="V237" s="266" t="s">
        <v>750</v>
      </c>
    </row>
    <row r="238" ht="12.75" customHeight="1">
      <c r="A238" s="245" t="s">
        <v>475</v>
      </c>
      <c r="B238" s="246" t="s">
        <v>359</v>
      </c>
      <c r="C238" s="247" t="s">
        <v>360</v>
      </c>
      <c r="D238" s="247" t="s">
        <v>370</v>
      </c>
      <c r="E238" s="248"/>
      <c r="F238" s="248"/>
      <c r="G238" s="247" t="s">
        <v>127</v>
      </c>
      <c r="H238" s="248" t="s">
        <v>751</v>
      </c>
      <c r="I238" s="248" t="s">
        <v>105</v>
      </c>
      <c r="J238" s="247" t="s">
        <v>106</v>
      </c>
      <c r="K238" s="249">
        <v>9.67</v>
      </c>
      <c r="L238" s="250">
        <v>14114.0</v>
      </c>
      <c r="M238" s="249">
        <v>1.45</v>
      </c>
      <c r="N238" s="250">
        <v>2116.0</v>
      </c>
      <c r="O238" s="249">
        <v>0.76</v>
      </c>
      <c r="P238" s="250">
        <v>1109.0</v>
      </c>
      <c r="Q238" s="251">
        <f t="shared" ref="Q238:R238" si="303">M238-O238</f>
        <v>0.69</v>
      </c>
      <c r="R238" s="252">
        <f t="shared" si="303"/>
        <v>1007</v>
      </c>
      <c r="S238" s="253">
        <v>1459.6</v>
      </c>
      <c r="T238" s="254">
        <v>15.0</v>
      </c>
      <c r="U238" s="255" t="s">
        <v>107</v>
      </c>
      <c r="V238" s="255"/>
    </row>
    <row r="239" ht="12.75" customHeight="1">
      <c r="A239" s="245" t="s">
        <v>476</v>
      </c>
      <c r="B239" s="246" t="s">
        <v>359</v>
      </c>
      <c r="C239" s="247" t="s">
        <v>360</v>
      </c>
      <c r="D239" s="247" t="s">
        <v>370</v>
      </c>
      <c r="E239" s="248"/>
      <c r="F239" s="248"/>
      <c r="G239" s="247" t="s">
        <v>127</v>
      </c>
      <c r="H239" s="248" t="s">
        <v>752</v>
      </c>
      <c r="I239" s="248" t="s">
        <v>105</v>
      </c>
      <c r="J239" s="247" t="s">
        <v>106</v>
      </c>
      <c r="K239" s="251">
        <f t="shared" ref="K239:R239" si="304">-K238</f>
        <v>-9.67</v>
      </c>
      <c r="L239" s="252">
        <f t="shared" si="304"/>
        <v>-14114</v>
      </c>
      <c r="M239" s="251">
        <f t="shared" si="304"/>
        <v>-1.45</v>
      </c>
      <c r="N239" s="252">
        <f t="shared" si="304"/>
        <v>-2116</v>
      </c>
      <c r="O239" s="251">
        <f t="shared" si="304"/>
        <v>-0.76</v>
      </c>
      <c r="P239" s="252">
        <f t="shared" si="304"/>
        <v>-1109</v>
      </c>
      <c r="Q239" s="251">
        <f t="shared" si="304"/>
        <v>-0.69</v>
      </c>
      <c r="R239" s="252">
        <f t="shared" si="304"/>
        <v>-1007</v>
      </c>
      <c r="S239" s="253">
        <v>1459.6</v>
      </c>
      <c r="T239" s="254">
        <v>15.0</v>
      </c>
      <c r="U239" s="255" t="s">
        <v>107</v>
      </c>
      <c r="V239" s="255"/>
    </row>
    <row r="240" ht="12.75" customHeight="1">
      <c r="A240" s="256" t="s">
        <v>477</v>
      </c>
      <c r="B240" s="257" t="s">
        <v>359</v>
      </c>
      <c r="C240" s="258" t="s">
        <v>360</v>
      </c>
      <c r="D240" s="258" t="s">
        <v>370</v>
      </c>
      <c r="E240" s="259"/>
      <c r="F240" s="259"/>
      <c r="G240" s="258" t="s">
        <v>127</v>
      </c>
      <c r="H240" s="259" t="s">
        <v>753</v>
      </c>
      <c r="I240" s="259" t="s">
        <v>105</v>
      </c>
      <c r="J240" s="258" t="s">
        <v>106</v>
      </c>
      <c r="K240" s="260">
        <f>ROUND(M240/0.15,2)</f>
        <v>4.6</v>
      </c>
      <c r="L240" s="261">
        <f>ROUND(N240/0.15,0)</f>
        <v>6713</v>
      </c>
      <c r="M240" s="260">
        <f t="shared" ref="M240:N240" si="305">Q240</f>
        <v>0.69</v>
      </c>
      <c r="N240" s="261">
        <f t="shared" si="305"/>
        <v>1007</v>
      </c>
      <c r="O240" s="262">
        <v>0.76</v>
      </c>
      <c r="P240" s="263">
        <v>1109.0</v>
      </c>
      <c r="Q240" s="260">
        <f t="shared" ref="Q240:R240" si="306">M238-O240</f>
        <v>0.69</v>
      </c>
      <c r="R240" s="261">
        <f t="shared" si="306"/>
        <v>1007</v>
      </c>
      <c r="S240" s="264">
        <v>1459.6</v>
      </c>
      <c r="T240" s="265">
        <v>15.0</v>
      </c>
      <c r="U240" s="266" t="s">
        <v>107</v>
      </c>
      <c r="V240" s="266" t="s">
        <v>754</v>
      </c>
    </row>
    <row r="241" ht="12.75" customHeight="1">
      <c r="A241" s="245" t="s">
        <v>479</v>
      </c>
      <c r="B241" s="246" t="s">
        <v>359</v>
      </c>
      <c r="C241" s="247" t="s">
        <v>360</v>
      </c>
      <c r="D241" s="247" t="s">
        <v>146</v>
      </c>
      <c r="E241" s="248"/>
      <c r="F241" s="248"/>
      <c r="G241" s="247" t="s">
        <v>131</v>
      </c>
      <c r="H241" s="248" t="s">
        <v>755</v>
      </c>
      <c r="I241" s="248" t="s">
        <v>105</v>
      </c>
      <c r="J241" s="247" t="s">
        <v>106</v>
      </c>
      <c r="K241" s="249">
        <v>4.79</v>
      </c>
      <c r="L241" s="250">
        <v>6952.0</v>
      </c>
      <c r="M241" s="249">
        <v>0.72</v>
      </c>
      <c r="N241" s="250">
        <v>1045.0</v>
      </c>
      <c r="O241" s="249">
        <v>0.7</v>
      </c>
      <c r="P241" s="250">
        <v>1016.0</v>
      </c>
      <c r="Q241" s="251">
        <f t="shared" ref="Q241:R241" si="307">M241-O241</f>
        <v>0.02</v>
      </c>
      <c r="R241" s="252">
        <f t="shared" si="307"/>
        <v>29</v>
      </c>
      <c r="S241" s="253">
        <v>1451.5</v>
      </c>
      <c r="T241" s="254">
        <v>15.0</v>
      </c>
      <c r="U241" s="255" t="s">
        <v>107</v>
      </c>
      <c r="V241" s="255"/>
    </row>
    <row r="242" ht="12.75" customHeight="1">
      <c r="A242" s="245" t="s">
        <v>480</v>
      </c>
      <c r="B242" s="246" t="s">
        <v>359</v>
      </c>
      <c r="C242" s="247" t="s">
        <v>360</v>
      </c>
      <c r="D242" s="247" t="s">
        <v>146</v>
      </c>
      <c r="E242" s="248"/>
      <c r="F242" s="248"/>
      <c r="G242" s="247" t="s">
        <v>131</v>
      </c>
      <c r="H242" s="248" t="s">
        <v>756</v>
      </c>
      <c r="I242" s="248" t="s">
        <v>105</v>
      </c>
      <c r="J242" s="247" t="s">
        <v>106</v>
      </c>
      <c r="K242" s="251">
        <f t="shared" ref="K242:R242" si="308">-K241</f>
        <v>-4.79</v>
      </c>
      <c r="L242" s="252">
        <f t="shared" si="308"/>
        <v>-6952</v>
      </c>
      <c r="M242" s="251">
        <f t="shared" si="308"/>
        <v>-0.72</v>
      </c>
      <c r="N242" s="252">
        <f t="shared" si="308"/>
        <v>-1045</v>
      </c>
      <c r="O242" s="251">
        <f t="shared" si="308"/>
        <v>-0.7</v>
      </c>
      <c r="P242" s="252">
        <f t="shared" si="308"/>
        <v>-1016</v>
      </c>
      <c r="Q242" s="251">
        <f t="shared" si="308"/>
        <v>-0.02</v>
      </c>
      <c r="R242" s="252">
        <f t="shared" si="308"/>
        <v>-29</v>
      </c>
      <c r="S242" s="253">
        <v>1451.5</v>
      </c>
      <c r="T242" s="254">
        <v>15.0</v>
      </c>
      <c r="U242" s="255" t="s">
        <v>107</v>
      </c>
      <c r="V242" s="255"/>
    </row>
    <row r="243" ht="12.75" customHeight="1">
      <c r="A243" s="256" t="s">
        <v>481</v>
      </c>
      <c r="B243" s="257" t="s">
        <v>359</v>
      </c>
      <c r="C243" s="258" t="s">
        <v>360</v>
      </c>
      <c r="D243" s="258" t="s">
        <v>146</v>
      </c>
      <c r="E243" s="259"/>
      <c r="F243" s="259"/>
      <c r="G243" s="258" t="s">
        <v>131</v>
      </c>
      <c r="H243" s="259" t="s">
        <v>757</v>
      </c>
      <c r="I243" s="259" t="s">
        <v>105</v>
      </c>
      <c r="J243" s="258" t="s">
        <v>106</v>
      </c>
      <c r="K243" s="260">
        <f>ROUND(M243/0.15,2)</f>
        <v>0.13</v>
      </c>
      <c r="L243" s="261">
        <f>ROUND(N243/0.15,0)</f>
        <v>193</v>
      </c>
      <c r="M243" s="260">
        <f t="shared" ref="M243:N243" si="309">Q243</f>
        <v>0.02</v>
      </c>
      <c r="N243" s="261">
        <f t="shared" si="309"/>
        <v>29</v>
      </c>
      <c r="O243" s="262">
        <v>0.7</v>
      </c>
      <c r="P243" s="263">
        <v>1016.0</v>
      </c>
      <c r="Q243" s="260">
        <f t="shared" ref="Q243:R243" si="310">M241-O243</f>
        <v>0.02</v>
      </c>
      <c r="R243" s="261">
        <f t="shared" si="310"/>
        <v>29</v>
      </c>
      <c r="S243" s="264">
        <v>1451.5</v>
      </c>
      <c r="T243" s="265">
        <v>15.0</v>
      </c>
      <c r="U243" s="266" t="s">
        <v>107</v>
      </c>
      <c r="V243" s="266" t="s">
        <v>758</v>
      </c>
    </row>
    <row r="244" ht="12.75" customHeight="1">
      <c r="A244" s="245" t="s">
        <v>483</v>
      </c>
      <c r="B244" s="246" t="s">
        <v>359</v>
      </c>
      <c r="C244" s="247" t="s">
        <v>360</v>
      </c>
      <c r="D244" s="247" t="s">
        <v>152</v>
      </c>
      <c r="E244" s="248"/>
      <c r="F244" s="248"/>
      <c r="G244" s="247" t="s">
        <v>135</v>
      </c>
      <c r="H244" s="248" t="s">
        <v>759</v>
      </c>
      <c r="I244" s="248" t="s">
        <v>105</v>
      </c>
      <c r="J244" s="247" t="s">
        <v>106</v>
      </c>
      <c r="K244" s="249">
        <v>8.27</v>
      </c>
      <c r="L244" s="250">
        <v>11974.0</v>
      </c>
      <c r="M244" s="249">
        <v>1.24</v>
      </c>
      <c r="N244" s="250">
        <v>1795.0</v>
      </c>
      <c r="O244" s="249">
        <v>1.24</v>
      </c>
      <c r="P244" s="250">
        <v>1795.0</v>
      </c>
      <c r="Q244" s="251">
        <f t="shared" ref="Q244:R244" si="311">M244-O244</f>
        <v>0</v>
      </c>
      <c r="R244" s="252">
        <f t="shared" si="311"/>
        <v>0</v>
      </c>
      <c r="S244" s="253">
        <v>1448.0</v>
      </c>
      <c r="T244" s="254">
        <v>15.0</v>
      </c>
      <c r="U244" s="255" t="s">
        <v>107</v>
      </c>
      <c r="V244" s="255"/>
    </row>
    <row r="245" ht="12.75" customHeight="1">
      <c r="A245" s="245" t="s">
        <v>484</v>
      </c>
      <c r="B245" s="246" t="s">
        <v>359</v>
      </c>
      <c r="C245" s="247" t="s">
        <v>360</v>
      </c>
      <c r="D245" s="247" t="s">
        <v>152</v>
      </c>
      <c r="E245" s="248"/>
      <c r="F245" s="248"/>
      <c r="G245" s="247" t="s">
        <v>135</v>
      </c>
      <c r="H245" s="248" t="s">
        <v>760</v>
      </c>
      <c r="I245" s="248" t="s">
        <v>105</v>
      </c>
      <c r="J245" s="247" t="s">
        <v>106</v>
      </c>
      <c r="K245" s="251">
        <f t="shared" ref="K245:R245" si="312">-K244</f>
        <v>-8.27</v>
      </c>
      <c r="L245" s="252">
        <f t="shared" si="312"/>
        <v>-11974</v>
      </c>
      <c r="M245" s="251">
        <f t="shared" si="312"/>
        <v>-1.24</v>
      </c>
      <c r="N245" s="252">
        <f t="shared" si="312"/>
        <v>-1795</v>
      </c>
      <c r="O245" s="251">
        <f t="shared" si="312"/>
        <v>-1.24</v>
      </c>
      <c r="P245" s="252">
        <f t="shared" si="312"/>
        <v>-1795</v>
      </c>
      <c r="Q245" s="251">
        <f t="shared" si="312"/>
        <v>0</v>
      </c>
      <c r="R245" s="252">
        <f t="shared" si="312"/>
        <v>0</v>
      </c>
      <c r="S245" s="253">
        <v>1448.0</v>
      </c>
      <c r="T245" s="254">
        <v>15.0</v>
      </c>
      <c r="U245" s="255" t="s">
        <v>107</v>
      </c>
      <c r="V245" s="255"/>
    </row>
    <row r="246" ht="12.75" customHeight="1">
      <c r="A246" s="256" t="s">
        <v>485</v>
      </c>
      <c r="B246" s="257" t="s">
        <v>359</v>
      </c>
      <c r="C246" s="258" t="s">
        <v>360</v>
      </c>
      <c r="D246" s="258" t="s">
        <v>152</v>
      </c>
      <c r="E246" s="259"/>
      <c r="F246" s="259"/>
      <c r="G246" s="258" t="s">
        <v>135</v>
      </c>
      <c r="H246" s="259" t="s">
        <v>761</v>
      </c>
      <c r="I246" s="259" t="s">
        <v>105</v>
      </c>
      <c r="J246" s="258" t="s">
        <v>106</v>
      </c>
      <c r="K246" s="260">
        <f>ROUND(M246/0.15,2)</f>
        <v>0</v>
      </c>
      <c r="L246" s="261">
        <f>ROUND(N246/0.15,0)</f>
        <v>0</v>
      </c>
      <c r="M246" s="260">
        <f t="shared" ref="M246:N246" si="313">Q246</f>
        <v>0</v>
      </c>
      <c r="N246" s="261">
        <f t="shared" si="313"/>
        <v>0</v>
      </c>
      <c r="O246" s="262">
        <v>1.24</v>
      </c>
      <c r="P246" s="263">
        <v>1795.0</v>
      </c>
      <c r="Q246" s="260">
        <f t="shared" ref="Q246:R246" si="314">M244-O246</f>
        <v>0</v>
      </c>
      <c r="R246" s="261">
        <f t="shared" si="314"/>
        <v>0</v>
      </c>
      <c r="S246" s="264">
        <v>1448.0</v>
      </c>
      <c r="T246" s="265">
        <v>15.0</v>
      </c>
      <c r="U246" s="266" t="s">
        <v>107</v>
      </c>
      <c r="V246" s="266" t="s">
        <v>762</v>
      </c>
    </row>
    <row r="247" ht="12.75" customHeight="1">
      <c r="A247" s="245" t="s">
        <v>487</v>
      </c>
      <c r="B247" s="246" t="s">
        <v>359</v>
      </c>
      <c r="C247" s="247" t="s">
        <v>360</v>
      </c>
      <c r="D247" s="247" t="s">
        <v>155</v>
      </c>
      <c r="E247" s="248"/>
      <c r="F247" s="248"/>
      <c r="G247" s="247" t="s">
        <v>139</v>
      </c>
      <c r="H247" s="248" t="s">
        <v>763</v>
      </c>
      <c r="I247" s="248" t="s">
        <v>105</v>
      </c>
      <c r="J247" s="247" t="s">
        <v>106</v>
      </c>
      <c r="K247" s="249">
        <v>4.17</v>
      </c>
      <c r="L247" s="250">
        <v>6116.0</v>
      </c>
      <c r="M247" s="249">
        <v>0.63</v>
      </c>
      <c r="N247" s="250">
        <v>924.0</v>
      </c>
      <c r="O247" s="249">
        <v>0.46</v>
      </c>
      <c r="P247" s="250">
        <v>674.0</v>
      </c>
      <c r="Q247" s="251">
        <f t="shared" ref="Q247:R247" si="315">M247-O247</f>
        <v>0.17</v>
      </c>
      <c r="R247" s="252">
        <f t="shared" si="315"/>
        <v>250</v>
      </c>
      <c r="S247" s="253">
        <v>1466.9</v>
      </c>
      <c r="T247" s="254">
        <v>15.0</v>
      </c>
      <c r="U247" s="255" t="s">
        <v>107</v>
      </c>
      <c r="V247" s="255"/>
    </row>
    <row r="248" ht="12.75" customHeight="1">
      <c r="A248" s="245" t="s">
        <v>488</v>
      </c>
      <c r="B248" s="246" t="s">
        <v>359</v>
      </c>
      <c r="C248" s="247" t="s">
        <v>360</v>
      </c>
      <c r="D248" s="247" t="s">
        <v>155</v>
      </c>
      <c r="E248" s="248"/>
      <c r="F248" s="248"/>
      <c r="G248" s="247" t="s">
        <v>139</v>
      </c>
      <c r="H248" s="248" t="s">
        <v>764</v>
      </c>
      <c r="I248" s="248" t="s">
        <v>105</v>
      </c>
      <c r="J248" s="247" t="s">
        <v>106</v>
      </c>
      <c r="K248" s="251">
        <f t="shared" ref="K248:R248" si="316">-K247</f>
        <v>-4.17</v>
      </c>
      <c r="L248" s="252">
        <f t="shared" si="316"/>
        <v>-6116</v>
      </c>
      <c r="M248" s="251">
        <f t="shared" si="316"/>
        <v>-0.63</v>
      </c>
      <c r="N248" s="252">
        <f t="shared" si="316"/>
        <v>-924</v>
      </c>
      <c r="O248" s="251">
        <f t="shared" si="316"/>
        <v>-0.46</v>
      </c>
      <c r="P248" s="252">
        <f t="shared" si="316"/>
        <v>-674</v>
      </c>
      <c r="Q248" s="251">
        <f t="shared" si="316"/>
        <v>-0.17</v>
      </c>
      <c r="R248" s="252">
        <f t="shared" si="316"/>
        <v>-250</v>
      </c>
      <c r="S248" s="253">
        <v>1466.9</v>
      </c>
      <c r="T248" s="254">
        <v>15.0</v>
      </c>
      <c r="U248" s="255" t="s">
        <v>107</v>
      </c>
      <c r="V248" s="255"/>
    </row>
    <row r="249" ht="12.75" customHeight="1">
      <c r="A249" s="256" t="s">
        <v>489</v>
      </c>
      <c r="B249" s="257" t="s">
        <v>359</v>
      </c>
      <c r="C249" s="258" t="s">
        <v>360</v>
      </c>
      <c r="D249" s="258" t="s">
        <v>155</v>
      </c>
      <c r="E249" s="259"/>
      <c r="F249" s="259"/>
      <c r="G249" s="258" t="s">
        <v>139</v>
      </c>
      <c r="H249" s="259" t="s">
        <v>765</v>
      </c>
      <c r="I249" s="259" t="s">
        <v>105</v>
      </c>
      <c r="J249" s="258" t="s">
        <v>106</v>
      </c>
      <c r="K249" s="260">
        <f>ROUND(M249/0.15,2)</f>
        <v>1.13</v>
      </c>
      <c r="L249" s="261">
        <f>ROUND(N249/0.15,0)</f>
        <v>1667</v>
      </c>
      <c r="M249" s="260">
        <f t="shared" ref="M249:N249" si="317">Q249</f>
        <v>0.17</v>
      </c>
      <c r="N249" s="261">
        <f t="shared" si="317"/>
        <v>250</v>
      </c>
      <c r="O249" s="262">
        <v>0.46</v>
      </c>
      <c r="P249" s="263">
        <v>674.0</v>
      </c>
      <c r="Q249" s="260">
        <f t="shared" ref="Q249:R249" si="318">M247-O249</f>
        <v>0.17</v>
      </c>
      <c r="R249" s="261">
        <f t="shared" si="318"/>
        <v>250</v>
      </c>
      <c r="S249" s="264">
        <v>1466.9</v>
      </c>
      <c r="T249" s="265">
        <v>15.0</v>
      </c>
      <c r="U249" s="266" t="s">
        <v>107</v>
      </c>
      <c r="V249" s="266" t="s">
        <v>766</v>
      </c>
    </row>
    <row r="250" ht="12.75" customHeight="1">
      <c r="A250" s="267" t="s">
        <v>767</v>
      </c>
      <c r="B250" s="268" t="s">
        <v>359</v>
      </c>
      <c r="C250" s="269" t="s">
        <v>360</v>
      </c>
      <c r="D250" s="269" t="s">
        <v>158</v>
      </c>
      <c r="E250" s="270"/>
      <c r="F250" s="270"/>
      <c r="G250" s="269" t="s">
        <v>288</v>
      </c>
      <c r="H250" s="270" t="s">
        <v>768</v>
      </c>
      <c r="I250" s="270" t="s">
        <v>105</v>
      </c>
      <c r="J250" s="269" t="s">
        <v>106</v>
      </c>
      <c r="K250" s="271">
        <v>4.79</v>
      </c>
      <c r="L250" s="272">
        <v>7024.0</v>
      </c>
      <c r="M250" s="271">
        <v>0.72</v>
      </c>
      <c r="N250" s="272">
        <v>1055.0</v>
      </c>
      <c r="O250" s="271">
        <v>0.0</v>
      </c>
      <c r="P250" s="272">
        <v>0.0</v>
      </c>
      <c r="Q250" s="273">
        <f t="shared" ref="Q250:R250" si="319">M250-O250</f>
        <v>0.72</v>
      </c>
      <c r="R250" s="274">
        <f t="shared" si="319"/>
        <v>1055</v>
      </c>
      <c r="S250" s="275">
        <v>1466.5</v>
      </c>
      <c r="T250" s="276">
        <v>15.0</v>
      </c>
      <c r="U250" s="277" t="s">
        <v>107</v>
      </c>
      <c r="V250" s="277"/>
    </row>
    <row r="251" ht="12.75" customHeight="1">
      <c r="A251" s="245" t="s">
        <v>769</v>
      </c>
      <c r="B251" s="246" t="s">
        <v>359</v>
      </c>
      <c r="C251" s="247" t="s">
        <v>360</v>
      </c>
      <c r="D251" s="247" t="s">
        <v>158</v>
      </c>
      <c r="E251" s="248"/>
      <c r="F251" s="248"/>
      <c r="G251" s="247" t="s">
        <v>127</v>
      </c>
      <c r="H251" s="248" t="s">
        <v>770</v>
      </c>
      <c r="I251" s="248" t="s">
        <v>105</v>
      </c>
      <c r="J251" s="247" t="s">
        <v>106</v>
      </c>
      <c r="K251" s="249">
        <v>4.72</v>
      </c>
      <c r="L251" s="250">
        <v>6921.0</v>
      </c>
      <c r="M251" s="249">
        <v>0.71</v>
      </c>
      <c r="N251" s="250">
        <v>1041.0</v>
      </c>
      <c r="O251" s="249">
        <v>0.38</v>
      </c>
      <c r="P251" s="250">
        <v>557.0</v>
      </c>
      <c r="Q251" s="251">
        <f t="shared" ref="Q251:R251" si="320">M251-O251</f>
        <v>0.33</v>
      </c>
      <c r="R251" s="252">
        <f t="shared" si="320"/>
        <v>484</v>
      </c>
      <c r="S251" s="253">
        <v>1466.5</v>
      </c>
      <c r="T251" s="254">
        <v>15.0</v>
      </c>
      <c r="U251" s="255" t="s">
        <v>107</v>
      </c>
      <c r="V251" s="255"/>
    </row>
    <row r="252" ht="12.75" customHeight="1">
      <c r="A252" s="245" t="s">
        <v>771</v>
      </c>
      <c r="B252" s="246" t="s">
        <v>359</v>
      </c>
      <c r="C252" s="247" t="s">
        <v>360</v>
      </c>
      <c r="D252" s="247" t="s">
        <v>158</v>
      </c>
      <c r="E252" s="248"/>
      <c r="F252" s="248"/>
      <c r="G252" s="247" t="s">
        <v>127</v>
      </c>
      <c r="H252" s="248" t="s">
        <v>772</v>
      </c>
      <c r="I252" s="248" t="s">
        <v>105</v>
      </c>
      <c r="J252" s="247" t="s">
        <v>106</v>
      </c>
      <c r="K252" s="251">
        <f t="shared" ref="K252:R252" si="321">-K251</f>
        <v>-4.72</v>
      </c>
      <c r="L252" s="252">
        <f t="shared" si="321"/>
        <v>-6921</v>
      </c>
      <c r="M252" s="251">
        <f t="shared" si="321"/>
        <v>-0.71</v>
      </c>
      <c r="N252" s="252">
        <f t="shared" si="321"/>
        <v>-1041</v>
      </c>
      <c r="O252" s="251">
        <f t="shared" si="321"/>
        <v>-0.38</v>
      </c>
      <c r="P252" s="252">
        <f t="shared" si="321"/>
        <v>-557</v>
      </c>
      <c r="Q252" s="251">
        <f t="shared" si="321"/>
        <v>-0.33</v>
      </c>
      <c r="R252" s="252">
        <f t="shared" si="321"/>
        <v>-484</v>
      </c>
      <c r="S252" s="253">
        <v>1466.5</v>
      </c>
      <c r="T252" s="254">
        <v>15.0</v>
      </c>
      <c r="U252" s="255" t="s">
        <v>107</v>
      </c>
      <c r="V252" s="255"/>
    </row>
    <row r="253" ht="12.75" customHeight="1">
      <c r="A253" s="256" t="s">
        <v>773</v>
      </c>
      <c r="B253" s="257" t="s">
        <v>359</v>
      </c>
      <c r="C253" s="258" t="s">
        <v>360</v>
      </c>
      <c r="D253" s="258" t="s">
        <v>158</v>
      </c>
      <c r="E253" s="259"/>
      <c r="F253" s="259"/>
      <c r="G253" s="258" t="s">
        <v>127</v>
      </c>
      <c r="H253" s="259" t="s">
        <v>774</v>
      </c>
      <c r="I253" s="259" t="s">
        <v>105</v>
      </c>
      <c r="J253" s="258" t="s">
        <v>106</v>
      </c>
      <c r="K253" s="260">
        <f>ROUND(M253/0.15,2)</f>
        <v>2.2</v>
      </c>
      <c r="L253" s="261">
        <f>ROUND(N253/0.15,0)</f>
        <v>3227</v>
      </c>
      <c r="M253" s="260">
        <f t="shared" ref="M253:N253" si="322">Q253</f>
        <v>0.33</v>
      </c>
      <c r="N253" s="261">
        <f t="shared" si="322"/>
        <v>484</v>
      </c>
      <c r="O253" s="262">
        <v>0.38</v>
      </c>
      <c r="P253" s="263">
        <v>557.0</v>
      </c>
      <c r="Q253" s="260">
        <f t="shared" ref="Q253:R253" si="323">M251-O253</f>
        <v>0.33</v>
      </c>
      <c r="R253" s="261">
        <f t="shared" si="323"/>
        <v>484</v>
      </c>
      <c r="S253" s="264">
        <v>1466.5</v>
      </c>
      <c r="T253" s="265">
        <v>15.0</v>
      </c>
      <c r="U253" s="266" t="s">
        <v>107</v>
      </c>
      <c r="V253" s="266" t="s">
        <v>775</v>
      </c>
    </row>
    <row r="254" ht="12.75" customHeight="1">
      <c r="A254" s="245" t="s">
        <v>497</v>
      </c>
      <c r="B254" s="246" t="s">
        <v>359</v>
      </c>
      <c r="C254" s="247" t="s">
        <v>360</v>
      </c>
      <c r="D254" s="247" t="s">
        <v>166</v>
      </c>
      <c r="E254" s="248"/>
      <c r="F254" s="248"/>
      <c r="G254" s="247" t="s">
        <v>377</v>
      </c>
      <c r="H254" s="248" t="s">
        <v>776</v>
      </c>
      <c r="I254" s="248" t="s">
        <v>105</v>
      </c>
      <c r="J254" s="247" t="s">
        <v>106</v>
      </c>
      <c r="K254" s="249">
        <v>0.2</v>
      </c>
      <c r="L254" s="250">
        <v>293.0</v>
      </c>
      <c r="M254" s="249">
        <v>0.03</v>
      </c>
      <c r="N254" s="250">
        <v>44.0</v>
      </c>
      <c r="O254" s="249">
        <v>0.03</v>
      </c>
      <c r="P254" s="250">
        <v>44.0</v>
      </c>
      <c r="Q254" s="251">
        <f t="shared" ref="Q254:R254" si="324">M254-O254</f>
        <v>0</v>
      </c>
      <c r="R254" s="252">
        <f t="shared" si="324"/>
        <v>0</v>
      </c>
      <c r="S254" s="253">
        <v>1467.0</v>
      </c>
      <c r="T254" s="254">
        <v>15.0</v>
      </c>
      <c r="U254" s="255" t="s">
        <v>107</v>
      </c>
      <c r="V254" s="255"/>
    </row>
    <row r="255" ht="12.75" customHeight="1">
      <c r="A255" s="245" t="s">
        <v>498</v>
      </c>
      <c r="B255" s="246" t="s">
        <v>359</v>
      </c>
      <c r="C255" s="247" t="s">
        <v>360</v>
      </c>
      <c r="D255" s="247" t="s">
        <v>166</v>
      </c>
      <c r="E255" s="248"/>
      <c r="F255" s="248"/>
      <c r="G255" s="247" t="s">
        <v>377</v>
      </c>
      <c r="H255" s="248" t="s">
        <v>777</v>
      </c>
      <c r="I255" s="248" t="s">
        <v>105</v>
      </c>
      <c r="J255" s="247" t="s">
        <v>106</v>
      </c>
      <c r="K255" s="251">
        <f t="shared" ref="K255:R255" si="325">-K254</f>
        <v>-0.2</v>
      </c>
      <c r="L255" s="252">
        <f t="shared" si="325"/>
        <v>-293</v>
      </c>
      <c r="M255" s="251">
        <f t="shared" si="325"/>
        <v>-0.03</v>
      </c>
      <c r="N255" s="252">
        <f t="shared" si="325"/>
        <v>-44</v>
      </c>
      <c r="O255" s="251">
        <f t="shared" si="325"/>
        <v>-0.03</v>
      </c>
      <c r="P255" s="252">
        <f t="shared" si="325"/>
        <v>-44</v>
      </c>
      <c r="Q255" s="251">
        <f t="shared" si="325"/>
        <v>0</v>
      </c>
      <c r="R255" s="252">
        <f t="shared" si="325"/>
        <v>0</v>
      </c>
      <c r="S255" s="253">
        <v>1467.0</v>
      </c>
      <c r="T255" s="254">
        <v>15.0</v>
      </c>
      <c r="U255" s="255" t="s">
        <v>107</v>
      </c>
      <c r="V255" s="255"/>
    </row>
    <row r="256" ht="12.75" customHeight="1">
      <c r="A256" s="256" t="s">
        <v>499</v>
      </c>
      <c r="B256" s="257" t="s">
        <v>359</v>
      </c>
      <c r="C256" s="258" t="s">
        <v>360</v>
      </c>
      <c r="D256" s="258" t="s">
        <v>166</v>
      </c>
      <c r="E256" s="259"/>
      <c r="F256" s="259"/>
      <c r="G256" s="258" t="s">
        <v>377</v>
      </c>
      <c r="H256" s="259" t="s">
        <v>778</v>
      </c>
      <c r="I256" s="259" t="s">
        <v>105</v>
      </c>
      <c r="J256" s="258" t="s">
        <v>106</v>
      </c>
      <c r="K256" s="260">
        <f>ROUND(M256/0.15,2)</f>
        <v>0</v>
      </c>
      <c r="L256" s="261">
        <f>ROUND(N256/0.15,0)</f>
        <v>0</v>
      </c>
      <c r="M256" s="260">
        <f t="shared" ref="M256:N256" si="326">Q256</f>
        <v>0</v>
      </c>
      <c r="N256" s="261">
        <f t="shared" si="326"/>
        <v>0</v>
      </c>
      <c r="O256" s="262">
        <v>0.03</v>
      </c>
      <c r="P256" s="263">
        <v>44.0</v>
      </c>
      <c r="Q256" s="260">
        <f t="shared" ref="Q256:R256" si="327">M254-O256</f>
        <v>0</v>
      </c>
      <c r="R256" s="261">
        <f t="shared" si="327"/>
        <v>0</v>
      </c>
      <c r="S256" s="264">
        <v>1467.0</v>
      </c>
      <c r="T256" s="265">
        <v>15.0</v>
      </c>
      <c r="U256" s="266" t="s">
        <v>107</v>
      </c>
      <c r="V256" s="266" t="s">
        <v>779</v>
      </c>
    </row>
    <row r="257" ht="12.75" customHeight="1">
      <c r="A257" s="267" t="s">
        <v>501</v>
      </c>
      <c r="B257" s="268" t="s">
        <v>359</v>
      </c>
      <c r="C257" s="269" t="s">
        <v>360</v>
      </c>
      <c r="D257" s="269" t="s">
        <v>169</v>
      </c>
      <c r="E257" s="270"/>
      <c r="F257" s="270"/>
      <c r="G257" s="269" t="s">
        <v>379</v>
      </c>
      <c r="H257" s="270" t="s">
        <v>780</v>
      </c>
      <c r="I257" s="270" t="s">
        <v>105</v>
      </c>
      <c r="J257" s="269" t="s">
        <v>106</v>
      </c>
      <c r="K257" s="271">
        <v>6.76</v>
      </c>
      <c r="L257" s="272">
        <v>9729.0</v>
      </c>
      <c r="M257" s="271">
        <v>1.01</v>
      </c>
      <c r="N257" s="272">
        <v>1453.0</v>
      </c>
      <c r="O257" s="271">
        <v>0.0</v>
      </c>
      <c r="P257" s="272">
        <v>0.0</v>
      </c>
      <c r="Q257" s="273">
        <f t="shared" ref="Q257:R257" si="328">M257-O257</f>
        <v>1.01</v>
      </c>
      <c r="R257" s="274">
        <f t="shared" si="328"/>
        <v>1453</v>
      </c>
      <c r="S257" s="275">
        <v>1439.3</v>
      </c>
      <c r="T257" s="276">
        <v>15.0</v>
      </c>
      <c r="U257" s="277" t="s">
        <v>107</v>
      </c>
      <c r="V257" s="277"/>
    </row>
    <row r="258" ht="12.75" customHeight="1">
      <c r="A258" s="245" t="s">
        <v>503</v>
      </c>
      <c r="B258" s="246" t="s">
        <v>359</v>
      </c>
      <c r="C258" s="247" t="s">
        <v>360</v>
      </c>
      <c r="D258" s="247" t="s">
        <v>165</v>
      </c>
      <c r="E258" s="248"/>
      <c r="F258" s="248"/>
      <c r="G258" s="247" t="s">
        <v>131</v>
      </c>
      <c r="H258" s="248" t="s">
        <v>781</v>
      </c>
      <c r="I258" s="248" t="s">
        <v>105</v>
      </c>
      <c r="J258" s="247" t="s">
        <v>106</v>
      </c>
      <c r="K258" s="249">
        <v>3.5</v>
      </c>
      <c r="L258" s="250">
        <v>5130.0</v>
      </c>
      <c r="M258" s="249">
        <v>0.53</v>
      </c>
      <c r="N258" s="250">
        <v>776.0</v>
      </c>
      <c r="O258" s="249">
        <v>0.51</v>
      </c>
      <c r="P258" s="250">
        <v>747.0</v>
      </c>
      <c r="Q258" s="251">
        <f t="shared" ref="Q258:R258" si="329">M258-O258</f>
        <v>0.02</v>
      </c>
      <c r="R258" s="252">
        <f t="shared" si="329"/>
        <v>29</v>
      </c>
      <c r="S258" s="253">
        <v>1465.9</v>
      </c>
      <c r="T258" s="254">
        <v>15.0</v>
      </c>
      <c r="U258" s="255" t="s">
        <v>107</v>
      </c>
      <c r="V258" s="255"/>
    </row>
    <row r="259" ht="12.75" customHeight="1">
      <c r="A259" s="245" t="s">
        <v>504</v>
      </c>
      <c r="B259" s="246" t="s">
        <v>359</v>
      </c>
      <c r="C259" s="247" t="s">
        <v>360</v>
      </c>
      <c r="D259" s="247" t="s">
        <v>165</v>
      </c>
      <c r="E259" s="248"/>
      <c r="F259" s="248"/>
      <c r="G259" s="247" t="s">
        <v>131</v>
      </c>
      <c r="H259" s="248" t="s">
        <v>782</v>
      </c>
      <c r="I259" s="248" t="s">
        <v>105</v>
      </c>
      <c r="J259" s="247" t="s">
        <v>106</v>
      </c>
      <c r="K259" s="251">
        <f t="shared" ref="K259:R259" si="330">-K258</f>
        <v>-3.5</v>
      </c>
      <c r="L259" s="252">
        <f t="shared" si="330"/>
        <v>-5130</v>
      </c>
      <c r="M259" s="251">
        <f t="shared" si="330"/>
        <v>-0.53</v>
      </c>
      <c r="N259" s="252">
        <f t="shared" si="330"/>
        <v>-776</v>
      </c>
      <c r="O259" s="251">
        <f t="shared" si="330"/>
        <v>-0.51</v>
      </c>
      <c r="P259" s="252">
        <f t="shared" si="330"/>
        <v>-747</v>
      </c>
      <c r="Q259" s="251">
        <f t="shared" si="330"/>
        <v>-0.02</v>
      </c>
      <c r="R259" s="252">
        <f t="shared" si="330"/>
        <v>-29</v>
      </c>
      <c r="S259" s="253">
        <v>1465.9</v>
      </c>
      <c r="T259" s="254">
        <v>15.0</v>
      </c>
      <c r="U259" s="255" t="s">
        <v>107</v>
      </c>
      <c r="V259" s="255"/>
    </row>
    <row r="260" ht="12.75" customHeight="1">
      <c r="A260" s="256" t="s">
        <v>505</v>
      </c>
      <c r="B260" s="257" t="s">
        <v>359</v>
      </c>
      <c r="C260" s="258" t="s">
        <v>360</v>
      </c>
      <c r="D260" s="258" t="s">
        <v>165</v>
      </c>
      <c r="E260" s="259"/>
      <c r="F260" s="259"/>
      <c r="G260" s="258" t="s">
        <v>131</v>
      </c>
      <c r="H260" s="259" t="s">
        <v>783</v>
      </c>
      <c r="I260" s="259" t="s">
        <v>105</v>
      </c>
      <c r="J260" s="258" t="s">
        <v>106</v>
      </c>
      <c r="K260" s="260">
        <f>ROUND(M260/0.15,2)</f>
        <v>0.13</v>
      </c>
      <c r="L260" s="261">
        <f>ROUND(N260/0.15,0)</f>
        <v>193</v>
      </c>
      <c r="M260" s="260">
        <f t="shared" ref="M260:N260" si="331">Q260</f>
        <v>0.02</v>
      </c>
      <c r="N260" s="261">
        <f t="shared" si="331"/>
        <v>29</v>
      </c>
      <c r="O260" s="262">
        <v>0.51</v>
      </c>
      <c r="P260" s="263">
        <v>747.0</v>
      </c>
      <c r="Q260" s="260">
        <f t="shared" ref="Q260:R260" si="332">M258-O260</f>
        <v>0.02</v>
      </c>
      <c r="R260" s="261">
        <f t="shared" si="332"/>
        <v>29</v>
      </c>
      <c r="S260" s="264">
        <v>1465.9</v>
      </c>
      <c r="T260" s="265">
        <v>15.0</v>
      </c>
      <c r="U260" s="266" t="s">
        <v>107</v>
      </c>
      <c r="V260" s="266" t="s">
        <v>784</v>
      </c>
    </row>
    <row r="261" ht="12.75" customHeight="1">
      <c r="A261" s="245" t="s">
        <v>507</v>
      </c>
      <c r="B261" s="246" t="s">
        <v>359</v>
      </c>
      <c r="C261" s="247" t="s">
        <v>360</v>
      </c>
      <c r="D261" s="247" t="s">
        <v>170</v>
      </c>
      <c r="E261" s="248"/>
      <c r="F261" s="248"/>
      <c r="G261" s="247" t="s">
        <v>135</v>
      </c>
      <c r="H261" s="248" t="s">
        <v>785</v>
      </c>
      <c r="I261" s="248" t="s">
        <v>105</v>
      </c>
      <c r="J261" s="247" t="s">
        <v>106</v>
      </c>
      <c r="K261" s="249">
        <v>8.01</v>
      </c>
      <c r="L261" s="250">
        <v>11433.0</v>
      </c>
      <c r="M261" s="249">
        <v>1.2</v>
      </c>
      <c r="N261" s="250">
        <v>1712.0</v>
      </c>
      <c r="O261" s="249">
        <v>1.2</v>
      </c>
      <c r="P261" s="250">
        <v>1712.0</v>
      </c>
      <c r="Q261" s="251">
        <f t="shared" ref="Q261:R261" si="333">M261-O261</f>
        <v>0</v>
      </c>
      <c r="R261" s="252">
        <f t="shared" si="333"/>
        <v>0</v>
      </c>
      <c r="S261" s="253">
        <v>1427.4</v>
      </c>
      <c r="T261" s="254">
        <v>15.0</v>
      </c>
      <c r="U261" s="255" t="s">
        <v>107</v>
      </c>
      <c r="V261" s="255"/>
    </row>
    <row r="262" ht="12.75" customHeight="1">
      <c r="A262" s="245" t="s">
        <v>508</v>
      </c>
      <c r="B262" s="246" t="s">
        <v>359</v>
      </c>
      <c r="C262" s="247" t="s">
        <v>360</v>
      </c>
      <c r="D262" s="247" t="s">
        <v>170</v>
      </c>
      <c r="E262" s="248"/>
      <c r="F262" s="248"/>
      <c r="G262" s="247" t="s">
        <v>135</v>
      </c>
      <c r="H262" s="248" t="s">
        <v>786</v>
      </c>
      <c r="I262" s="248" t="s">
        <v>105</v>
      </c>
      <c r="J262" s="247" t="s">
        <v>106</v>
      </c>
      <c r="K262" s="251">
        <f t="shared" ref="K262:R262" si="334">-K261</f>
        <v>-8.01</v>
      </c>
      <c r="L262" s="252">
        <f t="shared" si="334"/>
        <v>-11433</v>
      </c>
      <c r="M262" s="251">
        <f t="shared" si="334"/>
        <v>-1.2</v>
      </c>
      <c r="N262" s="252">
        <f t="shared" si="334"/>
        <v>-1712</v>
      </c>
      <c r="O262" s="251">
        <f t="shared" si="334"/>
        <v>-1.2</v>
      </c>
      <c r="P262" s="252">
        <f t="shared" si="334"/>
        <v>-1712</v>
      </c>
      <c r="Q262" s="251">
        <f t="shared" si="334"/>
        <v>0</v>
      </c>
      <c r="R262" s="252">
        <f t="shared" si="334"/>
        <v>0</v>
      </c>
      <c r="S262" s="253">
        <v>1427.4</v>
      </c>
      <c r="T262" s="254">
        <v>15.0</v>
      </c>
      <c r="U262" s="255" t="s">
        <v>107</v>
      </c>
      <c r="V262" s="255"/>
    </row>
    <row r="263" ht="12.75" customHeight="1">
      <c r="A263" s="256" t="s">
        <v>509</v>
      </c>
      <c r="B263" s="257" t="s">
        <v>359</v>
      </c>
      <c r="C263" s="258" t="s">
        <v>360</v>
      </c>
      <c r="D263" s="258" t="s">
        <v>170</v>
      </c>
      <c r="E263" s="259"/>
      <c r="F263" s="259"/>
      <c r="G263" s="258" t="s">
        <v>135</v>
      </c>
      <c r="H263" s="259" t="s">
        <v>787</v>
      </c>
      <c r="I263" s="259" t="s">
        <v>105</v>
      </c>
      <c r="J263" s="258" t="s">
        <v>106</v>
      </c>
      <c r="K263" s="260">
        <f>ROUND(M263/0.15,2)</f>
        <v>0</v>
      </c>
      <c r="L263" s="261">
        <f>ROUND(N263/0.15,0)</f>
        <v>0</v>
      </c>
      <c r="M263" s="260">
        <f t="shared" ref="M263:N263" si="335">Q263</f>
        <v>0</v>
      </c>
      <c r="N263" s="261">
        <f t="shared" si="335"/>
        <v>0</v>
      </c>
      <c r="O263" s="262">
        <v>1.2</v>
      </c>
      <c r="P263" s="263">
        <v>1712.0</v>
      </c>
      <c r="Q263" s="260">
        <f t="shared" ref="Q263:R263" si="336">M261-O263</f>
        <v>0</v>
      </c>
      <c r="R263" s="261">
        <f t="shared" si="336"/>
        <v>0</v>
      </c>
      <c r="S263" s="264">
        <v>1427.4</v>
      </c>
      <c r="T263" s="265">
        <v>15.0</v>
      </c>
      <c r="U263" s="266" t="s">
        <v>107</v>
      </c>
      <c r="V263" s="266" t="s">
        <v>788</v>
      </c>
    </row>
    <row r="264" ht="12.75" customHeight="1">
      <c r="A264" s="245" t="s">
        <v>511</v>
      </c>
      <c r="B264" s="246" t="s">
        <v>359</v>
      </c>
      <c r="C264" s="247" t="s">
        <v>360</v>
      </c>
      <c r="D264" s="247" t="s">
        <v>179</v>
      </c>
      <c r="E264" s="248"/>
      <c r="F264" s="248"/>
      <c r="G264" s="247" t="s">
        <v>139</v>
      </c>
      <c r="H264" s="248" t="s">
        <v>789</v>
      </c>
      <c r="I264" s="248" t="s">
        <v>105</v>
      </c>
      <c r="J264" s="247" t="s">
        <v>106</v>
      </c>
      <c r="K264" s="249">
        <v>5.94</v>
      </c>
      <c r="L264" s="250">
        <v>8443.0</v>
      </c>
      <c r="M264" s="249">
        <v>0.89</v>
      </c>
      <c r="N264" s="250">
        <v>1265.0</v>
      </c>
      <c r="O264" s="249">
        <v>0.65</v>
      </c>
      <c r="P264" s="250">
        <v>923.0</v>
      </c>
      <c r="Q264" s="251">
        <f t="shared" ref="Q264:R264" si="337">M264-O264</f>
        <v>0.24</v>
      </c>
      <c r="R264" s="252">
        <f t="shared" si="337"/>
        <v>342</v>
      </c>
      <c r="S264" s="253">
        <v>1421.5</v>
      </c>
      <c r="T264" s="254">
        <v>15.0</v>
      </c>
      <c r="U264" s="255" t="s">
        <v>107</v>
      </c>
      <c r="V264" s="255"/>
    </row>
    <row r="265" ht="12.75" customHeight="1">
      <c r="A265" s="245" t="s">
        <v>512</v>
      </c>
      <c r="B265" s="246" t="s">
        <v>359</v>
      </c>
      <c r="C265" s="247" t="s">
        <v>360</v>
      </c>
      <c r="D265" s="247" t="s">
        <v>179</v>
      </c>
      <c r="E265" s="248"/>
      <c r="F265" s="248"/>
      <c r="G265" s="247" t="s">
        <v>139</v>
      </c>
      <c r="H265" s="248" t="s">
        <v>790</v>
      </c>
      <c r="I265" s="248" t="s">
        <v>105</v>
      </c>
      <c r="J265" s="247" t="s">
        <v>106</v>
      </c>
      <c r="K265" s="251">
        <f t="shared" ref="K265:R265" si="338">-K264</f>
        <v>-5.94</v>
      </c>
      <c r="L265" s="252">
        <f t="shared" si="338"/>
        <v>-8443</v>
      </c>
      <c r="M265" s="251">
        <f t="shared" si="338"/>
        <v>-0.89</v>
      </c>
      <c r="N265" s="252">
        <f t="shared" si="338"/>
        <v>-1265</v>
      </c>
      <c r="O265" s="251">
        <f t="shared" si="338"/>
        <v>-0.65</v>
      </c>
      <c r="P265" s="252">
        <f t="shared" si="338"/>
        <v>-923</v>
      </c>
      <c r="Q265" s="251">
        <f t="shared" si="338"/>
        <v>-0.24</v>
      </c>
      <c r="R265" s="252">
        <f t="shared" si="338"/>
        <v>-342</v>
      </c>
      <c r="S265" s="253">
        <v>1421.5</v>
      </c>
      <c r="T265" s="254">
        <v>15.0</v>
      </c>
      <c r="U265" s="255" t="s">
        <v>107</v>
      </c>
      <c r="V265" s="255"/>
    </row>
    <row r="266" ht="12.75" customHeight="1">
      <c r="A266" s="256" t="s">
        <v>513</v>
      </c>
      <c r="B266" s="257" t="s">
        <v>359</v>
      </c>
      <c r="C266" s="258" t="s">
        <v>360</v>
      </c>
      <c r="D266" s="258" t="s">
        <v>179</v>
      </c>
      <c r="E266" s="259"/>
      <c r="F266" s="259"/>
      <c r="G266" s="258" t="s">
        <v>139</v>
      </c>
      <c r="H266" s="259" t="s">
        <v>791</v>
      </c>
      <c r="I266" s="259" t="s">
        <v>105</v>
      </c>
      <c r="J266" s="258" t="s">
        <v>106</v>
      </c>
      <c r="K266" s="260">
        <f>ROUND(M266/0.15,2)</f>
        <v>1.6</v>
      </c>
      <c r="L266" s="261">
        <f>ROUND(N266/0.15,0)</f>
        <v>2280</v>
      </c>
      <c r="M266" s="260">
        <f t="shared" ref="M266:N266" si="339">Q266</f>
        <v>0.24</v>
      </c>
      <c r="N266" s="261">
        <f t="shared" si="339"/>
        <v>342</v>
      </c>
      <c r="O266" s="262">
        <v>0.65</v>
      </c>
      <c r="P266" s="263">
        <v>923.0</v>
      </c>
      <c r="Q266" s="260">
        <f t="shared" ref="Q266:R266" si="340">M264-O266</f>
        <v>0.24</v>
      </c>
      <c r="R266" s="261">
        <f t="shared" si="340"/>
        <v>342</v>
      </c>
      <c r="S266" s="264">
        <v>1421.5</v>
      </c>
      <c r="T266" s="265">
        <v>15.0</v>
      </c>
      <c r="U266" s="266" t="s">
        <v>107</v>
      </c>
      <c r="V266" s="266" t="s">
        <v>792</v>
      </c>
    </row>
    <row r="267" ht="12.75" customHeight="1">
      <c r="A267" s="245" t="s">
        <v>793</v>
      </c>
      <c r="B267" s="246" t="s">
        <v>359</v>
      </c>
      <c r="C267" s="247" t="s">
        <v>360</v>
      </c>
      <c r="D267" s="247" t="s">
        <v>185</v>
      </c>
      <c r="E267" s="248"/>
      <c r="F267" s="248"/>
      <c r="G267" s="247" t="s">
        <v>127</v>
      </c>
      <c r="H267" s="248" t="s">
        <v>794</v>
      </c>
      <c r="I267" s="248" t="s">
        <v>105</v>
      </c>
      <c r="J267" s="247" t="s">
        <v>106</v>
      </c>
      <c r="K267" s="249">
        <v>4.04</v>
      </c>
      <c r="L267" s="250">
        <v>5814.0</v>
      </c>
      <c r="M267" s="249">
        <v>0.61</v>
      </c>
      <c r="N267" s="250">
        <v>877.0</v>
      </c>
      <c r="O267" s="249">
        <v>0.32</v>
      </c>
      <c r="P267" s="250">
        <v>460.0</v>
      </c>
      <c r="Q267" s="251">
        <f t="shared" ref="Q267:R267" si="341">M267-O267</f>
        <v>0.29</v>
      </c>
      <c r="R267" s="252">
        <f t="shared" si="341"/>
        <v>417</v>
      </c>
      <c r="S267" s="253">
        <v>1439.3</v>
      </c>
      <c r="T267" s="254">
        <v>15.0</v>
      </c>
      <c r="U267" s="255" t="s">
        <v>107</v>
      </c>
      <c r="V267" s="255"/>
    </row>
    <row r="268" ht="12.75" customHeight="1">
      <c r="A268" s="245" t="s">
        <v>795</v>
      </c>
      <c r="B268" s="246" t="s">
        <v>359</v>
      </c>
      <c r="C268" s="247" t="s">
        <v>360</v>
      </c>
      <c r="D268" s="247" t="s">
        <v>185</v>
      </c>
      <c r="E268" s="248"/>
      <c r="F268" s="248"/>
      <c r="G268" s="247" t="s">
        <v>127</v>
      </c>
      <c r="H268" s="248" t="s">
        <v>796</v>
      </c>
      <c r="I268" s="248" t="s">
        <v>105</v>
      </c>
      <c r="J268" s="247" t="s">
        <v>106</v>
      </c>
      <c r="K268" s="251">
        <f t="shared" ref="K268:R268" si="342">-K267</f>
        <v>-4.04</v>
      </c>
      <c r="L268" s="252">
        <f t="shared" si="342"/>
        <v>-5814</v>
      </c>
      <c r="M268" s="251">
        <f t="shared" si="342"/>
        <v>-0.61</v>
      </c>
      <c r="N268" s="252">
        <f t="shared" si="342"/>
        <v>-877</v>
      </c>
      <c r="O268" s="251">
        <f t="shared" si="342"/>
        <v>-0.32</v>
      </c>
      <c r="P268" s="252">
        <f t="shared" si="342"/>
        <v>-460</v>
      </c>
      <c r="Q268" s="251">
        <f t="shared" si="342"/>
        <v>-0.29</v>
      </c>
      <c r="R268" s="252">
        <f t="shared" si="342"/>
        <v>-417</v>
      </c>
      <c r="S268" s="253">
        <v>1439.3</v>
      </c>
      <c r="T268" s="254">
        <v>15.0</v>
      </c>
      <c r="U268" s="255" t="s">
        <v>107</v>
      </c>
      <c r="V268" s="255"/>
    </row>
    <row r="269" ht="12.75" customHeight="1">
      <c r="A269" s="256" t="s">
        <v>797</v>
      </c>
      <c r="B269" s="257" t="s">
        <v>359</v>
      </c>
      <c r="C269" s="258" t="s">
        <v>360</v>
      </c>
      <c r="D269" s="258" t="s">
        <v>185</v>
      </c>
      <c r="E269" s="259"/>
      <c r="F269" s="259"/>
      <c r="G269" s="258" t="s">
        <v>127</v>
      </c>
      <c r="H269" s="259" t="s">
        <v>798</v>
      </c>
      <c r="I269" s="259" t="s">
        <v>105</v>
      </c>
      <c r="J269" s="258" t="s">
        <v>106</v>
      </c>
      <c r="K269" s="260">
        <f>ROUND(M269/0.15,2)</f>
        <v>1.93</v>
      </c>
      <c r="L269" s="261">
        <f>ROUND(N269/0.15,0)</f>
        <v>2780</v>
      </c>
      <c r="M269" s="260">
        <f t="shared" ref="M269:N269" si="343">Q269</f>
        <v>0.29</v>
      </c>
      <c r="N269" s="261">
        <f t="shared" si="343"/>
        <v>417</v>
      </c>
      <c r="O269" s="262">
        <v>0.32</v>
      </c>
      <c r="P269" s="263">
        <v>460.0</v>
      </c>
      <c r="Q269" s="260">
        <f t="shared" ref="Q269:R269" si="344">M267-O269</f>
        <v>0.29</v>
      </c>
      <c r="R269" s="261">
        <f t="shared" si="344"/>
        <v>417</v>
      </c>
      <c r="S269" s="264">
        <v>1439.3</v>
      </c>
      <c r="T269" s="265">
        <v>15.0</v>
      </c>
      <c r="U269" s="266" t="s">
        <v>107</v>
      </c>
      <c r="V269" s="266" t="s">
        <v>799</v>
      </c>
    </row>
    <row r="270" ht="12.75" customHeight="1">
      <c r="A270" s="267" t="s">
        <v>517</v>
      </c>
      <c r="B270" s="268" t="s">
        <v>359</v>
      </c>
      <c r="C270" s="269" t="s">
        <v>360</v>
      </c>
      <c r="D270" s="269" t="s">
        <v>385</v>
      </c>
      <c r="E270" s="270"/>
      <c r="F270" s="270"/>
      <c r="G270" s="269" t="s">
        <v>288</v>
      </c>
      <c r="H270" s="270" t="s">
        <v>800</v>
      </c>
      <c r="I270" s="270" t="s">
        <v>105</v>
      </c>
      <c r="J270" s="269" t="s">
        <v>106</v>
      </c>
      <c r="K270" s="271">
        <v>4.87</v>
      </c>
      <c r="L270" s="272">
        <v>7005.0</v>
      </c>
      <c r="M270" s="271">
        <v>0.73</v>
      </c>
      <c r="N270" s="272">
        <v>1050.0</v>
      </c>
      <c r="O270" s="271">
        <v>0.0</v>
      </c>
      <c r="P270" s="272">
        <v>0.0</v>
      </c>
      <c r="Q270" s="273">
        <f t="shared" ref="Q270:R270" si="345">M270-O270</f>
        <v>0.73</v>
      </c>
      <c r="R270" s="274">
        <f t="shared" si="345"/>
        <v>1050</v>
      </c>
      <c r="S270" s="275">
        <v>1438.5</v>
      </c>
      <c r="T270" s="276">
        <v>15.0</v>
      </c>
      <c r="U270" s="277" t="s">
        <v>107</v>
      </c>
      <c r="V270" s="277"/>
    </row>
    <row r="271" ht="12.75" customHeight="1">
      <c r="A271" s="245" t="s">
        <v>519</v>
      </c>
      <c r="B271" s="246" t="s">
        <v>359</v>
      </c>
      <c r="C271" s="247" t="s">
        <v>360</v>
      </c>
      <c r="D271" s="247" t="s">
        <v>187</v>
      </c>
      <c r="E271" s="248"/>
      <c r="F271" s="248"/>
      <c r="G271" s="247" t="s">
        <v>131</v>
      </c>
      <c r="H271" s="248" t="s">
        <v>801</v>
      </c>
      <c r="I271" s="248" t="s">
        <v>105</v>
      </c>
      <c r="J271" s="247" t="s">
        <v>106</v>
      </c>
      <c r="K271" s="249">
        <v>5.21</v>
      </c>
      <c r="L271" s="250">
        <v>7432.0</v>
      </c>
      <c r="M271" s="249">
        <v>0.78</v>
      </c>
      <c r="N271" s="250">
        <v>1112.0</v>
      </c>
      <c r="O271" s="249">
        <v>0.76</v>
      </c>
      <c r="P271" s="250">
        <v>1084.0</v>
      </c>
      <c r="Q271" s="251">
        <f t="shared" ref="Q271:R271" si="346">M271-O271</f>
        <v>0.02</v>
      </c>
      <c r="R271" s="252">
        <f t="shared" si="346"/>
        <v>28</v>
      </c>
      <c r="S271" s="253">
        <v>1426.6</v>
      </c>
      <c r="T271" s="254">
        <v>15.0</v>
      </c>
      <c r="U271" s="255" t="s">
        <v>107</v>
      </c>
      <c r="V271" s="255"/>
    </row>
    <row r="272" ht="12.75" customHeight="1">
      <c r="A272" s="245" t="s">
        <v>520</v>
      </c>
      <c r="B272" s="246" t="s">
        <v>359</v>
      </c>
      <c r="C272" s="247" t="s">
        <v>360</v>
      </c>
      <c r="D272" s="247" t="s">
        <v>187</v>
      </c>
      <c r="E272" s="248"/>
      <c r="F272" s="248"/>
      <c r="G272" s="247" t="s">
        <v>131</v>
      </c>
      <c r="H272" s="248" t="s">
        <v>802</v>
      </c>
      <c r="I272" s="248" t="s">
        <v>105</v>
      </c>
      <c r="J272" s="247" t="s">
        <v>106</v>
      </c>
      <c r="K272" s="251">
        <f t="shared" ref="K272:R272" si="347">-K271</f>
        <v>-5.21</v>
      </c>
      <c r="L272" s="252">
        <f t="shared" si="347"/>
        <v>-7432</v>
      </c>
      <c r="M272" s="251">
        <f t="shared" si="347"/>
        <v>-0.78</v>
      </c>
      <c r="N272" s="252">
        <f t="shared" si="347"/>
        <v>-1112</v>
      </c>
      <c r="O272" s="251">
        <f t="shared" si="347"/>
        <v>-0.76</v>
      </c>
      <c r="P272" s="252">
        <f t="shared" si="347"/>
        <v>-1084</v>
      </c>
      <c r="Q272" s="251">
        <f t="shared" si="347"/>
        <v>-0.02</v>
      </c>
      <c r="R272" s="252">
        <f t="shared" si="347"/>
        <v>-28</v>
      </c>
      <c r="S272" s="253">
        <v>1426.6</v>
      </c>
      <c r="T272" s="254">
        <v>15.0</v>
      </c>
      <c r="U272" s="255" t="s">
        <v>107</v>
      </c>
      <c r="V272" s="255"/>
    </row>
    <row r="273" ht="12.75" customHeight="1">
      <c r="A273" s="256" t="s">
        <v>521</v>
      </c>
      <c r="B273" s="257" t="s">
        <v>359</v>
      </c>
      <c r="C273" s="258" t="s">
        <v>360</v>
      </c>
      <c r="D273" s="258" t="s">
        <v>187</v>
      </c>
      <c r="E273" s="259"/>
      <c r="F273" s="259"/>
      <c r="G273" s="258" t="s">
        <v>131</v>
      </c>
      <c r="H273" s="259" t="s">
        <v>803</v>
      </c>
      <c r="I273" s="259" t="s">
        <v>105</v>
      </c>
      <c r="J273" s="258" t="s">
        <v>106</v>
      </c>
      <c r="K273" s="260">
        <f>ROUND(M273/0.15,2)</f>
        <v>0.13</v>
      </c>
      <c r="L273" s="261">
        <f>ROUND(N273/0.15,0)</f>
        <v>187</v>
      </c>
      <c r="M273" s="260">
        <f t="shared" ref="M273:N273" si="348">Q273</f>
        <v>0.02</v>
      </c>
      <c r="N273" s="261">
        <f t="shared" si="348"/>
        <v>28</v>
      </c>
      <c r="O273" s="262">
        <v>0.76</v>
      </c>
      <c r="P273" s="263">
        <v>1084.0</v>
      </c>
      <c r="Q273" s="260">
        <f t="shared" ref="Q273:R273" si="349">M271-O273</f>
        <v>0.02</v>
      </c>
      <c r="R273" s="261">
        <f t="shared" si="349"/>
        <v>28</v>
      </c>
      <c r="S273" s="264">
        <v>1426.6</v>
      </c>
      <c r="T273" s="265">
        <v>15.0</v>
      </c>
      <c r="U273" s="266" t="s">
        <v>107</v>
      </c>
      <c r="V273" s="266" t="s">
        <v>804</v>
      </c>
    </row>
    <row r="274" ht="12.75" customHeight="1">
      <c r="A274" s="245" t="s">
        <v>523</v>
      </c>
      <c r="B274" s="246" t="s">
        <v>359</v>
      </c>
      <c r="C274" s="247" t="s">
        <v>360</v>
      </c>
      <c r="D274" s="247" t="s">
        <v>191</v>
      </c>
      <c r="E274" s="248"/>
      <c r="F274" s="248"/>
      <c r="G274" s="247" t="s">
        <v>135</v>
      </c>
      <c r="H274" s="248" t="s">
        <v>805</v>
      </c>
      <c r="I274" s="248" t="s">
        <v>105</v>
      </c>
      <c r="J274" s="247" t="s">
        <v>106</v>
      </c>
      <c r="K274" s="249">
        <v>14.24</v>
      </c>
      <c r="L274" s="250">
        <v>19941.0</v>
      </c>
      <c r="M274" s="249">
        <v>2.14</v>
      </c>
      <c r="N274" s="250">
        <v>2996.0</v>
      </c>
      <c r="O274" s="249">
        <v>2.14</v>
      </c>
      <c r="P274" s="250">
        <v>2996.0</v>
      </c>
      <c r="Q274" s="251">
        <f t="shared" ref="Q274:R274" si="350">M274-O274</f>
        <v>0</v>
      </c>
      <c r="R274" s="252">
        <f t="shared" si="350"/>
        <v>0</v>
      </c>
      <c r="S274" s="253">
        <v>1400.4</v>
      </c>
      <c r="T274" s="254">
        <v>15.0</v>
      </c>
      <c r="U274" s="255" t="s">
        <v>107</v>
      </c>
      <c r="V274" s="255"/>
    </row>
    <row r="275" ht="12.75" customHeight="1">
      <c r="A275" s="245" t="s">
        <v>524</v>
      </c>
      <c r="B275" s="246" t="s">
        <v>359</v>
      </c>
      <c r="C275" s="247" t="s">
        <v>360</v>
      </c>
      <c r="D275" s="247" t="s">
        <v>191</v>
      </c>
      <c r="E275" s="248"/>
      <c r="F275" s="248"/>
      <c r="G275" s="247" t="s">
        <v>135</v>
      </c>
      <c r="H275" s="248" t="s">
        <v>806</v>
      </c>
      <c r="I275" s="248" t="s">
        <v>105</v>
      </c>
      <c r="J275" s="247" t="s">
        <v>106</v>
      </c>
      <c r="K275" s="251">
        <f t="shared" ref="K275:R275" si="351">-K274</f>
        <v>-14.24</v>
      </c>
      <c r="L275" s="252">
        <f t="shared" si="351"/>
        <v>-19941</v>
      </c>
      <c r="M275" s="251">
        <f t="shared" si="351"/>
        <v>-2.14</v>
      </c>
      <c r="N275" s="252">
        <f t="shared" si="351"/>
        <v>-2996</v>
      </c>
      <c r="O275" s="251">
        <f t="shared" si="351"/>
        <v>-2.14</v>
      </c>
      <c r="P275" s="252">
        <f t="shared" si="351"/>
        <v>-2996</v>
      </c>
      <c r="Q275" s="251">
        <f t="shared" si="351"/>
        <v>0</v>
      </c>
      <c r="R275" s="252">
        <f t="shared" si="351"/>
        <v>0</v>
      </c>
      <c r="S275" s="253">
        <v>1400.4</v>
      </c>
      <c r="T275" s="254">
        <v>15.0</v>
      </c>
      <c r="U275" s="255" t="s">
        <v>107</v>
      </c>
      <c r="V275" s="255"/>
    </row>
    <row r="276" ht="12.75" customHeight="1">
      <c r="A276" s="256" t="s">
        <v>525</v>
      </c>
      <c r="B276" s="257" t="s">
        <v>359</v>
      </c>
      <c r="C276" s="258" t="s">
        <v>360</v>
      </c>
      <c r="D276" s="258" t="s">
        <v>191</v>
      </c>
      <c r="E276" s="259"/>
      <c r="F276" s="259"/>
      <c r="G276" s="258" t="s">
        <v>135</v>
      </c>
      <c r="H276" s="259" t="s">
        <v>807</v>
      </c>
      <c r="I276" s="259" t="s">
        <v>105</v>
      </c>
      <c r="J276" s="258" t="s">
        <v>106</v>
      </c>
      <c r="K276" s="260">
        <f>ROUND(M276/0.15,2)</f>
        <v>0</v>
      </c>
      <c r="L276" s="261">
        <f>ROUND(N276/0.15,0)</f>
        <v>0</v>
      </c>
      <c r="M276" s="260">
        <f t="shared" ref="M276:N276" si="352">Q276</f>
        <v>0</v>
      </c>
      <c r="N276" s="261">
        <f t="shared" si="352"/>
        <v>0</v>
      </c>
      <c r="O276" s="262">
        <v>2.14</v>
      </c>
      <c r="P276" s="263">
        <v>2996.0</v>
      </c>
      <c r="Q276" s="260">
        <f t="shared" ref="Q276:R276" si="353">M274-O276</f>
        <v>0</v>
      </c>
      <c r="R276" s="261">
        <f t="shared" si="353"/>
        <v>0</v>
      </c>
      <c r="S276" s="264">
        <v>1400.4</v>
      </c>
      <c r="T276" s="265">
        <v>15.0</v>
      </c>
      <c r="U276" s="266" t="s">
        <v>107</v>
      </c>
      <c r="V276" s="266" t="s">
        <v>808</v>
      </c>
    </row>
    <row r="277" ht="12.75" customHeight="1">
      <c r="A277" s="245" t="s">
        <v>527</v>
      </c>
      <c r="B277" s="246" t="s">
        <v>359</v>
      </c>
      <c r="C277" s="247" t="s">
        <v>360</v>
      </c>
      <c r="D277" s="247" t="s">
        <v>195</v>
      </c>
      <c r="E277" s="248"/>
      <c r="F277" s="248"/>
      <c r="G277" s="247" t="s">
        <v>139</v>
      </c>
      <c r="H277" s="248" t="s">
        <v>809</v>
      </c>
      <c r="I277" s="248" t="s">
        <v>105</v>
      </c>
      <c r="J277" s="247" t="s">
        <v>106</v>
      </c>
      <c r="K277" s="249">
        <v>6.84</v>
      </c>
      <c r="L277" s="250">
        <v>9562.0</v>
      </c>
      <c r="M277" s="249">
        <v>1.03</v>
      </c>
      <c r="N277" s="250">
        <v>1439.0</v>
      </c>
      <c r="O277" s="249">
        <v>0.75</v>
      </c>
      <c r="P277" s="250">
        <v>1048.0</v>
      </c>
      <c r="Q277" s="251">
        <f t="shared" ref="Q277:R277" si="354">M277-O277</f>
        <v>0.28</v>
      </c>
      <c r="R277" s="252">
        <f t="shared" si="354"/>
        <v>391</v>
      </c>
      <c r="S277" s="253">
        <v>1398.0</v>
      </c>
      <c r="T277" s="254">
        <v>15.0</v>
      </c>
      <c r="U277" s="255" t="s">
        <v>107</v>
      </c>
      <c r="V277" s="255"/>
    </row>
    <row r="278" ht="12.75" customHeight="1">
      <c r="A278" s="245" t="s">
        <v>528</v>
      </c>
      <c r="B278" s="246" t="s">
        <v>359</v>
      </c>
      <c r="C278" s="247" t="s">
        <v>360</v>
      </c>
      <c r="D278" s="247" t="s">
        <v>195</v>
      </c>
      <c r="E278" s="248"/>
      <c r="F278" s="248"/>
      <c r="G278" s="247" t="s">
        <v>139</v>
      </c>
      <c r="H278" s="248" t="s">
        <v>810</v>
      </c>
      <c r="I278" s="248" t="s">
        <v>105</v>
      </c>
      <c r="J278" s="247" t="s">
        <v>106</v>
      </c>
      <c r="K278" s="251">
        <f t="shared" ref="K278:R278" si="355">-K277</f>
        <v>-6.84</v>
      </c>
      <c r="L278" s="252">
        <f t="shared" si="355"/>
        <v>-9562</v>
      </c>
      <c r="M278" s="251">
        <f t="shared" si="355"/>
        <v>-1.03</v>
      </c>
      <c r="N278" s="252">
        <f t="shared" si="355"/>
        <v>-1439</v>
      </c>
      <c r="O278" s="251">
        <f t="shared" si="355"/>
        <v>-0.75</v>
      </c>
      <c r="P278" s="252">
        <f t="shared" si="355"/>
        <v>-1048</v>
      </c>
      <c r="Q278" s="251">
        <f t="shared" si="355"/>
        <v>-0.28</v>
      </c>
      <c r="R278" s="252">
        <f t="shared" si="355"/>
        <v>-391</v>
      </c>
      <c r="S278" s="253">
        <v>1398.0</v>
      </c>
      <c r="T278" s="254">
        <v>15.0</v>
      </c>
      <c r="U278" s="255" t="s">
        <v>107</v>
      </c>
      <c r="V278" s="255"/>
    </row>
    <row r="279" ht="12.75" customHeight="1">
      <c r="A279" s="256" t="s">
        <v>529</v>
      </c>
      <c r="B279" s="257" t="s">
        <v>359</v>
      </c>
      <c r="C279" s="258" t="s">
        <v>360</v>
      </c>
      <c r="D279" s="258" t="s">
        <v>195</v>
      </c>
      <c r="E279" s="259"/>
      <c r="F279" s="259"/>
      <c r="G279" s="258" t="s">
        <v>139</v>
      </c>
      <c r="H279" s="259" t="s">
        <v>811</v>
      </c>
      <c r="I279" s="259" t="s">
        <v>105</v>
      </c>
      <c r="J279" s="258" t="s">
        <v>106</v>
      </c>
      <c r="K279" s="260">
        <f>ROUND(M279/0.15,2)</f>
        <v>1.87</v>
      </c>
      <c r="L279" s="261">
        <f>ROUND(N279/0.15,0)</f>
        <v>2607</v>
      </c>
      <c r="M279" s="260">
        <f t="shared" ref="M279:N279" si="356">Q279</f>
        <v>0.28</v>
      </c>
      <c r="N279" s="261">
        <f t="shared" si="356"/>
        <v>391</v>
      </c>
      <c r="O279" s="262">
        <v>0.75</v>
      </c>
      <c r="P279" s="263">
        <v>1048.0</v>
      </c>
      <c r="Q279" s="260">
        <f t="shared" ref="Q279:R279" si="357">M277-O279</f>
        <v>0.28</v>
      </c>
      <c r="R279" s="261">
        <f t="shared" si="357"/>
        <v>391</v>
      </c>
      <c r="S279" s="264">
        <v>1398.0</v>
      </c>
      <c r="T279" s="265">
        <v>15.0</v>
      </c>
      <c r="U279" s="266" t="s">
        <v>107</v>
      </c>
      <c r="V279" s="266" t="s">
        <v>812</v>
      </c>
    </row>
    <row r="280" ht="12.75" customHeight="1">
      <c r="A280" s="245" t="s">
        <v>813</v>
      </c>
      <c r="B280" s="246" t="s">
        <v>359</v>
      </c>
      <c r="C280" s="247" t="s">
        <v>360</v>
      </c>
      <c r="D280" s="247" t="s">
        <v>390</v>
      </c>
      <c r="E280" s="248"/>
      <c r="F280" s="248"/>
      <c r="G280" s="247" t="s">
        <v>127</v>
      </c>
      <c r="H280" s="248" t="s">
        <v>814</v>
      </c>
      <c r="I280" s="248" t="s">
        <v>105</v>
      </c>
      <c r="J280" s="247" t="s">
        <v>106</v>
      </c>
      <c r="K280" s="249">
        <v>9.77</v>
      </c>
      <c r="L280" s="250">
        <v>13368.0</v>
      </c>
      <c r="M280" s="249">
        <v>1.47</v>
      </c>
      <c r="N280" s="250">
        <v>2011.0</v>
      </c>
      <c r="O280" s="249">
        <v>0.78</v>
      </c>
      <c r="P280" s="250">
        <v>1067.0</v>
      </c>
      <c r="Q280" s="251">
        <f t="shared" ref="Q280:R280" si="358">M280-O280</f>
        <v>0.69</v>
      </c>
      <c r="R280" s="252">
        <f t="shared" si="358"/>
        <v>944</v>
      </c>
      <c r="S280" s="253">
        <v>1368.3</v>
      </c>
      <c r="T280" s="254">
        <v>15.0</v>
      </c>
      <c r="U280" s="255" t="s">
        <v>107</v>
      </c>
      <c r="V280" s="255"/>
    </row>
    <row r="281" ht="12.75" customHeight="1">
      <c r="A281" s="245" t="s">
        <v>815</v>
      </c>
      <c r="B281" s="246" t="s">
        <v>359</v>
      </c>
      <c r="C281" s="247" t="s">
        <v>360</v>
      </c>
      <c r="D281" s="247" t="s">
        <v>390</v>
      </c>
      <c r="E281" s="248"/>
      <c r="F281" s="248"/>
      <c r="G281" s="247" t="s">
        <v>127</v>
      </c>
      <c r="H281" s="248" t="s">
        <v>816</v>
      </c>
      <c r="I281" s="248" t="s">
        <v>105</v>
      </c>
      <c r="J281" s="247" t="s">
        <v>106</v>
      </c>
      <c r="K281" s="251">
        <f t="shared" ref="K281:R281" si="359">-K280</f>
        <v>-9.77</v>
      </c>
      <c r="L281" s="252">
        <f t="shared" si="359"/>
        <v>-13368</v>
      </c>
      <c r="M281" s="251">
        <f t="shared" si="359"/>
        <v>-1.47</v>
      </c>
      <c r="N281" s="252">
        <f t="shared" si="359"/>
        <v>-2011</v>
      </c>
      <c r="O281" s="251">
        <f t="shared" si="359"/>
        <v>-0.78</v>
      </c>
      <c r="P281" s="252">
        <f t="shared" si="359"/>
        <v>-1067</v>
      </c>
      <c r="Q281" s="251">
        <f t="shared" si="359"/>
        <v>-0.69</v>
      </c>
      <c r="R281" s="252">
        <f t="shared" si="359"/>
        <v>-944</v>
      </c>
      <c r="S281" s="253">
        <v>1368.3</v>
      </c>
      <c r="T281" s="254">
        <v>15.0</v>
      </c>
      <c r="U281" s="255" t="s">
        <v>107</v>
      </c>
      <c r="V281" s="255"/>
    </row>
    <row r="282" ht="12.75" customHeight="1">
      <c r="A282" s="256" t="s">
        <v>817</v>
      </c>
      <c r="B282" s="257" t="s">
        <v>359</v>
      </c>
      <c r="C282" s="258" t="s">
        <v>360</v>
      </c>
      <c r="D282" s="258" t="s">
        <v>390</v>
      </c>
      <c r="E282" s="259"/>
      <c r="F282" s="259"/>
      <c r="G282" s="258" t="s">
        <v>127</v>
      </c>
      <c r="H282" s="259" t="s">
        <v>818</v>
      </c>
      <c r="I282" s="259" t="s">
        <v>105</v>
      </c>
      <c r="J282" s="258" t="s">
        <v>106</v>
      </c>
      <c r="K282" s="260">
        <f>ROUND(M282/0.15,2)</f>
        <v>4.6</v>
      </c>
      <c r="L282" s="261">
        <f>ROUND(N282/0.15,0)</f>
        <v>6293</v>
      </c>
      <c r="M282" s="260">
        <f t="shared" ref="M282:N282" si="360">Q282</f>
        <v>0.69</v>
      </c>
      <c r="N282" s="261">
        <f t="shared" si="360"/>
        <v>944</v>
      </c>
      <c r="O282" s="262">
        <v>0.78</v>
      </c>
      <c r="P282" s="263">
        <v>1067.0</v>
      </c>
      <c r="Q282" s="260">
        <f t="shared" ref="Q282:R282" si="361">M280-O282</f>
        <v>0.69</v>
      </c>
      <c r="R282" s="261">
        <f t="shared" si="361"/>
        <v>944</v>
      </c>
      <c r="S282" s="264">
        <v>1368.3</v>
      </c>
      <c r="T282" s="265">
        <v>15.0</v>
      </c>
      <c r="U282" s="266" t="s">
        <v>107</v>
      </c>
      <c r="V282" s="266" t="s">
        <v>819</v>
      </c>
    </row>
    <row r="283" ht="12.75" customHeight="1">
      <c r="A283" s="267" t="s">
        <v>820</v>
      </c>
      <c r="B283" s="268" t="s">
        <v>359</v>
      </c>
      <c r="C283" s="269" t="s">
        <v>360</v>
      </c>
      <c r="D283" s="269" t="s">
        <v>200</v>
      </c>
      <c r="E283" s="270"/>
      <c r="F283" s="270"/>
      <c r="G283" s="269" t="s">
        <v>288</v>
      </c>
      <c r="H283" s="270" t="s">
        <v>821</v>
      </c>
      <c r="I283" s="270" t="s">
        <v>105</v>
      </c>
      <c r="J283" s="269" t="s">
        <v>106</v>
      </c>
      <c r="K283" s="271">
        <v>4.7</v>
      </c>
      <c r="L283" s="272">
        <v>6492.0</v>
      </c>
      <c r="M283" s="271">
        <v>0.7</v>
      </c>
      <c r="N283" s="272">
        <v>966.0</v>
      </c>
      <c r="O283" s="271">
        <v>0.0</v>
      </c>
      <c r="P283" s="272">
        <v>0.0</v>
      </c>
      <c r="Q283" s="273">
        <f t="shared" ref="Q283:R283" si="362">M283-O283</f>
        <v>0.7</v>
      </c>
      <c r="R283" s="274">
        <f t="shared" si="362"/>
        <v>966</v>
      </c>
      <c r="S283" s="275">
        <v>1381.4</v>
      </c>
      <c r="T283" s="276">
        <v>15.0</v>
      </c>
      <c r="U283" s="277" t="s">
        <v>107</v>
      </c>
      <c r="V283" s="277"/>
    </row>
    <row r="284" ht="12.75" customHeight="1">
      <c r="A284" s="245" t="s">
        <v>822</v>
      </c>
      <c r="B284" s="246" t="s">
        <v>359</v>
      </c>
      <c r="C284" s="247" t="s">
        <v>360</v>
      </c>
      <c r="D284" s="247" t="s">
        <v>199</v>
      </c>
      <c r="E284" s="248"/>
      <c r="F284" s="248"/>
      <c r="G284" s="247" t="s">
        <v>131</v>
      </c>
      <c r="H284" s="248" t="s">
        <v>823</v>
      </c>
      <c r="I284" s="248" t="s">
        <v>105</v>
      </c>
      <c r="J284" s="247" t="s">
        <v>106</v>
      </c>
      <c r="K284" s="249">
        <v>5.88</v>
      </c>
      <c r="L284" s="250">
        <v>8096.0</v>
      </c>
      <c r="M284" s="249">
        <v>0.88</v>
      </c>
      <c r="N284" s="250">
        <v>1211.0</v>
      </c>
      <c r="O284" s="249">
        <v>0.85</v>
      </c>
      <c r="P284" s="250">
        <v>1170.0</v>
      </c>
      <c r="Q284" s="251">
        <f t="shared" ref="Q284:R284" si="363">M284-O284</f>
        <v>0.03</v>
      </c>
      <c r="R284" s="252">
        <f t="shared" si="363"/>
        <v>41</v>
      </c>
      <c r="S284" s="253">
        <v>1376.9</v>
      </c>
      <c r="T284" s="254">
        <v>15.0</v>
      </c>
      <c r="U284" s="255" t="s">
        <v>107</v>
      </c>
      <c r="V284" s="255"/>
    </row>
    <row r="285" ht="12.75" customHeight="1">
      <c r="A285" s="245" t="s">
        <v>824</v>
      </c>
      <c r="B285" s="246" t="s">
        <v>359</v>
      </c>
      <c r="C285" s="247" t="s">
        <v>360</v>
      </c>
      <c r="D285" s="247" t="s">
        <v>199</v>
      </c>
      <c r="E285" s="248"/>
      <c r="F285" s="248"/>
      <c r="G285" s="247" t="s">
        <v>131</v>
      </c>
      <c r="H285" s="248" t="s">
        <v>825</v>
      </c>
      <c r="I285" s="248" t="s">
        <v>105</v>
      </c>
      <c r="J285" s="247" t="s">
        <v>106</v>
      </c>
      <c r="K285" s="251">
        <f t="shared" ref="K285:R285" si="364">-K284</f>
        <v>-5.88</v>
      </c>
      <c r="L285" s="252">
        <f t="shared" si="364"/>
        <v>-8096</v>
      </c>
      <c r="M285" s="251">
        <f t="shared" si="364"/>
        <v>-0.88</v>
      </c>
      <c r="N285" s="252">
        <f t="shared" si="364"/>
        <v>-1211</v>
      </c>
      <c r="O285" s="251">
        <f t="shared" si="364"/>
        <v>-0.85</v>
      </c>
      <c r="P285" s="252">
        <f t="shared" si="364"/>
        <v>-1170</v>
      </c>
      <c r="Q285" s="251">
        <f t="shared" si="364"/>
        <v>-0.03</v>
      </c>
      <c r="R285" s="252">
        <f t="shared" si="364"/>
        <v>-41</v>
      </c>
      <c r="S285" s="253">
        <v>1376.9</v>
      </c>
      <c r="T285" s="254">
        <v>15.0</v>
      </c>
      <c r="U285" s="255" t="s">
        <v>107</v>
      </c>
      <c r="V285" s="255"/>
    </row>
    <row r="286" ht="12.75" customHeight="1">
      <c r="A286" s="256" t="s">
        <v>826</v>
      </c>
      <c r="B286" s="257" t="s">
        <v>359</v>
      </c>
      <c r="C286" s="258" t="s">
        <v>360</v>
      </c>
      <c r="D286" s="258" t="s">
        <v>199</v>
      </c>
      <c r="E286" s="259"/>
      <c r="F286" s="259"/>
      <c r="G286" s="258" t="s">
        <v>131</v>
      </c>
      <c r="H286" s="259" t="s">
        <v>827</v>
      </c>
      <c r="I286" s="259" t="s">
        <v>105</v>
      </c>
      <c r="J286" s="258" t="s">
        <v>106</v>
      </c>
      <c r="K286" s="260">
        <f>ROUND(M286/0.15,2)</f>
        <v>0.2</v>
      </c>
      <c r="L286" s="261">
        <f>ROUND(N286/0.15,0)</f>
        <v>273</v>
      </c>
      <c r="M286" s="260">
        <f t="shared" ref="M286:N286" si="365">Q286</f>
        <v>0.03</v>
      </c>
      <c r="N286" s="261">
        <f t="shared" si="365"/>
        <v>41</v>
      </c>
      <c r="O286" s="262">
        <v>0.85</v>
      </c>
      <c r="P286" s="263">
        <v>1170.0</v>
      </c>
      <c r="Q286" s="260">
        <f t="shared" ref="Q286:R286" si="366">M284-O286</f>
        <v>0.03</v>
      </c>
      <c r="R286" s="261">
        <f t="shared" si="366"/>
        <v>41</v>
      </c>
      <c r="S286" s="264">
        <v>1376.9</v>
      </c>
      <c r="T286" s="265">
        <v>15.0</v>
      </c>
      <c r="U286" s="266" t="s">
        <v>107</v>
      </c>
      <c r="V286" s="266" t="s">
        <v>828</v>
      </c>
    </row>
    <row r="287" ht="12.75" customHeight="1">
      <c r="A287" s="245" t="s">
        <v>534</v>
      </c>
      <c r="B287" s="246" t="s">
        <v>359</v>
      </c>
      <c r="C287" s="247" t="s">
        <v>360</v>
      </c>
      <c r="D287" s="247" t="s">
        <v>201</v>
      </c>
      <c r="E287" s="248"/>
      <c r="F287" s="248"/>
      <c r="G287" s="247" t="s">
        <v>135</v>
      </c>
      <c r="H287" s="248" t="s">
        <v>829</v>
      </c>
      <c r="I287" s="248" t="s">
        <v>105</v>
      </c>
      <c r="J287" s="247" t="s">
        <v>106</v>
      </c>
      <c r="K287" s="249">
        <v>8.82</v>
      </c>
      <c r="L287" s="250">
        <v>11985.0</v>
      </c>
      <c r="M287" s="249">
        <v>1.32</v>
      </c>
      <c r="N287" s="250">
        <v>1793.0</v>
      </c>
      <c r="O287" s="249">
        <v>1.32</v>
      </c>
      <c r="P287" s="250">
        <v>1793.0</v>
      </c>
      <c r="Q287" s="251">
        <f t="shared" ref="Q287:R287" si="367">M287-O287</f>
        <v>0</v>
      </c>
      <c r="R287" s="252">
        <f t="shared" si="367"/>
        <v>0</v>
      </c>
      <c r="S287" s="253">
        <v>1358.9</v>
      </c>
      <c r="T287" s="254">
        <v>15.0</v>
      </c>
      <c r="U287" s="255" t="s">
        <v>107</v>
      </c>
      <c r="V287" s="255"/>
    </row>
    <row r="288" ht="12.75" customHeight="1">
      <c r="A288" s="245" t="s">
        <v>535</v>
      </c>
      <c r="B288" s="246" t="s">
        <v>359</v>
      </c>
      <c r="C288" s="247" t="s">
        <v>360</v>
      </c>
      <c r="D288" s="247" t="s">
        <v>201</v>
      </c>
      <c r="E288" s="248"/>
      <c r="F288" s="248"/>
      <c r="G288" s="247" t="s">
        <v>135</v>
      </c>
      <c r="H288" s="248" t="s">
        <v>830</v>
      </c>
      <c r="I288" s="248" t="s">
        <v>105</v>
      </c>
      <c r="J288" s="247" t="s">
        <v>106</v>
      </c>
      <c r="K288" s="251">
        <f t="shared" ref="K288:R288" si="368">-K287</f>
        <v>-8.82</v>
      </c>
      <c r="L288" s="252">
        <f t="shared" si="368"/>
        <v>-11985</v>
      </c>
      <c r="M288" s="251">
        <f t="shared" si="368"/>
        <v>-1.32</v>
      </c>
      <c r="N288" s="252">
        <f t="shared" si="368"/>
        <v>-1793</v>
      </c>
      <c r="O288" s="251">
        <f t="shared" si="368"/>
        <v>-1.32</v>
      </c>
      <c r="P288" s="252">
        <f t="shared" si="368"/>
        <v>-1793</v>
      </c>
      <c r="Q288" s="251">
        <f t="shared" si="368"/>
        <v>0</v>
      </c>
      <c r="R288" s="252">
        <f t="shared" si="368"/>
        <v>0</v>
      </c>
      <c r="S288" s="253">
        <v>1358.9</v>
      </c>
      <c r="T288" s="254">
        <v>15.0</v>
      </c>
      <c r="U288" s="255" t="s">
        <v>107</v>
      </c>
      <c r="V288" s="255"/>
    </row>
    <row r="289" ht="12.75" customHeight="1">
      <c r="A289" s="256" t="s">
        <v>536</v>
      </c>
      <c r="B289" s="257" t="s">
        <v>359</v>
      </c>
      <c r="C289" s="258" t="s">
        <v>360</v>
      </c>
      <c r="D289" s="258" t="s">
        <v>201</v>
      </c>
      <c r="E289" s="259"/>
      <c r="F289" s="259"/>
      <c r="G289" s="258" t="s">
        <v>135</v>
      </c>
      <c r="H289" s="259" t="s">
        <v>831</v>
      </c>
      <c r="I289" s="259" t="s">
        <v>105</v>
      </c>
      <c r="J289" s="258" t="s">
        <v>106</v>
      </c>
      <c r="K289" s="260">
        <f>ROUND(M289/0.15,2)</f>
        <v>0</v>
      </c>
      <c r="L289" s="261">
        <f>ROUND(N289/0.15,0)</f>
        <v>0</v>
      </c>
      <c r="M289" s="260">
        <f t="shared" ref="M289:N289" si="369">Q289</f>
        <v>0</v>
      </c>
      <c r="N289" s="261">
        <f t="shared" si="369"/>
        <v>0</v>
      </c>
      <c r="O289" s="262">
        <v>1.32</v>
      </c>
      <c r="P289" s="263">
        <v>1793.0</v>
      </c>
      <c r="Q289" s="260">
        <f t="shared" ref="Q289:R289" si="370">M287-O289</f>
        <v>0</v>
      </c>
      <c r="R289" s="261">
        <f t="shared" si="370"/>
        <v>0</v>
      </c>
      <c r="S289" s="264">
        <v>1358.9</v>
      </c>
      <c r="T289" s="265">
        <v>15.0</v>
      </c>
      <c r="U289" s="266" t="s">
        <v>107</v>
      </c>
      <c r="V289" s="266" t="s">
        <v>832</v>
      </c>
    </row>
    <row r="290" ht="12.75" customHeight="1">
      <c r="A290" s="245" t="s">
        <v>833</v>
      </c>
      <c r="B290" s="246" t="s">
        <v>359</v>
      </c>
      <c r="C290" s="247" t="s">
        <v>360</v>
      </c>
      <c r="D290" s="247" t="s">
        <v>206</v>
      </c>
      <c r="E290" s="248"/>
      <c r="F290" s="248"/>
      <c r="G290" s="247" t="s">
        <v>139</v>
      </c>
      <c r="H290" s="248" t="s">
        <v>834</v>
      </c>
      <c r="I290" s="248" t="s">
        <v>105</v>
      </c>
      <c r="J290" s="247" t="s">
        <v>106</v>
      </c>
      <c r="K290" s="249">
        <v>3.63</v>
      </c>
      <c r="L290" s="250">
        <v>4961.0</v>
      </c>
      <c r="M290" s="249">
        <v>0.55</v>
      </c>
      <c r="N290" s="250">
        <v>751.0</v>
      </c>
      <c r="O290" s="249">
        <v>0.4</v>
      </c>
      <c r="P290" s="250">
        <v>546.0</v>
      </c>
      <c r="Q290" s="251">
        <f t="shared" ref="Q290:R290" si="371">M290-O290</f>
        <v>0.15</v>
      </c>
      <c r="R290" s="252">
        <f t="shared" si="371"/>
        <v>205</v>
      </c>
      <c r="S290" s="253">
        <v>1363.6</v>
      </c>
      <c r="T290" s="254">
        <v>15.0</v>
      </c>
      <c r="U290" s="255" t="s">
        <v>107</v>
      </c>
      <c r="V290" s="255"/>
    </row>
    <row r="291" ht="12.75" customHeight="1">
      <c r="A291" s="245" t="s">
        <v>835</v>
      </c>
      <c r="B291" s="246" t="s">
        <v>359</v>
      </c>
      <c r="C291" s="247" t="s">
        <v>360</v>
      </c>
      <c r="D291" s="247" t="s">
        <v>206</v>
      </c>
      <c r="E291" s="248"/>
      <c r="F291" s="248"/>
      <c r="G291" s="247" t="s">
        <v>139</v>
      </c>
      <c r="H291" s="248" t="s">
        <v>836</v>
      </c>
      <c r="I291" s="248" t="s">
        <v>105</v>
      </c>
      <c r="J291" s="247" t="s">
        <v>106</v>
      </c>
      <c r="K291" s="251">
        <f t="shared" ref="K291:R291" si="372">-K290</f>
        <v>-3.63</v>
      </c>
      <c r="L291" s="252">
        <f t="shared" si="372"/>
        <v>-4961</v>
      </c>
      <c r="M291" s="251">
        <f t="shared" si="372"/>
        <v>-0.55</v>
      </c>
      <c r="N291" s="252">
        <f t="shared" si="372"/>
        <v>-751</v>
      </c>
      <c r="O291" s="251">
        <f t="shared" si="372"/>
        <v>-0.4</v>
      </c>
      <c r="P291" s="252">
        <f t="shared" si="372"/>
        <v>-546</v>
      </c>
      <c r="Q291" s="251">
        <f t="shared" si="372"/>
        <v>-0.15</v>
      </c>
      <c r="R291" s="252">
        <f t="shared" si="372"/>
        <v>-205</v>
      </c>
      <c r="S291" s="253">
        <v>1363.6</v>
      </c>
      <c r="T291" s="254">
        <v>15.0</v>
      </c>
      <c r="U291" s="255" t="s">
        <v>107</v>
      </c>
      <c r="V291" s="255"/>
    </row>
    <row r="292" ht="12.75" customHeight="1">
      <c r="A292" s="256" t="s">
        <v>837</v>
      </c>
      <c r="B292" s="257" t="s">
        <v>359</v>
      </c>
      <c r="C292" s="258" t="s">
        <v>360</v>
      </c>
      <c r="D292" s="258" t="s">
        <v>206</v>
      </c>
      <c r="E292" s="259"/>
      <c r="F292" s="259"/>
      <c r="G292" s="258" t="s">
        <v>139</v>
      </c>
      <c r="H292" s="259" t="s">
        <v>838</v>
      </c>
      <c r="I292" s="259" t="s">
        <v>105</v>
      </c>
      <c r="J292" s="258" t="s">
        <v>106</v>
      </c>
      <c r="K292" s="260">
        <f>ROUND(M292/0.15,2)</f>
        <v>1</v>
      </c>
      <c r="L292" s="261">
        <f>ROUND(N292/0.15,0)</f>
        <v>1367</v>
      </c>
      <c r="M292" s="260">
        <f t="shared" ref="M292:N292" si="373">Q292</f>
        <v>0.15</v>
      </c>
      <c r="N292" s="261">
        <f t="shared" si="373"/>
        <v>205</v>
      </c>
      <c r="O292" s="262">
        <v>0.4</v>
      </c>
      <c r="P292" s="263">
        <v>546.0</v>
      </c>
      <c r="Q292" s="260">
        <f t="shared" ref="Q292:R292" si="374">M290-O292</f>
        <v>0.15</v>
      </c>
      <c r="R292" s="261">
        <f t="shared" si="374"/>
        <v>205</v>
      </c>
      <c r="S292" s="264">
        <v>1363.6</v>
      </c>
      <c r="T292" s="265">
        <v>15.0</v>
      </c>
      <c r="U292" s="266" t="s">
        <v>107</v>
      </c>
      <c r="V292" s="266" t="s">
        <v>839</v>
      </c>
    </row>
    <row r="293" ht="12.75" customHeight="1">
      <c r="A293" s="245" t="s">
        <v>539</v>
      </c>
      <c r="B293" s="246" t="s">
        <v>359</v>
      </c>
      <c r="C293" s="247" t="s">
        <v>360</v>
      </c>
      <c r="D293" s="247" t="s">
        <v>213</v>
      </c>
      <c r="E293" s="248"/>
      <c r="F293" s="248"/>
      <c r="G293" s="247" t="s">
        <v>127</v>
      </c>
      <c r="H293" s="248" t="s">
        <v>840</v>
      </c>
      <c r="I293" s="248" t="s">
        <v>105</v>
      </c>
      <c r="J293" s="247" t="s">
        <v>106</v>
      </c>
      <c r="K293" s="249">
        <v>4.03</v>
      </c>
      <c r="L293" s="250">
        <v>5518.0</v>
      </c>
      <c r="M293" s="249">
        <v>0.6</v>
      </c>
      <c r="N293" s="250">
        <v>821.0</v>
      </c>
      <c r="O293" s="249">
        <v>0.31</v>
      </c>
      <c r="P293" s="250">
        <v>424.0</v>
      </c>
      <c r="Q293" s="251">
        <f t="shared" ref="Q293:R293" si="375">M293-O293</f>
        <v>0.29</v>
      </c>
      <c r="R293" s="252">
        <f t="shared" si="375"/>
        <v>397</v>
      </c>
      <c r="S293" s="253">
        <v>1369.4</v>
      </c>
      <c r="T293" s="254">
        <v>15.0</v>
      </c>
      <c r="U293" s="255" t="s">
        <v>107</v>
      </c>
      <c r="V293" s="255"/>
    </row>
    <row r="294" ht="12.75" customHeight="1">
      <c r="A294" s="245" t="s">
        <v>540</v>
      </c>
      <c r="B294" s="246" t="s">
        <v>359</v>
      </c>
      <c r="C294" s="247" t="s">
        <v>360</v>
      </c>
      <c r="D294" s="247" t="s">
        <v>213</v>
      </c>
      <c r="E294" s="248"/>
      <c r="F294" s="248"/>
      <c r="G294" s="247" t="s">
        <v>127</v>
      </c>
      <c r="H294" s="248" t="s">
        <v>841</v>
      </c>
      <c r="I294" s="248" t="s">
        <v>105</v>
      </c>
      <c r="J294" s="247" t="s">
        <v>106</v>
      </c>
      <c r="K294" s="251">
        <f t="shared" ref="K294:R294" si="376">-K293</f>
        <v>-4.03</v>
      </c>
      <c r="L294" s="252">
        <f t="shared" si="376"/>
        <v>-5518</v>
      </c>
      <c r="M294" s="251">
        <f t="shared" si="376"/>
        <v>-0.6</v>
      </c>
      <c r="N294" s="252">
        <f t="shared" si="376"/>
        <v>-821</v>
      </c>
      <c r="O294" s="251">
        <f t="shared" si="376"/>
        <v>-0.31</v>
      </c>
      <c r="P294" s="252">
        <f t="shared" si="376"/>
        <v>-424</v>
      </c>
      <c r="Q294" s="251">
        <f t="shared" si="376"/>
        <v>-0.29</v>
      </c>
      <c r="R294" s="252">
        <f t="shared" si="376"/>
        <v>-397</v>
      </c>
      <c r="S294" s="253">
        <v>1369.4</v>
      </c>
      <c r="T294" s="254">
        <v>15.0</v>
      </c>
      <c r="U294" s="255" t="s">
        <v>107</v>
      </c>
      <c r="V294" s="255"/>
    </row>
    <row r="295" ht="12.75" customHeight="1">
      <c r="A295" s="256" t="s">
        <v>541</v>
      </c>
      <c r="B295" s="257" t="s">
        <v>359</v>
      </c>
      <c r="C295" s="258" t="s">
        <v>360</v>
      </c>
      <c r="D295" s="258" t="s">
        <v>213</v>
      </c>
      <c r="E295" s="259"/>
      <c r="F295" s="259"/>
      <c r="G295" s="258" t="s">
        <v>127</v>
      </c>
      <c r="H295" s="259" t="s">
        <v>842</v>
      </c>
      <c r="I295" s="259" t="s">
        <v>105</v>
      </c>
      <c r="J295" s="258" t="s">
        <v>106</v>
      </c>
      <c r="K295" s="260">
        <f>ROUND(M295/0.15,2)</f>
        <v>1.93</v>
      </c>
      <c r="L295" s="261">
        <f>ROUND(N295/0.15,0)</f>
        <v>2647</v>
      </c>
      <c r="M295" s="260">
        <f t="shared" ref="M295:N295" si="377">Q295</f>
        <v>0.29</v>
      </c>
      <c r="N295" s="261">
        <f t="shared" si="377"/>
        <v>397</v>
      </c>
      <c r="O295" s="262">
        <v>0.31</v>
      </c>
      <c r="P295" s="263">
        <v>424.0</v>
      </c>
      <c r="Q295" s="260">
        <f t="shared" ref="Q295:R295" si="378">M293-O295</f>
        <v>0.29</v>
      </c>
      <c r="R295" s="261">
        <f t="shared" si="378"/>
        <v>397</v>
      </c>
      <c r="S295" s="264">
        <v>1369.4</v>
      </c>
      <c r="T295" s="265">
        <v>15.0</v>
      </c>
      <c r="U295" s="266" t="s">
        <v>107</v>
      </c>
      <c r="V295" s="266" t="s">
        <v>843</v>
      </c>
    </row>
    <row r="296" ht="12.75" customHeight="1">
      <c r="A296" s="267" t="s">
        <v>844</v>
      </c>
      <c r="B296" s="268" t="s">
        <v>359</v>
      </c>
      <c r="C296" s="269" t="s">
        <v>360</v>
      </c>
      <c r="D296" s="269" t="s">
        <v>218</v>
      </c>
      <c r="E296" s="270"/>
      <c r="F296" s="270"/>
      <c r="G296" s="269" t="s">
        <v>288</v>
      </c>
      <c r="H296" s="270" t="s">
        <v>845</v>
      </c>
      <c r="I296" s="270" t="s">
        <v>105</v>
      </c>
      <c r="J296" s="269" t="s">
        <v>106</v>
      </c>
      <c r="K296" s="271">
        <v>4.88</v>
      </c>
      <c r="L296" s="272">
        <v>6605.0</v>
      </c>
      <c r="M296" s="271">
        <v>0.73</v>
      </c>
      <c r="N296" s="272">
        <v>988.0</v>
      </c>
      <c r="O296" s="271">
        <v>0.0</v>
      </c>
      <c r="P296" s="272">
        <v>0.0</v>
      </c>
      <c r="Q296" s="273">
        <f t="shared" ref="Q296:R296" si="379">M296-O296</f>
        <v>0.73</v>
      </c>
      <c r="R296" s="274">
        <f t="shared" si="379"/>
        <v>988</v>
      </c>
      <c r="S296" s="275">
        <v>1353.6</v>
      </c>
      <c r="T296" s="276">
        <v>15.0</v>
      </c>
      <c r="U296" s="277" t="s">
        <v>107</v>
      </c>
      <c r="V296" s="277"/>
    </row>
    <row r="297" ht="12.75" customHeight="1">
      <c r="A297" s="245" t="s">
        <v>547</v>
      </c>
      <c r="B297" s="246" t="s">
        <v>359</v>
      </c>
      <c r="C297" s="247" t="s">
        <v>360</v>
      </c>
      <c r="D297" s="247" t="s">
        <v>218</v>
      </c>
      <c r="E297" s="248"/>
      <c r="F297" s="248"/>
      <c r="G297" s="247" t="s">
        <v>131</v>
      </c>
      <c r="H297" s="248" t="s">
        <v>846</v>
      </c>
      <c r="I297" s="248" t="s">
        <v>105</v>
      </c>
      <c r="J297" s="247" t="s">
        <v>106</v>
      </c>
      <c r="K297" s="249">
        <v>4.28</v>
      </c>
      <c r="L297" s="250">
        <v>5793.0</v>
      </c>
      <c r="M297" s="249">
        <v>0.64</v>
      </c>
      <c r="N297" s="250">
        <v>866.0</v>
      </c>
      <c r="O297" s="249">
        <v>0.62</v>
      </c>
      <c r="P297" s="250">
        <v>839.0</v>
      </c>
      <c r="Q297" s="251">
        <f t="shared" ref="Q297:R297" si="380">M297-O297</f>
        <v>0.02</v>
      </c>
      <c r="R297" s="252">
        <f t="shared" si="380"/>
        <v>27</v>
      </c>
      <c r="S297" s="253">
        <v>1353.6</v>
      </c>
      <c r="T297" s="254">
        <v>15.0</v>
      </c>
      <c r="U297" s="255" t="s">
        <v>107</v>
      </c>
      <c r="V297" s="255"/>
    </row>
    <row r="298" ht="12.75" customHeight="1">
      <c r="A298" s="245" t="s">
        <v>548</v>
      </c>
      <c r="B298" s="246" t="s">
        <v>359</v>
      </c>
      <c r="C298" s="247" t="s">
        <v>360</v>
      </c>
      <c r="D298" s="247" t="s">
        <v>218</v>
      </c>
      <c r="E298" s="248"/>
      <c r="F298" s="248"/>
      <c r="G298" s="247" t="s">
        <v>131</v>
      </c>
      <c r="H298" s="248" t="s">
        <v>847</v>
      </c>
      <c r="I298" s="248" t="s">
        <v>105</v>
      </c>
      <c r="J298" s="247" t="s">
        <v>106</v>
      </c>
      <c r="K298" s="251">
        <f t="shared" ref="K298:R298" si="381">-K297</f>
        <v>-4.28</v>
      </c>
      <c r="L298" s="252">
        <f t="shared" si="381"/>
        <v>-5793</v>
      </c>
      <c r="M298" s="251">
        <f t="shared" si="381"/>
        <v>-0.64</v>
      </c>
      <c r="N298" s="252">
        <f t="shared" si="381"/>
        <v>-866</v>
      </c>
      <c r="O298" s="251">
        <f t="shared" si="381"/>
        <v>-0.62</v>
      </c>
      <c r="P298" s="252">
        <f t="shared" si="381"/>
        <v>-839</v>
      </c>
      <c r="Q298" s="251">
        <f t="shared" si="381"/>
        <v>-0.02</v>
      </c>
      <c r="R298" s="252">
        <f t="shared" si="381"/>
        <v>-27</v>
      </c>
      <c r="S298" s="253">
        <v>1353.6</v>
      </c>
      <c r="T298" s="254">
        <v>15.0</v>
      </c>
      <c r="U298" s="255" t="s">
        <v>107</v>
      </c>
      <c r="V298" s="255"/>
    </row>
    <row r="299" ht="12.75" customHeight="1">
      <c r="A299" s="256" t="s">
        <v>549</v>
      </c>
      <c r="B299" s="257" t="s">
        <v>359</v>
      </c>
      <c r="C299" s="258" t="s">
        <v>360</v>
      </c>
      <c r="D299" s="258" t="s">
        <v>218</v>
      </c>
      <c r="E299" s="259"/>
      <c r="F299" s="259"/>
      <c r="G299" s="258" t="s">
        <v>131</v>
      </c>
      <c r="H299" s="259" t="s">
        <v>848</v>
      </c>
      <c r="I299" s="259" t="s">
        <v>105</v>
      </c>
      <c r="J299" s="258" t="s">
        <v>106</v>
      </c>
      <c r="K299" s="260">
        <f>ROUND(M299/0.15,2)</f>
        <v>0.13</v>
      </c>
      <c r="L299" s="261">
        <f>ROUND(N299/0.15,0)</f>
        <v>180</v>
      </c>
      <c r="M299" s="260">
        <f t="shared" ref="M299:N299" si="382">Q299</f>
        <v>0.02</v>
      </c>
      <c r="N299" s="261">
        <f t="shared" si="382"/>
        <v>27</v>
      </c>
      <c r="O299" s="262">
        <v>0.62</v>
      </c>
      <c r="P299" s="263">
        <v>839.0</v>
      </c>
      <c r="Q299" s="260">
        <f t="shared" ref="Q299:R299" si="383">M297-O299</f>
        <v>0.02</v>
      </c>
      <c r="R299" s="261">
        <f t="shared" si="383"/>
        <v>27</v>
      </c>
      <c r="S299" s="264">
        <v>1353.6</v>
      </c>
      <c r="T299" s="265">
        <v>15.0</v>
      </c>
      <c r="U299" s="266" t="s">
        <v>107</v>
      </c>
      <c r="V299" s="266" t="s">
        <v>849</v>
      </c>
    </row>
    <row r="300" ht="12.75" customHeight="1">
      <c r="A300" s="245" t="s">
        <v>551</v>
      </c>
      <c r="B300" s="246" t="s">
        <v>359</v>
      </c>
      <c r="C300" s="247" t="s">
        <v>360</v>
      </c>
      <c r="D300" s="247" t="s">
        <v>218</v>
      </c>
      <c r="E300" s="248"/>
      <c r="F300" s="248"/>
      <c r="G300" s="247" t="s">
        <v>377</v>
      </c>
      <c r="H300" s="248" t="s">
        <v>850</v>
      </c>
      <c r="I300" s="248" t="s">
        <v>105</v>
      </c>
      <c r="J300" s="247" t="s">
        <v>106</v>
      </c>
      <c r="K300" s="249">
        <v>0.44</v>
      </c>
      <c r="L300" s="250">
        <v>595.0</v>
      </c>
      <c r="M300" s="249">
        <v>0.07</v>
      </c>
      <c r="N300" s="250">
        <v>94.0</v>
      </c>
      <c r="O300" s="249">
        <v>0.05</v>
      </c>
      <c r="P300" s="250">
        <v>67.0</v>
      </c>
      <c r="Q300" s="251">
        <f t="shared" ref="Q300:R300" si="384">M300-O300</f>
        <v>0.02</v>
      </c>
      <c r="R300" s="252">
        <f t="shared" si="384"/>
        <v>27</v>
      </c>
      <c r="S300" s="253">
        <v>1353.6</v>
      </c>
      <c r="T300" s="254">
        <v>15.0</v>
      </c>
      <c r="U300" s="255" t="s">
        <v>107</v>
      </c>
      <c r="V300" s="255"/>
    </row>
    <row r="301" ht="12.75" customHeight="1">
      <c r="A301" s="245" t="s">
        <v>552</v>
      </c>
      <c r="B301" s="246" t="s">
        <v>359</v>
      </c>
      <c r="C301" s="247" t="s">
        <v>360</v>
      </c>
      <c r="D301" s="247" t="s">
        <v>218</v>
      </c>
      <c r="E301" s="248"/>
      <c r="F301" s="248"/>
      <c r="G301" s="247" t="s">
        <v>377</v>
      </c>
      <c r="H301" s="248" t="s">
        <v>851</v>
      </c>
      <c r="I301" s="248" t="s">
        <v>105</v>
      </c>
      <c r="J301" s="247" t="s">
        <v>106</v>
      </c>
      <c r="K301" s="251">
        <f t="shared" ref="K301:R301" si="385">-K300</f>
        <v>-0.44</v>
      </c>
      <c r="L301" s="252">
        <f t="shared" si="385"/>
        <v>-595</v>
      </c>
      <c r="M301" s="251">
        <f t="shared" si="385"/>
        <v>-0.07</v>
      </c>
      <c r="N301" s="252">
        <f t="shared" si="385"/>
        <v>-94</v>
      </c>
      <c r="O301" s="251">
        <f t="shared" si="385"/>
        <v>-0.05</v>
      </c>
      <c r="P301" s="252">
        <f t="shared" si="385"/>
        <v>-67</v>
      </c>
      <c r="Q301" s="251">
        <f t="shared" si="385"/>
        <v>-0.02</v>
      </c>
      <c r="R301" s="252">
        <f t="shared" si="385"/>
        <v>-27</v>
      </c>
      <c r="S301" s="253">
        <v>1353.6</v>
      </c>
      <c r="T301" s="254">
        <v>15.0</v>
      </c>
      <c r="U301" s="255" t="s">
        <v>107</v>
      </c>
      <c r="V301" s="255"/>
    </row>
    <row r="302" ht="12.75" customHeight="1">
      <c r="A302" s="256" t="s">
        <v>553</v>
      </c>
      <c r="B302" s="257" t="s">
        <v>359</v>
      </c>
      <c r="C302" s="258" t="s">
        <v>360</v>
      </c>
      <c r="D302" s="258" t="s">
        <v>218</v>
      </c>
      <c r="E302" s="259"/>
      <c r="F302" s="259"/>
      <c r="G302" s="258" t="s">
        <v>377</v>
      </c>
      <c r="H302" s="259" t="s">
        <v>852</v>
      </c>
      <c r="I302" s="259" t="s">
        <v>105</v>
      </c>
      <c r="J302" s="258" t="s">
        <v>106</v>
      </c>
      <c r="K302" s="260">
        <f>ROUND(M302/0.15,2)</f>
        <v>0.13</v>
      </c>
      <c r="L302" s="261">
        <f>ROUND(N302/0.15,0)</f>
        <v>180</v>
      </c>
      <c r="M302" s="260">
        <f t="shared" ref="M302:N302" si="386">Q302</f>
        <v>0.02</v>
      </c>
      <c r="N302" s="261">
        <f t="shared" si="386"/>
        <v>27</v>
      </c>
      <c r="O302" s="262">
        <v>0.05</v>
      </c>
      <c r="P302" s="263">
        <v>67.0</v>
      </c>
      <c r="Q302" s="260">
        <f t="shared" ref="Q302:R302" si="387">M300-O302</f>
        <v>0.02</v>
      </c>
      <c r="R302" s="261">
        <f t="shared" si="387"/>
        <v>27</v>
      </c>
      <c r="S302" s="264">
        <v>1353.6</v>
      </c>
      <c r="T302" s="265">
        <v>15.0</v>
      </c>
      <c r="U302" s="266" t="s">
        <v>107</v>
      </c>
      <c r="V302" s="266" t="s">
        <v>853</v>
      </c>
    </row>
    <row r="303" ht="12.75" customHeight="1">
      <c r="A303" s="267" t="s">
        <v>854</v>
      </c>
      <c r="B303" s="268" t="s">
        <v>359</v>
      </c>
      <c r="C303" s="269" t="s">
        <v>360</v>
      </c>
      <c r="D303" s="269" t="s">
        <v>400</v>
      </c>
      <c r="E303" s="270"/>
      <c r="F303" s="270"/>
      <c r="G303" s="269" t="s">
        <v>379</v>
      </c>
      <c r="H303" s="270" t="s">
        <v>855</v>
      </c>
      <c r="I303" s="270" t="s">
        <v>105</v>
      </c>
      <c r="J303" s="269" t="s">
        <v>106</v>
      </c>
      <c r="K303" s="271">
        <v>7.17</v>
      </c>
      <c r="L303" s="272">
        <v>9698.0</v>
      </c>
      <c r="M303" s="271">
        <v>1.08</v>
      </c>
      <c r="N303" s="272">
        <v>1460.0</v>
      </c>
      <c r="O303" s="271">
        <v>0.0</v>
      </c>
      <c r="P303" s="272">
        <v>0.0</v>
      </c>
      <c r="Q303" s="273">
        <f t="shared" ref="Q303:R303" si="388">M303-O303</f>
        <v>1.08</v>
      </c>
      <c r="R303" s="274">
        <f t="shared" si="388"/>
        <v>1460</v>
      </c>
      <c r="S303" s="275">
        <v>1352.6</v>
      </c>
      <c r="T303" s="276">
        <v>15.0</v>
      </c>
      <c r="U303" s="277" t="s">
        <v>107</v>
      </c>
      <c r="V303" s="277"/>
    </row>
    <row r="304" ht="12.75" customHeight="1">
      <c r="A304" s="245" t="s">
        <v>856</v>
      </c>
      <c r="B304" s="246" t="s">
        <v>359</v>
      </c>
      <c r="C304" s="247" t="s">
        <v>360</v>
      </c>
      <c r="D304" s="247" t="s">
        <v>226</v>
      </c>
      <c r="E304" s="248"/>
      <c r="F304" s="248"/>
      <c r="G304" s="247" t="s">
        <v>135</v>
      </c>
      <c r="H304" s="248" t="s">
        <v>857</v>
      </c>
      <c r="I304" s="248" t="s">
        <v>105</v>
      </c>
      <c r="J304" s="247" t="s">
        <v>106</v>
      </c>
      <c r="K304" s="249">
        <v>7.43</v>
      </c>
      <c r="L304" s="250">
        <v>10153.0</v>
      </c>
      <c r="M304" s="249">
        <v>1.11</v>
      </c>
      <c r="N304" s="250">
        <v>1516.0</v>
      </c>
      <c r="O304" s="249">
        <v>1.11</v>
      </c>
      <c r="P304" s="250">
        <v>1516.0</v>
      </c>
      <c r="Q304" s="251">
        <f t="shared" ref="Q304:R304" si="389">M304-O304</f>
        <v>0</v>
      </c>
      <c r="R304" s="252">
        <f t="shared" si="389"/>
        <v>0</v>
      </c>
      <c r="S304" s="253">
        <v>1366.6</v>
      </c>
      <c r="T304" s="254">
        <v>15.0</v>
      </c>
      <c r="U304" s="255" t="s">
        <v>107</v>
      </c>
      <c r="V304" s="255"/>
    </row>
    <row r="305" ht="12.75" customHeight="1">
      <c r="A305" s="245" t="s">
        <v>858</v>
      </c>
      <c r="B305" s="246" t="s">
        <v>359</v>
      </c>
      <c r="C305" s="247" t="s">
        <v>360</v>
      </c>
      <c r="D305" s="247" t="s">
        <v>226</v>
      </c>
      <c r="E305" s="248"/>
      <c r="F305" s="248"/>
      <c r="G305" s="247" t="s">
        <v>135</v>
      </c>
      <c r="H305" s="248" t="s">
        <v>859</v>
      </c>
      <c r="I305" s="248" t="s">
        <v>105</v>
      </c>
      <c r="J305" s="247" t="s">
        <v>106</v>
      </c>
      <c r="K305" s="251">
        <f t="shared" ref="K305:R305" si="390">-K304</f>
        <v>-7.43</v>
      </c>
      <c r="L305" s="252">
        <f t="shared" si="390"/>
        <v>-10153</v>
      </c>
      <c r="M305" s="251">
        <f t="shared" si="390"/>
        <v>-1.11</v>
      </c>
      <c r="N305" s="252">
        <f t="shared" si="390"/>
        <v>-1516</v>
      </c>
      <c r="O305" s="251">
        <f t="shared" si="390"/>
        <v>-1.11</v>
      </c>
      <c r="P305" s="252">
        <f t="shared" si="390"/>
        <v>-1516</v>
      </c>
      <c r="Q305" s="251">
        <f t="shared" si="390"/>
        <v>0</v>
      </c>
      <c r="R305" s="252">
        <f t="shared" si="390"/>
        <v>0</v>
      </c>
      <c r="S305" s="253">
        <v>1366.6</v>
      </c>
      <c r="T305" s="254">
        <v>15.0</v>
      </c>
      <c r="U305" s="255" t="s">
        <v>107</v>
      </c>
      <c r="V305" s="255"/>
    </row>
    <row r="306" ht="12.75" customHeight="1">
      <c r="A306" s="256" t="s">
        <v>860</v>
      </c>
      <c r="B306" s="257" t="s">
        <v>359</v>
      </c>
      <c r="C306" s="258" t="s">
        <v>360</v>
      </c>
      <c r="D306" s="258" t="s">
        <v>226</v>
      </c>
      <c r="E306" s="259"/>
      <c r="F306" s="259"/>
      <c r="G306" s="258" t="s">
        <v>135</v>
      </c>
      <c r="H306" s="259" t="s">
        <v>861</v>
      </c>
      <c r="I306" s="259" t="s">
        <v>105</v>
      </c>
      <c r="J306" s="258" t="s">
        <v>106</v>
      </c>
      <c r="K306" s="260">
        <f>ROUND(M306/0.15,2)</f>
        <v>0</v>
      </c>
      <c r="L306" s="261">
        <f>ROUND(N306/0.15,0)</f>
        <v>0</v>
      </c>
      <c r="M306" s="260">
        <f t="shared" ref="M306:N306" si="391">Q306</f>
        <v>0</v>
      </c>
      <c r="N306" s="261">
        <f t="shared" si="391"/>
        <v>0</v>
      </c>
      <c r="O306" s="262">
        <v>1.11</v>
      </c>
      <c r="P306" s="263">
        <v>1516.0</v>
      </c>
      <c r="Q306" s="260">
        <f t="shared" ref="Q306:R306" si="392">M304-O306</f>
        <v>0</v>
      </c>
      <c r="R306" s="261">
        <f t="shared" si="392"/>
        <v>0</v>
      </c>
      <c r="S306" s="264">
        <v>1366.6</v>
      </c>
      <c r="T306" s="265">
        <v>15.0</v>
      </c>
      <c r="U306" s="266" t="s">
        <v>107</v>
      </c>
      <c r="V306" s="266" t="s">
        <v>862</v>
      </c>
    </row>
    <row r="307" ht="12.75" customHeight="1">
      <c r="A307" s="245" t="s">
        <v>863</v>
      </c>
      <c r="B307" s="246" t="s">
        <v>359</v>
      </c>
      <c r="C307" s="247" t="s">
        <v>360</v>
      </c>
      <c r="D307" s="247" t="s">
        <v>232</v>
      </c>
      <c r="E307" s="248"/>
      <c r="F307" s="248"/>
      <c r="G307" s="247" t="s">
        <v>139</v>
      </c>
      <c r="H307" s="248" t="s">
        <v>864</v>
      </c>
      <c r="I307" s="248" t="s">
        <v>105</v>
      </c>
      <c r="J307" s="247" t="s">
        <v>106</v>
      </c>
      <c r="K307" s="249">
        <v>3.49</v>
      </c>
      <c r="L307" s="250">
        <v>4797.0</v>
      </c>
      <c r="M307" s="249">
        <v>0.52</v>
      </c>
      <c r="N307" s="250">
        <v>714.0</v>
      </c>
      <c r="O307" s="249">
        <v>0.38</v>
      </c>
      <c r="P307" s="250">
        <v>522.0</v>
      </c>
      <c r="Q307" s="251">
        <f t="shared" ref="Q307:R307" si="393">M307-O307</f>
        <v>0.14</v>
      </c>
      <c r="R307" s="252">
        <f t="shared" si="393"/>
        <v>192</v>
      </c>
      <c r="S307" s="253">
        <v>1374.7</v>
      </c>
      <c r="T307" s="254">
        <v>15.0</v>
      </c>
      <c r="U307" s="255" t="s">
        <v>107</v>
      </c>
      <c r="V307" s="255"/>
    </row>
    <row r="308" ht="12.75" customHeight="1">
      <c r="A308" s="245" t="s">
        <v>865</v>
      </c>
      <c r="B308" s="246" t="s">
        <v>359</v>
      </c>
      <c r="C308" s="247" t="s">
        <v>360</v>
      </c>
      <c r="D308" s="247" t="s">
        <v>232</v>
      </c>
      <c r="E308" s="248"/>
      <c r="F308" s="248"/>
      <c r="G308" s="247" t="s">
        <v>139</v>
      </c>
      <c r="H308" s="248" t="s">
        <v>866</v>
      </c>
      <c r="I308" s="248" t="s">
        <v>105</v>
      </c>
      <c r="J308" s="247" t="s">
        <v>106</v>
      </c>
      <c r="K308" s="251">
        <f t="shared" ref="K308:R308" si="394">-K307</f>
        <v>-3.49</v>
      </c>
      <c r="L308" s="252">
        <f t="shared" si="394"/>
        <v>-4797</v>
      </c>
      <c r="M308" s="251">
        <f t="shared" si="394"/>
        <v>-0.52</v>
      </c>
      <c r="N308" s="252">
        <f t="shared" si="394"/>
        <v>-714</v>
      </c>
      <c r="O308" s="251">
        <f t="shared" si="394"/>
        <v>-0.38</v>
      </c>
      <c r="P308" s="252">
        <f t="shared" si="394"/>
        <v>-522</v>
      </c>
      <c r="Q308" s="251">
        <f t="shared" si="394"/>
        <v>-0.14</v>
      </c>
      <c r="R308" s="252">
        <f t="shared" si="394"/>
        <v>-192</v>
      </c>
      <c r="S308" s="253">
        <v>1374.7</v>
      </c>
      <c r="T308" s="254">
        <v>15.0</v>
      </c>
      <c r="U308" s="255" t="s">
        <v>107</v>
      </c>
      <c r="V308" s="255"/>
    </row>
    <row r="309" ht="12.75" customHeight="1">
      <c r="A309" s="256" t="s">
        <v>867</v>
      </c>
      <c r="B309" s="257" t="s">
        <v>359</v>
      </c>
      <c r="C309" s="258" t="s">
        <v>360</v>
      </c>
      <c r="D309" s="258" t="s">
        <v>232</v>
      </c>
      <c r="E309" s="259"/>
      <c r="F309" s="259"/>
      <c r="G309" s="258" t="s">
        <v>139</v>
      </c>
      <c r="H309" s="259" t="s">
        <v>868</v>
      </c>
      <c r="I309" s="259" t="s">
        <v>105</v>
      </c>
      <c r="J309" s="258" t="s">
        <v>106</v>
      </c>
      <c r="K309" s="260">
        <f>ROUND(M309/0.15,2)</f>
        <v>0.93</v>
      </c>
      <c r="L309" s="261">
        <f>ROUND(N309/0.15,0)</f>
        <v>1280</v>
      </c>
      <c r="M309" s="260">
        <f t="shared" ref="M309:N309" si="395">Q309</f>
        <v>0.14</v>
      </c>
      <c r="N309" s="261">
        <f t="shared" si="395"/>
        <v>192</v>
      </c>
      <c r="O309" s="262">
        <v>0.38</v>
      </c>
      <c r="P309" s="263">
        <v>522.0</v>
      </c>
      <c r="Q309" s="260">
        <f t="shared" ref="Q309:R309" si="396">M307-O309</f>
        <v>0.14</v>
      </c>
      <c r="R309" s="261">
        <f t="shared" si="396"/>
        <v>192</v>
      </c>
      <c r="S309" s="264">
        <v>1374.7</v>
      </c>
      <c r="T309" s="265">
        <v>15.0</v>
      </c>
      <c r="U309" s="266" t="s">
        <v>107</v>
      </c>
      <c r="V309" s="266" t="s">
        <v>869</v>
      </c>
    </row>
    <row r="310" ht="12.75" customHeight="1">
      <c r="A310" s="245" t="s">
        <v>563</v>
      </c>
      <c r="B310" s="246" t="s">
        <v>359</v>
      </c>
      <c r="C310" s="247" t="s">
        <v>360</v>
      </c>
      <c r="D310" s="247" t="s">
        <v>237</v>
      </c>
      <c r="E310" s="248"/>
      <c r="F310" s="248"/>
      <c r="G310" s="247" t="s">
        <v>103</v>
      </c>
      <c r="H310" s="248" t="s">
        <v>870</v>
      </c>
      <c r="I310" s="248" t="s">
        <v>105</v>
      </c>
      <c r="J310" s="247" t="s">
        <v>106</v>
      </c>
      <c r="K310" s="249">
        <v>102.15</v>
      </c>
      <c r="L310" s="250">
        <v>142182.0</v>
      </c>
      <c r="M310" s="249">
        <v>15.32</v>
      </c>
      <c r="N310" s="250">
        <v>21323.0</v>
      </c>
      <c r="O310" s="249">
        <v>10.39</v>
      </c>
      <c r="P310" s="250">
        <v>14461.0</v>
      </c>
      <c r="Q310" s="251">
        <f t="shared" ref="Q310:R310" si="397">M310-O310</f>
        <v>4.93</v>
      </c>
      <c r="R310" s="252">
        <f t="shared" si="397"/>
        <v>6862</v>
      </c>
      <c r="S310" s="253">
        <v>1391.9</v>
      </c>
      <c r="T310" s="254">
        <v>15.0</v>
      </c>
      <c r="U310" s="255" t="s">
        <v>107</v>
      </c>
      <c r="V310" s="255"/>
    </row>
    <row r="311" ht="12.75" customHeight="1">
      <c r="A311" s="245" t="s">
        <v>564</v>
      </c>
      <c r="B311" s="246" t="s">
        <v>359</v>
      </c>
      <c r="C311" s="247" t="s">
        <v>360</v>
      </c>
      <c r="D311" s="247" t="s">
        <v>237</v>
      </c>
      <c r="E311" s="248"/>
      <c r="F311" s="248"/>
      <c r="G311" s="247" t="s">
        <v>103</v>
      </c>
      <c r="H311" s="248" t="s">
        <v>871</v>
      </c>
      <c r="I311" s="248" t="s">
        <v>105</v>
      </c>
      <c r="J311" s="247" t="s">
        <v>106</v>
      </c>
      <c r="K311" s="251">
        <f t="shared" ref="K311:R311" si="398">-K310</f>
        <v>-102.15</v>
      </c>
      <c r="L311" s="252">
        <f t="shared" si="398"/>
        <v>-142182</v>
      </c>
      <c r="M311" s="251">
        <f t="shared" si="398"/>
        <v>-15.32</v>
      </c>
      <c r="N311" s="252">
        <f t="shared" si="398"/>
        <v>-21323</v>
      </c>
      <c r="O311" s="251">
        <f t="shared" si="398"/>
        <v>-10.39</v>
      </c>
      <c r="P311" s="252">
        <f t="shared" si="398"/>
        <v>-14461</v>
      </c>
      <c r="Q311" s="251">
        <f t="shared" si="398"/>
        <v>-4.93</v>
      </c>
      <c r="R311" s="252">
        <f t="shared" si="398"/>
        <v>-6862</v>
      </c>
      <c r="S311" s="253">
        <v>1391.9</v>
      </c>
      <c r="T311" s="254">
        <v>15.0</v>
      </c>
      <c r="U311" s="255" t="s">
        <v>107</v>
      </c>
      <c r="V311" s="255"/>
    </row>
    <row r="312" ht="12.75" customHeight="1">
      <c r="A312" s="256" t="s">
        <v>565</v>
      </c>
      <c r="B312" s="257" t="s">
        <v>359</v>
      </c>
      <c r="C312" s="258" t="s">
        <v>360</v>
      </c>
      <c r="D312" s="258" t="s">
        <v>237</v>
      </c>
      <c r="E312" s="259"/>
      <c r="F312" s="259"/>
      <c r="G312" s="258" t="s">
        <v>103</v>
      </c>
      <c r="H312" s="259" t="s">
        <v>872</v>
      </c>
      <c r="I312" s="259" t="s">
        <v>105</v>
      </c>
      <c r="J312" s="258" t="s">
        <v>106</v>
      </c>
      <c r="K312" s="260">
        <f>ROUND(M312/0.15,2)</f>
        <v>32.87</v>
      </c>
      <c r="L312" s="261">
        <f>ROUND(N312/0.15,0)</f>
        <v>45747</v>
      </c>
      <c r="M312" s="260">
        <f t="shared" ref="M312:N312" si="399">Q312</f>
        <v>4.93</v>
      </c>
      <c r="N312" s="261">
        <f t="shared" si="399"/>
        <v>6862</v>
      </c>
      <c r="O312" s="262">
        <v>10.39</v>
      </c>
      <c r="P312" s="263">
        <v>14461.0</v>
      </c>
      <c r="Q312" s="260">
        <f t="shared" ref="Q312:R312" si="400">M310-O312</f>
        <v>4.93</v>
      </c>
      <c r="R312" s="261">
        <f t="shared" si="400"/>
        <v>6862</v>
      </c>
      <c r="S312" s="264">
        <v>1391.9</v>
      </c>
      <c r="T312" s="265">
        <v>15.0</v>
      </c>
      <c r="U312" s="266" t="s">
        <v>107</v>
      </c>
      <c r="V312" s="266" t="s">
        <v>873</v>
      </c>
    </row>
    <row r="313" ht="12.75" customHeight="1">
      <c r="A313" s="245" t="s">
        <v>567</v>
      </c>
      <c r="B313" s="246" t="s">
        <v>359</v>
      </c>
      <c r="C313" s="247" t="s">
        <v>360</v>
      </c>
      <c r="D313" s="247" t="s">
        <v>101</v>
      </c>
      <c r="E313" s="248"/>
      <c r="F313" s="248"/>
      <c r="G313" s="247" t="s">
        <v>103</v>
      </c>
      <c r="H313" s="248" t="s">
        <v>874</v>
      </c>
      <c r="I313" s="248" t="s">
        <v>105</v>
      </c>
      <c r="J313" s="247" t="s">
        <v>106</v>
      </c>
      <c r="K313" s="249">
        <v>411.6</v>
      </c>
      <c r="L313" s="250">
        <v>567843.0</v>
      </c>
      <c r="M313" s="249">
        <v>61.74</v>
      </c>
      <c r="N313" s="250">
        <v>85176.0</v>
      </c>
      <c r="O313" s="249">
        <v>41.86</v>
      </c>
      <c r="P313" s="250">
        <v>57750.0</v>
      </c>
      <c r="Q313" s="251">
        <f t="shared" ref="Q313:R313" si="401">M313-O313</f>
        <v>19.88</v>
      </c>
      <c r="R313" s="252">
        <f t="shared" si="401"/>
        <v>27426</v>
      </c>
      <c r="S313" s="253">
        <v>1379.6</v>
      </c>
      <c r="T313" s="254">
        <v>15.0</v>
      </c>
      <c r="U313" s="255" t="s">
        <v>107</v>
      </c>
      <c r="V313" s="255"/>
    </row>
    <row r="314" ht="12.75" customHeight="1">
      <c r="A314" s="245" t="s">
        <v>568</v>
      </c>
      <c r="B314" s="246" t="s">
        <v>359</v>
      </c>
      <c r="C314" s="247" t="s">
        <v>360</v>
      </c>
      <c r="D314" s="247" t="s">
        <v>101</v>
      </c>
      <c r="E314" s="248"/>
      <c r="F314" s="248"/>
      <c r="G314" s="247" t="s">
        <v>103</v>
      </c>
      <c r="H314" s="248" t="s">
        <v>875</v>
      </c>
      <c r="I314" s="248" t="s">
        <v>105</v>
      </c>
      <c r="J314" s="247" t="s">
        <v>106</v>
      </c>
      <c r="K314" s="251">
        <f t="shared" ref="K314:R314" si="402">-K313</f>
        <v>-411.6</v>
      </c>
      <c r="L314" s="252">
        <f t="shared" si="402"/>
        <v>-567843</v>
      </c>
      <c r="M314" s="251">
        <f t="shared" si="402"/>
        <v>-61.74</v>
      </c>
      <c r="N314" s="252">
        <f t="shared" si="402"/>
        <v>-85176</v>
      </c>
      <c r="O314" s="251">
        <f t="shared" si="402"/>
        <v>-41.86</v>
      </c>
      <c r="P314" s="252">
        <f t="shared" si="402"/>
        <v>-57750</v>
      </c>
      <c r="Q314" s="251">
        <f t="shared" si="402"/>
        <v>-19.88</v>
      </c>
      <c r="R314" s="252">
        <f t="shared" si="402"/>
        <v>-27426</v>
      </c>
      <c r="S314" s="253">
        <v>1379.6</v>
      </c>
      <c r="T314" s="254">
        <v>15.0</v>
      </c>
      <c r="U314" s="255" t="s">
        <v>107</v>
      </c>
      <c r="V314" s="255"/>
    </row>
    <row r="315" ht="12.75" customHeight="1">
      <c r="A315" s="256" t="s">
        <v>569</v>
      </c>
      <c r="B315" s="257" t="s">
        <v>359</v>
      </c>
      <c r="C315" s="258" t="s">
        <v>360</v>
      </c>
      <c r="D315" s="258" t="s">
        <v>101</v>
      </c>
      <c r="E315" s="259"/>
      <c r="F315" s="259"/>
      <c r="G315" s="258" t="s">
        <v>103</v>
      </c>
      <c r="H315" s="259" t="s">
        <v>876</v>
      </c>
      <c r="I315" s="259" t="s">
        <v>105</v>
      </c>
      <c r="J315" s="258" t="s">
        <v>106</v>
      </c>
      <c r="K315" s="260">
        <f>ROUND(M315/0.15,2)</f>
        <v>132.53</v>
      </c>
      <c r="L315" s="261">
        <f>ROUND(N315/0.15,0)</f>
        <v>182840</v>
      </c>
      <c r="M315" s="260">
        <f t="shared" ref="M315:N315" si="403">Q315</f>
        <v>19.88</v>
      </c>
      <c r="N315" s="261">
        <f t="shared" si="403"/>
        <v>27426</v>
      </c>
      <c r="O315" s="262">
        <v>41.86</v>
      </c>
      <c r="P315" s="263">
        <v>57750.0</v>
      </c>
      <c r="Q315" s="260">
        <f t="shared" ref="Q315:R315" si="404">M313-O315</f>
        <v>19.88</v>
      </c>
      <c r="R315" s="261">
        <f t="shared" si="404"/>
        <v>27426</v>
      </c>
      <c r="S315" s="264">
        <v>1379.6</v>
      </c>
      <c r="T315" s="265">
        <v>15.0</v>
      </c>
      <c r="U315" s="266" t="s">
        <v>107</v>
      </c>
      <c r="V315" s="266" t="s">
        <v>877</v>
      </c>
    </row>
    <row r="316" ht="12.75" customHeight="1">
      <c r="A316" s="245" t="s">
        <v>571</v>
      </c>
      <c r="B316" s="246" t="s">
        <v>359</v>
      </c>
      <c r="C316" s="247" t="s">
        <v>360</v>
      </c>
      <c r="D316" s="247" t="s">
        <v>108</v>
      </c>
      <c r="E316" s="248"/>
      <c r="F316" s="248"/>
      <c r="G316" s="247" t="s">
        <v>103</v>
      </c>
      <c r="H316" s="248" t="s">
        <v>878</v>
      </c>
      <c r="I316" s="248" t="s">
        <v>105</v>
      </c>
      <c r="J316" s="247" t="s">
        <v>106</v>
      </c>
      <c r="K316" s="249">
        <v>403.2</v>
      </c>
      <c r="L316" s="250">
        <v>558391.0</v>
      </c>
      <c r="M316" s="249">
        <v>60.48</v>
      </c>
      <c r="N316" s="250">
        <v>83758.0</v>
      </c>
      <c r="O316" s="249">
        <v>41.01</v>
      </c>
      <c r="P316" s="250">
        <v>56794.0</v>
      </c>
      <c r="Q316" s="251">
        <f t="shared" ref="Q316:R316" si="405">M316-O316</f>
        <v>19.47</v>
      </c>
      <c r="R316" s="252">
        <f t="shared" si="405"/>
        <v>26964</v>
      </c>
      <c r="S316" s="253">
        <v>1384.9</v>
      </c>
      <c r="T316" s="254">
        <v>15.0</v>
      </c>
      <c r="U316" s="255" t="s">
        <v>107</v>
      </c>
      <c r="V316" s="255"/>
    </row>
    <row r="317" ht="12.75" customHeight="1">
      <c r="A317" s="245" t="s">
        <v>572</v>
      </c>
      <c r="B317" s="246" t="s">
        <v>359</v>
      </c>
      <c r="C317" s="247" t="s">
        <v>360</v>
      </c>
      <c r="D317" s="247" t="s">
        <v>108</v>
      </c>
      <c r="E317" s="248"/>
      <c r="F317" s="248"/>
      <c r="G317" s="247" t="s">
        <v>103</v>
      </c>
      <c r="H317" s="248" t="s">
        <v>879</v>
      </c>
      <c r="I317" s="248" t="s">
        <v>105</v>
      </c>
      <c r="J317" s="247" t="s">
        <v>106</v>
      </c>
      <c r="K317" s="251">
        <f t="shared" ref="K317:R317" si="406">-K316</f>
        <v>-403.2</v>
      </c>
      <c r="L317" s="252">
        <f t="shared" si="406"/>
        <v>-558391</v>
      </c>
      <c r="M317" s="251">
        <f t="shared" si="406"/>
        <v>-60.48</v>
      </c>
      <c r="N317" s="252">
        <f t="shared" si="406"/>
        <v>-83758</v>
      </c>
      <c r="O317" s="251">
        <f t="shared" si="406"/>
        <v>-41.01</v>
      </c>
      <c r="P317" s="252">
        <f t="shared" si="406"/>
        <v>-56794</v>
      </c>
      <c r="Q317" s="251">
        <f t="shared" si="406"/>
        <v>-19.47</v>
      </c>
      <c r="R317" s="252">
        <f t="shared" si="406"/>
        <v>-26964</v>
      </c>
      <c r="S317" s="253">
        <v>1384.9</v>
      </c>
      <c r="T317" s="254">
        <v>15.0</v>
      </c>
      <c r="U317" s="255" t="s">
        <v>107</v>
      </c>
      <c r="V317" s="255"/>
    </row>
    <row r="318" ht="12.75" customHeight="1">
      <c r="A318" s="256" t="s">
        <v>573</v>
      </c>
      <c r="B318" s="257" t="s">
        <v>359</v>
      </c>
      <c r="C318" s="258" t="s">
        <v>360</v>
      </c>
      <c r="D318" s="258" t="s">
        <v>108</v>
      </c>
      <c r="E318" s="259"/>
      <c r="F318" s="259"/>
      <c r="G318" s="258" t="s">
        <v>103</v>
      </c>
      <c r="H318" s="259" t="s">
        <v>880</v>
      </c>
      <c r="I318" s="259" t="s">
        <v>105</v>
      </c>
      <c r="J318" s="258" t="s">
        <v>106</v>
      </c>
      <c r="K318" s="260">
        <f>ROUND(M318/0.15,2)</f>
        <v>129.8</v>
      </c>
      <c r="L318" s="261">
        <f>ROUND(N318/0.15,0)</f>
        <v>179760</v>
      </c>
      <c r="M318" s="260">
        <f t="shared" ref="M318:N318" si="407">Q318</f>
        <v>19.47</v>
      </c>
      <c r="N318" s="261">
        <f t="shared" si="407"/>
        <v>26964</v>
      </c>
      <c r="O318" s="262">
        <v>41.01</v>
      </c>
      <c r="P318" s="263">
        <v>56794.0</v>
      </c>
      <c r="Q318" s="260">
        <f t="shared" ref="Q318:R318" si="408">M316-O318</f>
        <v>19.47</v>
      </c>
      <c r="R318" s="261">
        <f t="shared" si="408"/>
        <v>26964</v>
      </c>
      <c r="S318" s="264">
        <v>1384.9</v>
      </c>
      <c r="T318" s="265">
        <v>15.0</v>
      </c>
      <c r="U318" s="266" t="s">
        <v>107</v>
      </c>
      <c r="V318" s="266" t="s">
        <v>881</v>
      </c>
    </row>
    <row r="319" ht="12.75" customHeight="1">
      <c r="A319" s="245" t="s">
        <v>575</v>
      </c>
      <c r="B319" s="246" t="s">
        <v>359</v>
      </c>
      <c r="C319" s="247" t="s">
        <v>360</v>
      </c>
      <c r="D319" s="247" t="s">
        <v>110</v>
      </c>
      <c r="E319" s="248"/>
      <c r="F319" s="248"/>
      <c r="G319" s="247" t="s">
        <v>103</v>
      </c>
      <c r="H319" s="248" t="s">
        <v>882</v>
      </c>
      <c r="I319" s="248" t="s">
        <v>105</v>
      </c>
      <c r="J319" s="247" t="s">
        <v>106</v>
      </c>
      <c r="K319" s="249">
        <v>401.2</v>
      </c>
      <c r="L319" s="250">
        <v>556063.0</v>
      </c>
      <c r="M319" s="249">
        <v>60.18</v>
      </c>
      <c r="N319" s="250">
        <v>83409.0</v>
      </c>
      <c r="O319" s="249">
        <v>40.8</v>
      </c>
      <c r="P319" s="250">
        <v>56548.0</v>
      </c>
      <c r="Q319" s="251">
        <f t="shared" ref="Q319:R319" si="409">M319-O319</f>
        <v>19.38</v>
      </c>
      <c r="R319" s="252">
        <f t="shared" si="409"/>
        <v>26861</v>
      </c>
      <c r="S319" s="253">
        <v>1386.0</v>
      </c>
      <c r="T319" s="254">
        <v>15.0</v>
      </c>
      <c r="U319" s="255" t="s">
        <v>107</v>
      </c>
      <c r="V319" s="255"/>
    </row>
    <row r="320" ht="12.75" customHeight="1">
      <c r="A320" s="245" t="s">
        <v>576</v>
      </c>
      <c r="B320" s="246" t="s">
        <v>359</v>
      </c>
      <c r="C320" s="247" t="s">
        <v>360</v>
      </c>
      <c r="D320" s="247" t="s">
        <v>110</v>
      </c>
      <c r="E320" s="248"/>
      <c r="F320" s="248"/>
      <c r="G320" s="247" t="s">
        <v>103</v>
      </c>
      <c r="H320" s="248" t="s">
        <v>883</v>
      </c>
      <c r="I320" s="248" t="s">
        <v>105</v>
      </c>
      <c r="J320" s="247" t="s">
        <v>106</v>
      </c>
      <c r="K320" s="251">
        <f t="shared" ref="K320:R320" si="410">-K319</f>
        <v>-401.2</v>
      </c>
      <c r="L320" s="252">
        <f t="shared" si="410"/>
        <v>-556063</v>
      </c>
      <c r="M320" s="251">
        <f t="shared" si="410"/>
        <v>-60.18</v>
      </c>
      <c r="N320" s="252">
        <f t="shared" si="410"/>
        <v>-83409</v>
      </c>
      <c r="O320" s="251">
        <f t="shared" si="410"/>
        <v>-40.8</v>
      </c>
      <c r="P320" s="252">
        <f t="shared" si="410"/>
        <v>-56548</v>
      </c>
      <c r="Q320" s="251">
        <f t="shared" si="410"/>
        <v>-19.38</v>
      </c>
      <c r="R320" s="252">
        <f t="shared" si="410"/>
        <v>-26861</v>
      </c>
      <c r="S320" s="253">
        <v>1386.0</v>
      </c>
      <c r="T320" s="254">
        <v>15.0</v>
      </c>
      <c r="U320" s="255" t="s">
        <v>107</v>
      </c>
      <c r="V320" s="255"/>
    </row>
    <row r="321" ht="12.75" customHeight="1">
      <c r="A321" s="256" t="s">
        <v>577</v>
      </c>
      <c r="B321" s="257" t="s">
        <v>359</v>
      </c>
      <c r="C321" s="258" t="s">
        <v>360</v>
      </c>
      <c r="D321" s="258" t="s">
        <v>110</v>
      </c>
      <c r="E321" s="259"/>
      <c r="F321" s="259"/>
      <c r="G321" s="258" t="s">
        <v>103</v>
      </c>
      <c r="H321" s="259" t="s">
        <v>884</v>
      </c>
      <c r="I321" s="259" t="s">
        <v>105</v>
      </c>
      <c r="J321" s="258" t="s">
        <v>106</v>
      </c>
      <c r="K321" s="260">
        <f>ROUND(M321/0.15,2)</f>
        <v>129.2</v>
      </c>
      <c r="L321" s="261">
        <f>ROUND(N321/0.15,0)</f>
        <v>179073</v>
      </c>
      <c r="M321" s="260">
        <f t="shared" ref="M321:N321" si="411">Q321</f>
        <v>19.38</v>
      </c>
      <c r="N321" s="261">
        <f t="shared" si="411"/>
        <v>26861</v>
      </c>
      <c r="O321" s="262">
        <v>40.8</v>
      </c>
      <c r="P321" s="263">
        <v>56548.0</v>
      </c>
      <c r="Q321" s="260">
        <f t="shared" ref="Q321:R321" si="412">M319-O321</f>
        <v>19.38</v>
      </c>
      <c r="R321" s="261">
        <f t="shared" si="412"/>
        <v>26861</v>
      </c>
      <c r="S321" s="264">
        <v>1386.0</v>
      </c>
      <c r="T321" s="265">
        <v>15.0</v>
      </c>
      <c r="U321" s="266" t="s">
        <v>107</v>
      </c>
      <c r="V321" s="266" t="s">
        <v>885</v>
      </c>
    </row>
    <row r="322" ht="12.75" customHeight="1">
      <c r="A322" s="245" t="s">
        <v>579</v>
      </c>
      <c r="B322" s="246" t="s">
        <v>359</v>
      </c>
      <c r="C322" s="247" t="s">
        <v>360</v>
      </c>
      <c r="D322" s="247" t="s">
        <v>112</v>
      </c>
      <c r="E322" s="248"/>
      <c r="F322" s="248"/>
      <c r="G322" s="247" t="s">
        <v>103</v>
      </c>
      <c r="H322" s="248" t="s">
        <v>886</v>
      </c>
      <c r="I322" s="248" t="s">
        <v>105</v>
      </c>
      <c r="J322" s="247" t="s">
        <v>106</v>
      </c>
      <c r="K322" s="249">
        <v>402.4</v>
      </c>
      <c r="L322" s="250">
        <v>556197.0</v>
      </c>
      <c r="M322" s="249">
        <v>60.36</v>
      </c>
      <c r="N322" s="250">
        <v>83429.0</v>
      </c>
      <c r="O322" s="249">
        <v>40.93</v>
      </c>
      <c r="P322" s="250">
        <v>56573.0</v>
      </c>
      <c r="Q322" s="251">
        <f t="shared" ref="Q322:R322" si="413">M322-O322</f>
        <v>19.43</v>
      </c>
      <c r="R322" s="252">
        <f t="shared" si="413"/>
        <v>26856</v>
      </c>
      <c r="S322" s="253">
        <v>1382.2</v>
      </c>
      <c r="T322" s="254">
        <v>15.0</v>
      </c>
      <c r="U322" s="255" t="s">
        <v>107</v>
      </c>
      <c r="V322" s="255"/>
    </row>
    <row r="323" ht="12.75" customHeight="1">
      <c r="A323" s="245" t="s">
        <v>580</v>
      </c>
      <c r="B323" s="246" t="s">
        <v>359</v>
      </c>
      <c r="C323" s="247" t="s">
        <v>360</v>
      </c>
      <c r="D323" s="247" t="s">
        <v>112</v>
      </c>
      <c r="E323" s="248"/>
      <c r="F323" s="248"/>
      <c r="G323" s="247" t="s">
        <v>103</v>
      </c>
      <c r="H323" s="248" t="s">
        <v>887</v>
      </c>
      <c r="I323" s="248" t="s">
        <v>105</v>
      </c>
      <c r="J323" s="247" t="s">
        <v>106</v>
      </c>
      <c r="K323" s="251">
        <f t="shared" ref="K323:R323" si="414">-K322</f>
        <v>-402.4</v>
      </c>
      <c r="L323" s="252">
        <f t="shared" si="414"/>
        <v>-556197</v>
      </c>
      <c r="M323" s="251">
        <f t="shared" si="414"/>
        <v>-60.36</v>
      </c>
      <c r="N323" s="252">
        <f t="shared" si="414"/>
        <v>-83429</v>
      </c>
      <c r="O323" s="251">
        <f t="shared" si="414"/>
        <v>-40.93</v>
      </c>
      <c r="P323" s="252">
        <f t="shared" si="414"/>
        <v>-56573</v>
      </c>
      <c r="Q323" s="251">
        <f t="shared" si="414"/>
        <v>-19.43</v>
      </c>
      <c r="R323" s="252">
        <f t="shared" si="414"/>
        <v>-26856</v>
      </c>
      <c r="S323" s="253">
        <v>1382.2</v>
      </c>
      <c r="T323" s="254">
        <v>15.0</v>
      </c>
      <c r="U323" s="255" t="s">
        <v>107</v>
      </c>
      <c r="V323" s="255"/>
    </row>
    <row r="324" ht="12.75" customHeight="1">
      <c r="A324" s="256" t="s">
        <v>581</v>
      </c>
      <c r="B324" s="257" t="s">
        <v>359</v>
      </c>
      <c r="C324" s="258" t="s">
        <v>360</v>
      </c>
      <c r="D324" s="258" t="s">
        <v>112</v>
      </c>
      <c r="E324" s="259"/>
      <c r="F324" s="259"/>
      <c r="G324" s="258" t="s">
        <v>103</v>
      </c>
      <c r="H324" s="259" t="s">
        <v>888</v>
      </c>
      <c r="I324" s="259" t="s">
        <v>105</v>
      </c>
      <c r="J324" s="258" t="s">
        <v>106</v>
      </c>
      <c r="K324" s="260">
        <f>ROUND(M324/0.15,2)</f>
        <v>129.53</v>
      </c>
      <c r="L324" s="261">
        <f>ROUND(N324/0.15,0)</f>
        <v>179040</v>
      </c>
      <c r="M324" s="260">
        <f t="shared" ref="M324:N324" si="415">Q324</f>
        <v>19.43</v>
      </c>
      <c r="N324" s="261">
        <f t="shared" si="415"/>
        <v>26856</v>
      </c>
      <c r="O324" s="262">
        <v>40.93</v>
      </c>
      <c r="P324" s="263">
        <v>56573.0</v>
      </c>
      <c r="Q324" s="260">
        <f t="shared" ref="Q324:R324" si="416">M322-O324</f>
        <v>19.43</v>
      </c>
      <c r="R324" s="261">
        <f t="shared" si="416"/>
        <v>26856</v>
      </c>
      <c r="S324" s="264">
        <v>1382.2</v>
      </c>
      <c r="T324" s="265">
        <v>15.0</v>
      </c>
      <c r="U324" s="266" t="s">
        <v>107</v>
      </c>
      <c r="V324" s="266" t="s">
        <v>889</v>
      </c>
    </row>
    <row r="325" ht="12.75" customHeight="1">
      <c r="A325" s="245" t="s">
        <v>583</v>
      </c>
      <c r="B325" s="246" t="s">
        <v>359</v>
      </c>
      <c r="C325" s="247" t="s">
        <v>360</v>
      </c>
      <c r="D325" s="247" t="s">
        <v>245</v>
      </c>
      <c r="E325" s="248"/>
      <c r="F325" s="248"/>
      <c r="G325" s="247" t="s">
        <v>103</v>
      </c>
      <c r="H325" s="248" t="s">
        <v>890</v>
      </c>
      <c r="I325" s="248" t="s">
        <v>105</v>
      </c>
      <c r="J325" s="247" t="s">
        <v>106</v>
      </c>
      <c r="K325" s="249">
        <v>100.0</v>
      </c>
      <c r="L325" s="250">
        <v>138630.0</v>
      </c>
      <c r="M325" s="249">
        <v>15.0</v>
      </c>
      <c r="N325" s="250">
        <v>20794.0</v>
      </c>
      <c r="O325" s="249">
        <v>10.17</v>
      </c>
      <c r="P325" s="250">
        <v>14098.0</v>
      </c>
      <c r="Q325" s="251">
        <f t="shared" ref="Q325:R325" si="417">M325-O325</f>
        <v>4.83</v>
      </c>
      <c r="R325" s="252">
        <f t="shared" si="417"/>
        <v>6696</v>
      </c>
      <c r="S325" s="253">
        <v>1386.3</v>
      </c>
      <c r="T325" s="254">
        <v>15.0</v>
      </c>
      <c r="U325" s="255" t="s">
        <v>107</v>
      </c>
      <c r="V325" s="255"/>
    </row>
    <row r="326" ht="12.75" customHeight="1">
      <c r="A326" s="245" t="s">
        <v>584</v>
      </c>
      <c r="B326" s="246" t="s">
        <v>359</v>
      </c>
      <c r="C326" s="247" t="s">
        <v>360</v>
      </c>
      <c r="D326" s="247" t="s">
        <v>245</v>
      </c>
      <c r="E326" s="248"/>
      <c r="F326" s="248"/>
      <c r="G326" s="247" t="s">
        <v>103</v>
      </c>
      <c r="H326" s="248" t="s">
        <v>891</v>
      </c>
      <c r="I326" s="248" t="s">
        <v>105</v>
      </c>
      <c r="J326" s="247" t="s">
        <v>106</v>
      </c>
      <c r="K326" s="251">
        <f t="shared" ref="K326:R326" si="418">-K325</f>
        <v>-100</v>
      </c>
      <c r="L326" s="252">
        <f t="shared" si="418"/>
        <v>-138630</v>
      </c>
      <c r="M326" s="251">
        <f t="shared" si="418"/>
        <v>-15</v>
      </c>
      <c r="N326" s="252">
        <f t="shared" si="418"/>
        <v>-20794</v>
      </c>
      <c r="O326" s="251">
        <f t="shared" si="418"/>
        <v>-10.17</v>
      </c>
      <c r="P326" s="252">
        <f t="shared" si="418"/>
        <v>-14098</v>
      </c>
      <c r="Q326" s="251">
        <f t="shared" si="418"/>
        <v>-4.83</v>
      </c>
      <c r="R326" s="252">
        <f t="shared" si="418"/>
        <v>-6696</v>
      </c>
      <c r="S326" s="253">
        <v>1386.3</v>
      </c>
      <c r="T326" s="254">
        <v>15.0</v>
      </c>
      <c r="U326" s="255" t="s">
        <v>107</v>
      </c>
      <c r="V326" s="255"/>
    </row>
    <row r="327" ht="12.75" customHeight="1">
      <c r="A327" s="256" t="s">
        <v>585</v>
      </c>
      <c r="B327" s="257" t="s">
        <v>359</v>
      </c>
      <c r="C327" s="258" t="s">
        <v>360</v>
      </c>
      <c r="D327" s="258" t="s">
        <v>245</v>
      </c>
      <c r="E327" s="259"/>
      <c r="F327" s="259"/>
      <c r="G327" s="258" t="s">
        <v>103</v>
      </c>
      <c r="H327" s="259" t="s">
        <v>892</v>
      </c>
      <c r="I327" s="259" t="s">
        <v>105</v>
      </c>
      <c r="J327" s="258" t="s">
        <v>106</v>
      </c>
      <c r="K327" s="260">
        <f>ROUND(M327/0.15,2)</f>
        <v>32.2</v>
      </c>
      <c r="L327" s="261">
        <f>ROUND(N327/0.15,0)</f>
        <v>44640</v>
      </c>
      <c r="M327" s="260">
        <f t="shared" ref="M327:N327" si="419">Q327</f>
        <v>4.83</v>
      </c>
      <c r="N327" s="261">
        <f t="shared" si="419"/>
        <v>6696</v>
      </c>
      <c r="O327" s="262">
        <v>10.17</v>
      </c>
      <c r="P327" s="263">
        <v>14098.0</v>
      </c>
      <c r="Q327" s="260">
        <f t="shared" ref="Q327:R327" si="420">M325-O327</f>
        <v>4.83</v>
      </c>
      <c r="R327" s="261">
        <f t="shared" si="420"/>
        <v>6696</v>
      </c>
      <c r="S327" s="264">
        <v>1386.3</v>
      </c>
      <c r="T327" s="265">
        <v>15.0</v>
      </c>
      <c r="U327" s="266" t="s">
        <v>107</v>
      </c>
      <c r="V327" s="266" t="s">
        <v>893</v>
      </c>
    </row>
    <row r="328" ht="12.75" customHeight="1">
      <c r="A328" s="245" t="s">
        <v>894</v>
      </c>
      <c r="B328" s="246" t="s">
        <v>359</v>
      </c>
      <c r="C328" s="247" t="s">
        <v>360</v>
      </c>
      <c r="D328" s="247" t="s">
        <v>247</v>
      </c>
      <c r="E328" s="248"/>
      <c r="F328" s="248"/>
      <c r="G328" s="247" t="s">
        <v>103</v>
      </c>
      <c r="H328" s="248" t="s">
        <v>895</v>
      </c>
      <c r="I328" s="248" t="s">
        <v>105</v>
      </c>
      <c r="J328" s="247" t="s">
        <v>106</v>
      </c>
      <c r="K328" s="249">
        <v>94.9</v>
      </c>
      <c r="L328" s="250">
        <v>131692.0</v>
      </c>
      <c r="M328" s="249">
        <v>14.23</v>
      </c>
      <c r="N328" s="250">
        <v>19746.0</v>
      </c>
      <c r="O328" s="249">
        <v>9.65</v>
      </c>
      <c r="P328" s="250">
        <v>13391.0</v>
      </c>
      <c r="Q328" s="251">
        <f t="shared" ref="Q328:R328" si="421">M328-O328</f>
        <v>4.58</v>
      </c>
      <c r="R328" s="252">
        <f t="shared" si="421"/>
        <v>6355</v>
      </c>
      <c r="S328" s="253">
        <v>1387.7</v>
      </c>
      <c r="T328" s="254">
        <v>15.0</v>
      </c>
      <c r="U328" s="255" t="s">
        <v>107</v>
      </c>
      <c r="V328" s="255"/>
    </row>
    <row r="329" ht="12.75" customHeight="1">
      <c r="A329" s="245" t="s">
        <v>896</v>
      </c>
      <c r="B329" s="246" t="s">
        <v>359</v>
      </c>
      <c r="C329" s="247" t="s">
        <v>360</v>
      </c>
      <c r="D329" s="247" t="s">
        <v>247</v>
      </c>
      <c r="E329" s="248"/>
      <c r="F329" s="248"/>
      <c r="G329" s="247" t="s">
        <v>103</v>
      </c>
      <c r="H329" s="248" t="s">
        <v>897</v>
      </c>
      <c r="I329" s="248" t="s">
        <v>105</v>
      </c>
      <c r="J329" s="247" t="s">
        <v>106</v>
      </c>
      <c r="K329" s="251">
        <f t="shared" ref="K329:R329" si="422">-K328</f>
        <v>-94.9</v>
      </c>
      <c r="L329" s="252">
        <f t="shared" si="422"/>
        <v>-131692</v>
      </c>
      <c r="M329" s="251">
        <f t="shared" si="422"/>
        <v>-14.23</v>
      </c>
      <c r="N329" s="252">
        <f t="shared" si="422"/>
        <v>-19746</v>
      </c>
      <c r="O329" s="251">
        <f t="shared" si="422"/>
        <v>-9.65</v>
      </c>
      <c r="P329" s="252">
        <f t="shared" si="422"/>
        <v>-13391</v>
      </c>
      <c r="Q329" s="251">
        <f t="shared" si="422"/>
        <v>-4.58</v>
      </c>
      <c r="R329" s="252">
        <f t="shared" si="422"/>
        <v>-6355</v>
      </c>
      <c r="S329" s="253">
        <v>1387.7</v>
      </c>
      <c r="T329" s="254">
        <v>15.0</v>
      </c>
      <c r="U329" s="255" t="s">
        <v>107</v>
      </c>
      <c r="V329" s="255"/>
    </row>
    <row r="330" ht="12.75" customHeight="1">
      <c r="A330" s="256" t="s">
        <v>898</v>
      </c>
      <c r="B330" s="257" t="s">
        <v>359</v>
      </c>
      <c r="C330" s="258" t="s">
        <v>360</v>
      </c>
      <c r="D330" s="258" t="s">
        <v>247</v>
      </c>
      <c r="E330" s="259"/>
      <c r="F330" s="259"/>
      <c r="G330" s="258" t="s">
        <v>103</v>
      </c>
      <c r="H330" s="259" t="s">
        <v>899</v>
      </c>
      <c r="I330" s="259" t="s">
        <v>105</v>
      </c>
      <c r="J330" s="258" t="s">
        <v>106</v>
      </c>
      <c r="K330" s="260">
        <f>ROUND(M330/0.15,2)</f>
        <v>30.53</v>
      </c>
      <c r="L330" s="261">
        <f>ROUND(N330/0.15,0)</f>
        <v>42367</v>
      </c>
      <c r="M330" s="260">
        <f t="shared" ref="M330:N330" si="423">Q330</f>
        <v>4.58</v>
      </c>
      <c r="N330" s="261">
        <f t="shared" si="423"/>
        <v>6355</v>
      </c>
      <c r="O330" s="262">
        <v>9.65</v>
      </c>
      <c r="P330" s="263">
        <v>13391.0</v>
      </c>
      <c r="Q330" s="260">
        <f t="shared" ref="Q330:R330" si="424">M328-O330</f>
        <v>4.58</v>
      </c>
      <c r="R330" s="261">
        <f t="shared" si="424"/>
        <v>6355</v>
      </c>
      <c r="S330" s="264">
        <v>1387.7</v>
      </c>
      <c r="T330" s="265">
        <v>15.0</v>
      </c>
      <c r="U330" s="266" t="s">
        <v>107</v>
      </c>
      <c r="V330" s="266" t="s">
        <v>900</v>
      </c>
    </row>
    <row r="331" ht="12.75" customHeight="1">
      <c r="A331" s="245" t="s">
        <v>901</v>
      </c>
      <c r="B331" s="246" t="s">
        <v>359</v>
      </c>
      <c r="C331" s="247" t="s">
        <v>360</v>
      </c>
      <c r="D331" s="247" t="s">
        <v>114</v>
      </c>
      <c r="E331" s="248"/>
      <c r="F331" s="248"/>
      <c r="G331" s="247" t="s">
        <v>116</v>
      </c>
      <c r="H331" s="248" t="s">
        <v>902</v>
      </c>
      <c r="I331" s="248" t="s">
        <v>105</v>
      </c>
      <c r="J331" s="247" t="s">
        <v>106</v>
      </c>
      <c r="K331" s="249">
        <v>602.78</v>
      </c>
      <c r="L331" s="250">
        <v>838949.0</v>
      </c>
      <c r="M331" s="249">
        <v>90.42</v>
      </c>
      <c r="N331" s="250">
        <v>125846.0</v>
      </c>
      <c r="O331" s="249">
        <v>3.46</v>
      </c>
      <c r="P331" s="250">
        <v>4815.0</v>
      </c>
      <c r="Q331" s="251">
        <f t="shared" ref="Q331:R331" si="425">M331-O331</f>
        <v>86.96</v>
      </c>
      <c r="R331" s="252">
        <f t="shared" si="425"/>
        <v>121031</v>
      </c>
      <c r="S331" s="253">
        <v>1391.8</v>
      </c>
      <c r="T331" s="254">
        <v>15.0</v>
      </c>
      <c r="U331" s="255" t="s">
        <v>107</v>
      </c>
      <c r="V331" s="255"/>
    </row>
    <row r="332" ht="12.75" customHeight="1">
      <c r="A332" s="245" t="s">
        <v>903</v>
      </c>
      <c r="B332" s="246" t="s">
        <v>359</v>
      </c>
      <c r="C332" s="247" t="s">
        <v>360</v>
      </c>
      <c r="D332" s="247" t="s">
        <v>114</v>
      </c>
      <c r="E332" s="248"/>
      <c r="F332" s="248"/>
      <c r="G332" s="247" t="s">
        <v>116</v>
      </c>
      <c r="H332" s="248" t="s">
        <v>904</v>
      </c>
      <c r="I332" s="248" t="s">
        <v>105</v>
      </c>
      <c r="J332" s="247" t="s">
        <v>106</v>
      </c>
      <c r="K332" s="251">
        <f t="shared" ref="K332:R332" si="426">-K331</f>
        <v>-602.78</v>
      </c>
      <c r="L332" s="252">
        <f t="shared" si="426"/>
        <v>-838949</v>
      </c>
      <c r="M332" s="251">
        <f t="shared" si="426"/>
        <v>-90.42</v>
      </c>
      <c r="N332" s="252">
        <f t="shared" si="426"/>
        <v>-125846</v>
      </c>
      <c r="O332" s="251">
        <f t="shared" si="426"/>
        <v>-3.46</v>
      </c>
      <c r="P332" s="252">
        <f t="shared" si="426"/>
        <v>-4815</v>
      </c>
      <c r="Q332" s="251">
        <f t="shared" si="426"/>
        <v>-86.96</v>
      </c>
      <c r="R332" s="252">
        <f t="shared" si="426"/>
        <v>-121031</v>
      </c>
      <c r="S332" s="253">
        <v>1391.8</v>
      </c>
      <c r="T332" s="254">
        <v>15.0</v>
      </c>
      <c r="U332" s="255" t="s">
        <v>107</v>
      </c>
      <c r="V332" s="255"/>
    </row>
    <row r="333" ht="12.75" customHeight="1">
      <c r="A333" s="256" t="s">
        <v>905</v>
      </c>
      <c r="B333" s="257" t="s">
        <v>359</v>
      </c>
      <c r="C333" s="258" t="s">
        <v>360</v>
      </c>
      <c r="D333" s="258" t="s">
        <v>114</v>
      </c>
      <c r="E333" s="259"/>
      <c r="F333" s="259"/>
      <c r="G333" s="258" t="s">
        <v>116</v>
      </c>
      <c r="H333" s="259" t="s">
        <v>906</v>
      </c>
      <c r="I333" s="259" t="s">
        <v>105</v>
      </c>
      <c r="J333" s="258" t="s">
        <v>106</v>
      </c>
      <c r="K333" s="260">
        <f>ROUND(M333/0.15,2)</f>
        <v>579.73</v>
      </c>
      <c r="L333" s="261">
        <f>ROUND(N333/0.15,0)</f>
        <v>806873</v>
      </c>
      <c r="M333" s="260">
        <f t="shared" ref="M333:N333" si="427">Q333</f>
        <v>86.96</v>
      </c>
      <c r="N333" s="261">
        <f t="shared" si="427"/>
        <v>121031</v>
      </c>
      <c r="O333" s="262">
        <v>3.46</v>
      </c>
      <c r="P333" s="263">
        <v>4815.0</v>
      </c>
      <c r="Q333" s="260">
        <f t="shared" ref="Q333:R333" si="428">M331-O333</f>
        <v>86.96</v>
      </c>
      <c r="R333" s="261">
        <f t="shared" si="428"/>
        <v>121031</v>
      </c>
      <c r="S333" s="264">
        <v>1391.8</v>
      </c>
      <c r="T333" s="265">
        <v>15.0</v>
      </c>
      <c r="U333" s="266" t="s">
        <v>107</v>
      </c>
      <c r="V333" s="266" t="s">
        <v>907</v>
      </c>
    </row>
    <row r="334" ht="12.75" customHeight="1">
      <c r="A334" s="245" t="s">
        <v>908</v>
      </c>
      <c r="B334" s="246" t="s">
        <v>359</v>
      </c>
      <c r="C334" s="247" t="s">
        <v>360</v>
      </c>
      <c r="D334" s="247" t="s">
        <v>114</v>
      </c>
      <c r="E334" s="248"/>
      <c r="F334" s="248"/>
      <c r="G334" s="247" t="s">
        <v>103</v>
      </c>
      <c r="H334" s="248" t="s">
        <v>909</v>
      </c>
      <c r="I334" s="248" t="s">
        <v>105</v>
      </c>
      <c r="J334" s="247" t="s">
        <v>106</v>
      </c>
      <c r="K334" s="249">
        <v>90.0</v>
      </c>
      <c r="L334" s="250">
        <v>125262.0</v>
      </c>
      <c r="M334" s="249">
        <v>13.5</v>
      </c>
      <c r="N334" s="250">
        <v>18789.0</v>
      </c>
      <c r="O334" s="249">
        <v>9.15</v>
      </c>
      <c r="P334" s="250">
        <v>12734.0</v>
      </c>
      <c r="Q334" s="251">
        <f t="shared" ref="Q334:R334" si="429">M334-O334</f>
        <v>4.35</v>
      </c>
      <c r="R334" s="252">
        <f t="shared" si="429"/>
        <v>6055</v>
      </c>
      <c r="S334" s="253">
        <v>1391.8</v>
      </c>
      <c r="T334" s="254">
        <v>15.0</v>
      </c>
      <c r="U334" s="255" t="s">
        <v>107</v>
      </c>
      <c r="V334" s="255"/>
    </row>
    <row r="335" ht="12.75" customHeight="1">
      <c r="A335" s="245" t="s">
        <v>910</v>
      </c>
      <c r="B335" s="246" t="s">
        <v>359</v>
      </c>
      <c r="C335" s="247" t="s">
        <v>360</v>
      </c>
      <c r="D335" s="247" t="s">
        <v>114</v>
      </c>
      <c r="E335" s="248"/>
      <c r="F335" s="248"/>
      <c r="G335" s="247" t="s">
        <v>103</v>
      </c>
      <c r="H335" s="248" t="s">
        <v>911</v>
      </c>
      <c r="I335" s="248" t="s">
        <v>105</v>
      </c>
      <c r="J335" s="247" t="s">
        <v>106</v>
      </c>
      <c r="K335" s="251">
        <f t="shared" ref="K335:R335" si="430">-K334</f>
        <v>-90</v>
      </c>
      <c r="L335" s="252">
        <f t="shared" si="430"/>
        <v>-125262</v>
      </c>
      <c r="M335" s="251">
        <f t="shared" si="430"/>
        <v>-13.5</v>
      </c>
      <c r="N335" s="252">
        <f t="shared" si="430"/>
        <v>-18789</v>
      </c>
      <c r="O335" s="251">
        <f t="shared" si="430"/>
        <v>-9.15</v>
      </c>
      <c r="P335" s="252">
        <f t="shared" si="430"/>
        <v>-12734</v>
      </c>
      <c r="Q335" s="251">
        <f t="shared" si="430"/>
        <v>-4.35</v>
      </c>
      <c r="R335" s="252">
        <f t="shared" si="430"/>
        <v>-6055</v>
      </c>
      <c r="S335" s="253">
        <v>1391.8</v>
      </c>
      <c r="T335" s="254">
        <v>15.0</v>
      </c>
      <c r="U335" s="255" t="s">
        <v>107</v>
      </c>
      <c r="V335" s="255"/>
    </row>
    <row r="336" ht="12.75" customHeight="1">
      <c r="A336" s="256" t="s">
        <v>912</v>
      </c>
      <c r="B336" s="257" t="s">
        <v>359</v>
      </c>
      <c r="C336" s="258" t="s">
        <v>360</v>
      </c>
      <c r="D336" s="258" t="s">
        <v>114</v>
      </c>
      <c r="E336" s="259"/>
      <c r="F336" s="259"/>
      <c r="G336" s="258" t="s">
        <v>103</v>
      </c>
      <c r="H336" s="259" t="s">
        <v>913</v>
      </c>
      <c r="I336" s="259" t="s">
        <v>105</v>
      </c>
      <c r="J336" s="258" t="s">
        <v>106</v>
      </c>
      <c r="K336" s="260">
        <f>ROUND(M336/0.15,2)</f>
        <v>29</v>
      </c>
      <c r="L336" s="261">
        <f>ROUND(N336/0.15,0)</f>
        <v>40367</v>
      </c>
      <c r="M336" s="260">
        <f t="shared" ref="M336:N336" si="431">Q336</f>
        <v>4.35</v>
      </c>
      <c r="N336" s="261">
        <f t="shared" si="431"/>
        <v>6055</v>
      </c>
      <c r="O336" s="262">
        <v>9.15</v>
      </c>
      <c r="P336" s="263">
        <v>12734.0</v>
      </c>
      <c r="Q336" s="260">
        <f t="shared" ref="Q336:R336" si="432">M334-O336</f>
        <v>4.35</v>
      </c>
      <c r="R336" s="261">
        <f t="shared" si="432"/>
        <v>6055</v>
      </c>
      <c r="S336" s="264">
        <v>1391.8</v>
      </c>
      <c r="T336" s="265">
        <v>15.0</v>
      </c>
      <c r="U336" s="266" t="s">
        <v>107</v>
      </c>
      <c r="V336" s="266" t="s">
        <v>914</v>
      </c>
    </row>
    <row r="337" ht="12.75" customHeight="1">
      <c r="A337" s="245" t="s">
        <v>915</v>
      </c>
      <c r="B337" s="246" t="s">
        <v>359</v>
      </c>
      <c r="C337" s="247" t="s">
        <v>360</v>
      </c>
      <c r="D337" s="247" t="s">
        <v>413</v>
      </c>
      <c r="E337" s="248"/>
      <c r="F337" s="248"/>
      <c r="G337" s="247" t="s">
        <v>103</v>
      </c>
      <c r="H337" s="248" t="s">
        <v>916</v>
      </c>
      <c r="I337" s="248" t="s">
        <v>105</v>
      </c>
      <c r="J337" s="247" t="s">
        <v>106</v>
      </c>
      <c r="K337" s="249">
        <v>92.8</v>
      </c>
      <c r="L337" s="250">
        <v>128945.0</v>
      </c>
      <c r="M337" s="249">
        <v>13.92</v>
      </c>
      <c r="N337" s="250">
        <v>19341.0</v>
      </c>
      <c r="O337" s="249">
        <v>9.44</v>
      </c>
      <c r="P337" s="250">
        <v>13116.0</v>
      </c>
      <c r="Q337" s="251">
        <f t="shared" ref="Q337:R337" si="433">M337-O337</f>
        <v>4.48</v>
      </c>
      <c r="R337" s="252">
        <f t="shared" si="433"/>
        <v>6225</v>
      </c>
      <c r="S337" s="253">
        <v>1389.5</v>
      </c>
      <c r="T337" s="254">
        <v>15.0</v>
      </c>
      <c r="U337" s="255" t="s">
        <v>107</v>
      </c>
      <c r="V337" s="255"/>
    </row>
    <row r="338" ht="12.75" customHeight="1">
      <c r="A338" s="245" t="s">
        <v>917</v>
      </c>
      <c r="B338" s="246" t="s">
        <v>359</v>
      </c>
      <c r="C338" s="247" t="s">
        <v>360</v>
      </c>
      <c r="D338" s="247" t="s">
        <v>413</v>
      </c>
      <c r="E338" s="248"/>
      <c r="F338" s="248"/>
      <c r="G338" s="247" t="s">
        <v>103</v>
      </c>
      <c r="H338" s="248" t="s">
        <v>918</v>
      </c>
      <c r="I338" s="248" t="s">
        <v>105</v>
      </c>
      <c r="J338" s="247" t="s">
        <v>106</v>
      </c>
      <c r="K338" s="251">
        <f t="shared" ref="K338:R338" si="434">-K337</f>
        <v>-92.8</v>
      </c>
      <c r="L338" s="252">
        <f t="shared" si="434"/>
        <v>-128945</v>
      </c>
      <c r="M338" s="251">
        <f t="shared" si="434"/>
        <v>-13.92</v>
      </c>
      <c r="N338" s="252">
        <f t="shared" si="434"/>
        <v>-19341</v>
      </c>
      <c r="O338" s="251">
        <f t="shared" si="434"/>
        <v>-9.44</v>
      </c>
      <c r="P338" s="252">
        <f t="shared" si="434"/>
        <v>-13116</v>
      </c>
      <c r="Q338" s="251">
        <f t="shared" si="434"/>
        <v>-4.48</v>
      </c>
      <c r="R338" s="252">
        <f t="shared" si="434"/>
        <v>-6225</v>
      </c>
      <c r="S338" s="253">
        <v>1389.5</v>
      </c>
      <c r="T338" s="254">
        <v>15.0</v>
      </c>
      <c r="U338" s="255" t="s">
        <v>107</v>
      </c>
      <c r="V338" s="255"/>
    </row>
    <row r="339" ht="12.75" customHeight="1">
      <c r="A339" s="256" t="s">
        <v>919</v>
      </c>
      <c r="B339" s="257" t="s">
        <v>359</v>
      </c>
      <c r="C339" s="258" t="s">
        <v>360</v>
      </c>
      <c r="D339" s="258" t="s">
        <v>413</v>
      </c>
      <c r="E339" s="259"/>
      <c r="F339" s="259"/>
      <c r="G339" s="258" t="s">
        <v>103</v>
      </c>
      <c r="H339" s="259" t="s">
        <v>920</v>
      </c>
      <c r="I339" s="259" t="s">
        <v>105</v>
      </c>
      <c r="J339" s="258" t="s">
        <v>106</v>
      </c>
      <c r="K339" s="260">
        <f>ROUND(M339/0.15,2)</f>
        <v>29.87</v>
      </c>
      <c r="L339" s="261">
        <f>ROUND(N339/0.15,0)</f>
        <v>41500</v>
      </c>
      <c r="M339" s="260">
        <f t="shared" ref="M339:N339" si="435">Q339</f>
        <v>4.48</v>
      </c>
      <c r="N339" s="261">
        <f t="shared" si="435"/>
        <v>6225</v>
      </c>
      <c r="O339" s="262">
        <v>9.44</v>
      </c>
      <c r="P339" s="263">
        <v>13116.0</v>
      </c>
      <c r="Q339" s="260">
        <f t="shared" ref="Q339:R339" si="436">M337-O339</f>
        <v>4.48</v>
      </c>
      <c r="R339" s="261">
        <f t="shared" si="436"/>
        <v>6225</v>
      </c>
      <c r="S339" s="264">
        <v>1389.5</v>
      </c>
      <c r="T339" s="265">
        <v>15.0</v>
      </c>
      <c r="U339" s="266" t="s">
        <v>107</v>
      </c>
      <c r="V339" s="266" t="s">
        <v>921</v>
      </c>
    </row>
    <row r="340" ht="12.75" customHeight="1">
      <c r="A340" s="245" t="s">
        <v>593</v>
      </c>
      <c r="B340" s="246" t="s">
        <v>359</v>
      </c>
      <c r="C340" s="247" t="s">
        <v>360</v>
      </c>
      <c r="D340" s="247" t="s">
        <v>256</v>
      </c>
      <c r="E340" s="248"/>
      <c r="F340" s="248"/>
      <c r="G340" s="247" t="s">
        <v>103</v>
      </c>
      <c r="H340" s="248" t="s">
        <v>922</v>
      </c>
      <c r="I340" s="248" t="s">
        <v>105</v>
      </c>
      <c r="J340" s="247" t="s">
        <v>106</v>
      </c>
      <c r="K340" s="249">
        <v>92.6</v>
      </c>
      <c r="L340" s="250">
        <v>128213.0</v>
      </c>
      <c r="M340" s="249">
        <v>13.89</v>
      </c>
      <c r="N340" s="250">
        <v>19232.0</v>
      </c>
      <c r="O340" s="249">
        <v>9.42</v>
      </c>
      <c r="P340" s="250">
        <v>13042.0</v>
      </c>
      <c r="Q340" s="251">
        <f t="shared" ref="Q340:R340" si="437">M340-O340</f>
        <v>4.47</v>
      </c>
      <c r="R340" s="252">
        <f t="shared" si="437"/>
        <v>6190</v>
      </c>
      <c r="S340" s="253">
        <v>1384.6</v>
      </c>
      <c r="T340" s="254">
        <v>15.0</v>
      </c>
      <c r="U340" s="255" t="s">
        <v>107</v>
      </c>
      <c r="V340" s="255"/>
    </row>
    <row r="341" ht="12.75" customHeight="1">
      <c r="A341" s="245" t="s">
        <v>594</v>
      </c>
      <c r="B341" s="246" t="s">
        <v>359</v>
      </c>
      <c r="C341" s="247" t="s">
        <v>360</v>
      </c>
      <c r="D341" s="247" t="s">
        <v>256</v>
      </c>
      <c r="E341" s="248"/>
      <c r="F341" s="248"/>
      <c r="G341" s="247" t="s">
        <v>103</v>
      </c>
      <c r="H341" s="248" t="s">
        <v>923</v>
      </c>
      <c r="I341" s="248" t="s">
        <v>105</v>
      </c>
      <c r="J341" s="247" t="s">
        <v>106</v>
      </c>
      <c r="K341" s="251">
        <f t="shared" ref="K341:R341" si="438">-K340</f>
        <v>-92.6</v>
      </c>
      <c r="L341" s="252">
        <f t="shared" si="438"/>
        <v>-128213</v>
      </c>
      <c r="M341" s="251">
        <f t="shared" si="438"/>
        <v>-13.89</v>
      </c>
      <c r="N341" s="252">
        <f t="shared" si="438"/>
        <v>-19232</v>
      </c>
      <c r="O341" s="251">
        <f t="shared" si="438"/>
        <v>-9.42</v>
      </c>
      <c r="P341" s="252">
        <f t="shared" si="438"/>
        <v>-13042</v>
      </c>
      <c r="Q341" s="251">
        <f t="shared" si="438"/>
        <v>-4.47</v>
      </c>
      <c r="R341" s="252">
        <f t="shared" si="438"/>
        <v>-6190</v>
      </c>
      <c r="S341" s="253">
        <v>1384.6</v>
      </c>
      <c r="T341" s="254">
        <v>15.0</v>
      </c>
      <c r="U341" s="255" t="s">
        <v>107</v>
      </c>
      <c r="V341" s="255"/>
    </row>
    <row r="342" ht="12.75" customHeight="1">
      <c r="A342" s="256" t="s">
        <v>595</v>
      </c>
      <c r="B342" s="257" t="s">
        <v>359</v>
      </c>
      <c r="C342" s="258" t="s">
        <v>360</v>
      </c>
      <c r="D342" s="258" t="s">
        <v>256</v>
      </c>
      <c r="E342" s="259"/>
      <c r="F342" s="259"/>
      <c r="G342" s="258" t="s">
        <v>103</v>
      </c>
      <c r="H342" s="259" t="s">
        <v>924</v>
      </c>
      <c r="I342" s="259" t="s">
        <v>105</v>
      </c>
      <c r="J342" s="258" t="s">
        <v>106</v>
      </c>
      <c r="K342" s="260">
        <f>ROUND(M342/0.15,2)</f>
        <v>29.8</v>
      </c>
      <c r="L342" s="261">
        <f>ROUND(N342/0.15,0)</f>
        <v>41267</v>
      </c>
      <c r="M342" s="260">
        <f t="shared" ref="M342:N342" si="439">Q342</f>
        <v>4.47</v>
      </c>
      <c r="N342" s="261">
        <f t="shared" si="439"/>
        <v>6190</v>
      </c>
      <c r="O342" s="262">
        <v>9.42</v>
      </c>
      <c r="P342" s="263">
        <v>13042.0</v>
      </c>
      <c r="Q342" s="260">
        <f t="shared" ref="Q342:R342" si="440">M340-O342</f>
        <v>4.47</v>
      </c>
      <c r="R342" s="261">
        <f t="shared" si="440"/>
        <v>6190</v>
      </c>
      <c r="S342" s="264">
        <v>1384.6</v>
      </c>
      <c r="T342" s="265">
        <v>15.0</v>
      </c>
      <c r="U342" s="266" t="s">
        <v>107</v>
      </c>
      <c r="V342" s="266" t="s">
        <v>925</v>
      </c>
    </row>
    <row r="343" ht="12.75" customHeight="1">
      <c r="A343" s="245" t="s">
        <v>597</v>
      </c>
      <c r="B343" s="246" t="s">
        <v>359</v>
      </c>
      <c r="C343" s="247" t="s">
        <v>360</v>
      </c>
      <c r="D343" s="247" t="s">
        <v>258</v>
      </c>
      <c r="E343" s="248"/>
      <c r="F343" s="248"/>
      <c r="G343" s="247" t="s">
        <v>103</v>
      </c>
      <c r="H343" s="248" t="s">
        <v>926</v>
      </c>
      <c r="I343" s="248" t="s">
        <v>105</v>
      </c>
      <c r="J343" s="247" t="s">
        <v>106</v>
      </c>
      <c r="K343" s="249">
        <v>92.1</v>
      </c>
      <c r="L343" s="250">
        <v>130008.0</v>
      </c>
      <c r="M343" s="249">
        <v>13.81</v>
      </c>
      <c r="N343" s="250">
        <v>19494.0</v>
      </c>
      <c r="O343" s="249">
        <v>9.36</v>
      </c>
      <c r="P343" s="250">
        <v>13212.0</v>
      </c>
      <c r="Q343" s="251">
        <f t="shared" ref="Q343:R343" si="441">M343-O343</f>
        <v>4.45</v>
      </c>
      <c r="R343" s="252">
        <f t="shared" si="441"/>
        <v>6282</v>
      </c>
      <c r="S343" s="253">
        <v>1411.6</v>
      </c>
      <c r="T343" s="254">
        <v>15.0</v>
      </c>
      <c r="U343" s="255" t="s">
        <v>107</v>
      </c>
      <c r="V343" s="255"/>
    </row>
    <row r="344" ht="12.75" customHeight="1">
      <c r="A344" s="245" t="s">
        <v>598</v>
      </c>
      <c r="B344" s="246" t="s">
        <v>359</v>
      </c>
      <c r="C344" s="247" t="s">
        <v>360</v>
      </c>
      <c r="D344" s="247" t="s">
        <v>258</v>
      </c>
      <c r="E344" s="248"/>
      <c r="F344" s="248"/>
      <c r="G344" s="247" t="s">
        <v>103</v>
      </c>
      <c r="H344" s="248" t="s">
        <v>927</v>
      </c>
      <c r="I344" s="248" t="s">
        <v>105</v>
      </c>
      <c r="J344" s="247" t="s">
        <v>106</v>
      </c>
      <c r="K344" s="251">
        <f t="shared" ref="K344:R344" si="442">-K343</f>
        <v>-92.1</v>
      </c>
      <c r="L344" s="252">
        <f t="shared" si="442"/>
        <v>-130008</v>
      </c>
      <c r="M344" s="251">
        <f t="shared" si="442"/>
        <v>-13.81</v>
      </c>
      <c r="N344" s="252">
        <f t="shared" si="442"/>
        <v>-19494</v>
      </c>
      <c r="O344" s="251">
        <f t="shared" si="442"/>
        <v>-9.36</v>
      </c>
      <c r="P344" s="252">
        <f t="shared" si="442"/>
        <v>-13212</v>
      </c>
      <c r="Q344" s="251">
        <f t="shared" si="442"/>
        <v>-4.45</v>
      </c>
      <c r="R344" s="252">
        <f t="shared" si="442"/>
        <v>-6282</v>
      </c>
      <c r="S344" s="253">
        <v>1411.6</v>
      </c>
      <c r="T344" s="254">
        <v>15.0</v>
      </c>
      <c r="U344" s="255" t="s">
        <v>107</v>
      </c>
      <c r="V344" s="255"/>
    </row>
    <row r="345" ht="12.75" customHeight="1">
      <c r="A345" s="256" t="s">
        <v>599</v>
      </c>
      <c r="B345" s="257" t="s">
        <v>359</v>
      </c>
      <c r="C345" s="258" t="s">
        <v>360</v>
      </c>
      <c r="D345" s="258" t="s">
        <v>258</v>
      </c>
      <c r="E345" s="259"/>
      <c r="F345" s="259"/>
      <c r="G345" s="258" t="s">
        <v>103</v>
      </c>
      <c r="H345" s="259" t="s">
        <v>928</v>
      </c>
      <c r="I345" s="259" t="s">
        <v>105</v>
      </c>
      <c r="J345" s="258" t="s">
        <v>106</v>
      </c>
      <c r="K345" s="260">
        <f>ROUND(M345/0.15,2)</f>
        <v>29.67</v>
      </c>
      <c r="L345" s="261">
        <f>ROUND(N345/0.15,0)</f>
        <v>41880</v>
      </c>
      <c r="M345" s="260">
        <f t="shared" ref="M345:N345" si="443">Q345</f>
        <v>4.45</v>
      </c>
      <c r="N345" s="261">
        <f t="shared" si="443"/>
        <v>6282</v>
      </c>
      <c r="O345" s="262">
        <v>9.36</v>
      </c>
      <c r="P345" s="263">
        <v>13212.0</v>
      </c>
      <c r="Q345" s="260">
        <f t="shared" ref="Q345:R345" si="444">M343-O345</f>
        <v>4.45</v>
      </c>
      <c r="R345" s="261">
        <f t="shared" si="444"/>
        <v>6282</v>
      </c>
      <c r="S345" s="264">
        <v>1411.6</v>
      </c>
      <c r="T345" s="265">
        <v>15.0</v>
      </c>
      <c r="U345" s="266" t="s">
        <v>107</v>
      </c>
      <c r="V345" s="266" t="s">
        <v>929</v>
      </c>
    </row>
    <row r="346" ht="12.75" customHeight="1">
      <c r="A346" s="267" t="s">
        <v>930</v>
      </c>
      <c r="B346" s="268" t="s">
        <v>359</v>
      </c>
      <c r="C346" s="269" t="s">
        <v>360</v>
      </c>
      <c r="D346" s="269" t="s">
        <v>417</v>
      </c>
      <c r="E346" s="270"/>
      <c r="F346" s="270"/>
      <c r="G346" s="269" t="s">
        <v>288</v>
      </c>
      <c r="H346" s="270" t="s">
        <v>931</v>
      </c>
      <c r="I346" s="270" t="s">
        <v>105</v>
      </c>
      <c r="J346" s="269" t="s">
        <v>106</v>
      </c>
      <c r="K346" s="271">
        <v>3.72</v>
      </c>
      <c r="L346" s="272">
        <v>5483.0</v>
      </c>
      <c r="M346" s="271">
        <v>0.56</v>
      </c>
      <c r="N346" s="272">
        <v>825.0</v>
      </c>
      <c r="O346" s="271">
        <v>0.0</v>
      </c>
      <c r="P346" s="272">
        <v>0.0</v>
      </c>
      <c r="Q346" s="273">
        <f t="shared" ref="Q346:R346" si="445">M346-O346</f>
        <v>0.56</v>
      </c>
      <c r="R346" s="274">
        <f t="shared" si="445"/>
        <v>825</v>
      </c>
      <c r="S346" s="275">
        <v>1474.1</v>
      </c>
      <c r="T346" s="276">
        <v>15.0</v>
      </c>
      <c r="U346" s="277" t="s">
        <v>107</v>
      </c>
      <c r="V346" s="277"/>
    </row>
    <row r="347" ht="13.5" customHeight="1">
      <c r="A347" s="233" t="s">
        <v>932</v>
      </c>
      <c r="B347" s="207"/>
      <c r="C347" s="278"/>
      <c r="D347" s="278"/>
      <c r="E347" s="278"/>
      <c r="F347" s="278"/>
      <c r="G347" s="278"/>
      <c r="H347" s="278"/>
      <c r="I347" s="278"/>
      <c r="J347" s="278"/>
      <c r="K347" s="235">
        <f t="shared" ref="K347:R347" si="446">SUM(K3:K346)</f>
        <v>10305.68</v>
      </c>
      <c r="L347" s="236">
        <f t="shared" si="446"/>
        <v>14596361</v>
      </c>
      <c r="M347" s="235">
        <f t="shared" si="446"/>
        <v>1546.02</v>
      </c>
      <c r="N347" s="236">
        <f t="shared" si="446"/>
        <v>2189886</v>
      </c>
      <c r="O347" s="235">
        <f t="shared" si="446"/>
        <v>2655.97</v>
      </c>
      <c r="P347" s="236">
        <f t="shared" si="446"/>
        <v>3732177</v>
      </c>
      <c r="Q347" s="235">
        <f t="shared" si="446"/>
        <v>1546.02</v>
      </c>
      <c r="R347" s="236">
        <f t="shared" si="446"/>
        <v>2189886</v>
      </c>
      <c r="S347" s="278"/>
      <c r="T347" s="278"/>
      <c r="U347" s="279" t="str">
        <f>IF(Q347=Q351,"(소계1=소계2)QI재분류PASS","FAIL")</f>
        <v>(소계1=소계2)QI재분류PASS</v>
      </c>
      <c r="V347" s="278"/>
    </row>
    <row r="348" ht="13.5" customHeight="1">
      <c r="A348" s="280" t="s">
        <v>933</v>
      </c>
      <c r="B348" s="207"/>
      <c r="C348" s="281"/>
      <c r="D348" s="281"/>
      <c r="E348" s="281"/>
      <c r="F348" s="281"/>
      <c r="G348" s="281"/>
      <c r="H348" s="281"/>
      <c r="I348" s="281"/>
      <c r="J348" s="281"/>
      <c r="K348" s="282">
        <f>SUMIF(B3:B346,"삼성증권",K3:K346)</f>
        <v>146.87</v>
      </c>
      <c r="L348" s="283">
        <f>SUMIF(B3:B346,"삼성증권",L3:L346)</f>
        <v>204060</v>
      </c>
      <c r="M348" s="282">
        <f>SUMIF(B3:B346,"삼성증권",M3:M346)</f>
        <v>22.03</v>
      </c>
      <c r="N348" s="283">
        <f>SUMIF(B3:B346,"삼성증권",N3:N346)</f>
        <v>30609</v>
      </c>
      <c r="O348" s="282">
        <f>SUMIF(B3:B346,"삼성증권",O3:O346)</f>
        <v>14.84</v>
      </c>
      <c r="P348" s="283">
        <f>SUMIF(B3:B346,"삼성증권",P3:P346)</f>
        <v>20540</v>
      </c>
      <c r="Q348" s="282">
        <f>SUMIF(B3:B346,"삼성증권",Q3:Q346)</f>
        <v>22.03</v>
      </c>
      <c r="R348" s="283">
        <f>SUMIF(B3:B346,"삼성증권",R3:R346)</f>
        <v>30609</v>
      </c>
      <c r="S348" s="281"/>
      <c r="T348" s="281"/>
      <c r="U348" s="281"/>
      <c r="V348" s="281"/>
    </row>
    <row r="349" ht="13.5" customHeight="1">
      <c r="A349" s="280" t="s">
        <v>934</v>
      </c>
      <c r="B349" s="207"/>
      <c r="C349" s="281"/>
      <c r="D349" s="281"/>
      <c r="E349" s="281"/>
      <c r="F349" s="281"/>
      <c r="G349" s="281"/>
      <c r="H349" s="281"/>
      <c r="I349" s="281"/>
      <c r="J349" s="281"/>
      <c r="K349" s="282">
        <f>SUMIF(B3:B346,"미래에셋증권",K3:K346)</f>
        <v>8779.73</v>
      </c>
      <c r="L349" s="283">
        <f>SUMIF(B3:B346,"미래에셋증권",L3:L346)</f>
        <v>12475888</v>
      </c>
      <c r="M349" s="282">
        <f>SUMIF(B3:B346,"미래에셋증권",M3:M346)</f>
        <v>1317.13</v>
      </c>
      <c r="N349" s="283">
        <f>SUMIF(B3:B346,"미래에셋증권",N3:N346)</f>
        <v>1871829</v>
      </c>
      <c r="O349" s="282">
        <f>SUMIF(B3:B346,"미래에셋증권",O3:O346)</f>
        <v>2385.42</v>
      </c>
      <c r="P349" s="283">
        <f>SUMIF(B3:B346,"미래에셋증권",P3:P346)</f>
        <v>3356709</v>
      </c>
      <c r="Q349" s="282">
        <f>SUMIF(B3:B346,"미래에셋증권",Q3:Q346)</f>
        <v>1317.13</v>
      </c>
      <c r="R349" s="283">
        <f>SUMIF(B3:B346,"미래에셋증권",R3:R346)</f>
        <v>1871829</v>
      </c>
      <c r="S349" s="281"/>
      <c r="T349" s="281"/>
      <c r="U349" s="281"/>
      <c r="V349" s="281"/>
    </row>
    <row r="350" ht="13.5" customHeight="1">
      <c r="A350" s="280" t="s">
        <v>935</v>
      </c>
      <c r="B350" s="207"/>
      <c r="C350" s="281"/>
      <c r="D350" s="281"/>
      <c r="E350" s="281"/>
      <c r="F350" s="281"/>
      <c r="G350" s="281"/>
      <c r="H350" s="281"/>
      <c r="I350" s="281"/>
      <c r="J350" s="281"/>
      <c r="K350" s="282">
        <f>SUMIF(B3:B346,"토스증권",K3:K346)</f>
        <v>1379.08</v>
      </c>
      <c r="L350" s="283">
        <f>SUMIF(B3:B346,"토스증권",L3:L346)</f>
        <v>1916413</v>
      </c>
      <c r="M350" s="282">
        <f>SUMIF(B3:B346,"토스증권",M3:M346)</f>
        <v>206.86</v>
      </c>
      <c r="N350" s="283">
        <f>SUMIF(B3:B346,"토스증권",N3:N346)</f>
        <v>287448</v>
      </c>
      <c r="O350" s="282">
        <f>SUMIF(B3:B346,"토스증권",O3:O346)</f>
        <v>255.71</v>
      </c>
      <c r="P350" s="283">
        <f>SUMIF(B3:B346,"토스증권",P3:P346)</f>
        <v>354928</v>
      </c>
      <c r="Q350" s="282">
        <f>SUMIF(B3:B346,"토스증권",Q3:Q346)</f>
        <v>206.86</v>
      </c>
      <c r="R350" s="283">
        <f>SUMIF(B3:B346,"토스증권",R3:R346)</f>
        <v>287448</v>
      </c>
      <c r="S350" s="281"/>
      <c r="T350" s="281"/>
      <c r="U350" s="281"/>
      <c r="V350" s="281"/>
    </row>
    <row r="351" ht="13.5" customHeight="1">
      <c r="A351" s="233" t="s">
        <v>936</v>
      </c>
      <c r="B351" s="207"/>
      <c r="C351" s="278"/>
      <c r="D351" s="278"/>
      <c r="E351" s="278"/>
      <c r="F351" s="278"/>
      <c r="G351" s="278"/>
      <c r="H351" s="278"/>
      <c r="I351" s="278"/>
      <c r="J351" s="278"/>
      <c r="K351" s="235">
        <f t="shared" ref="K351:R351" si="447">SUM(K348:K350)</f>
        <v>10305.68</v>
      </c>
      <c r="L351" s="236">
        <f t="shared" si="447"/>
        <v>14596361</v>
      </c>
      <c r="M351" s="235">
        <f t="shared" si="447"/>
        <v>1546.02</v>
      </c>
      <c r="N351" s="236">
        <f t="shared" si="447"/>
        <v>2189886</v>
      </c>
      <c r="O351" s="235">
        <f t="shared" si="447"/>
        <v>2655.97</v>
      </c>
      <c r="P351" s="236">
        <f t="shared" si="447"/>
        <v>3732177</v>
      </c>
      <c r="Q351" s="235">
        <f t="shared" si="447"/>
        <v>1546.02</v>
      </c>
      <c r="R351" s="236">
        <f t="shared" si="447"/>
        <v>2189886</v>
      </c>
      <c r="S351" s="278"/>
      <c r="T351" s="278"/>
      <c r="U351" s="279" t="s">
        <v>937</v>
      </c>
      <c r="V351" s="278"/>
    </row>
    <row r="352" ht="15.75" customHeight="1">
      <c r="I352" s="241">
        <f>O352+Q352</f>
        <v>28013.27</v>
      </c>
      <c r="M352" s="241"/>
      <c r="N352" s="241"/>
      <c r="O352" s="241">
        <f>round(O351/0.15,2)</f>
        <v>17706.47</v>
      </c>
      <c r="Q352" s="241">
        <f>round(Q351/0.15,2)</f>
        <v>10306.8</v>
      </c>
    </row>
    <row r="353" ht="15.75" customHeight="1">
      <c r="I353" s="284">
        <f>S01_US_DVCA!K205</f>
        <v>28011.98</v>
      </c>
    </row>
    <row r="354" ht="15.75" customHeight="1">
      <c r="I354" s="241">
        <f>I352-I353</f>
        <v>1.29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V1"/>
    <mergeCell ref="A347:B347"/>
    <mergeCell ref="A348:B348"/>
    <mergeCell ref="A349:B349"/>
    <mergeCell ref="A350:B350"/>
    <mergeCell ref="A351:B35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1" width="14.0"/>
    <col customWidth="1" min="12" max="12" width="14.71"/>
    <col customWidth="1" min="13" max="13" width="13.0"/>
    <col customWidth="1" min="14" max="16" width="12.0"/>
    <col customWidth="1" min="17" max="17" width="13.0"/>
    <col customWidth="1" min="18" max="18" width="12.0"/>
    <col customWidth="1" min="19" max="19" width="11.43"/>
    <col customWidth="1" min="20" max="20" width="11.0"/>
    <col customWidth="1" min="21" max="21" width="24.0"/>
    <col customWidth="1" min="22" max="22" width="21.86"/>
    <col customWidth="1" min="23" max="23" width="15.29"/>
    <col customWidth="1" min="24" max="24" width="11.57"/>
    <col customWidth="1" min="25" max="25" width="14.29"/>
    <col customWidth="1" min="26" max="26" width="13.86"/>
    <col customWidth="1" min="27" max="32" width="14.0"/>
    <col customWidth="1" min="33" max="33" width="16.29"/>
    <col customWidth="1" min="34" max="34" width="15.43"/>
    <col customWidth="1" min="35" max="38" width="14.0"/>
    <col customWidth="1" min="39" max="39" width="17.86"/>
    <col customWidth="1" min="40" max="40" width="17.71"/>
  </cols>
  <sheetData>
    <row r="1" ht="15.75" customHeight="1">
      <c r="A1" s="285" t="s">
        <v>938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7"/>
      <c r="W1" s="288" t="s">
        <v>939</v>
      </c>
      <c r="X1" s="286"/>
      <c r="Y1" s="286"/>
      <c r="Z1" s="286"/>
      <c r="AA1" s="286"/>
      <c r="AB1" s="286"/>
      <c r="AC1" s="286"/>
      <c r="AD1" s="286"/>
      <c r="AE1" s="286"/>
      <c r="AF1" s="286"/>
      <c r="AG1" s="286"/>
      <c r="AH1" s="286"/>
      <c r="AI1" s="286"/>
      <c r="AJ1" s="286"/>
      <c r="AK1" s="286"/>
      <c r="AL1" s="286"/>
      <c r="AM1" s="286"/>
      <c r="AN1" s="287"/>
    </row>
    <row r="2" ht="42.0" customHeight="1">
      <c r="A2" s="243" t="s">
        <v>73</v>
      </c>
      <c r="B2" s="244" t="s">
        <v>74</v>
      </c>
      <c r="C2" s="244" t="s">
        <v>75</v>
      </c>
      <c r="D2" s="244" t="s">
        <v>76</v>
      </c>
      <c r="E2" s="244" t="s">
        <v>77</v>
      </c>
      <c r="F2" s="243" t="s">
        <v>78</v>
      </c>
      <c r="G2" s="244" t="s">
        <v>79</v>
      </c>
      <c r="H2" s="244" t="s">
        <v>80</v>
      </c>
      <c r="I2" s="244" t="s">
        <v>81</v>
      </c>
      <c r="J2" s="289" t="s">
        <v>82</v>
      </c>
      <c r="K2" s="290" t="s">
        <v>940</v>
      </c>
      <c r="L2" s="291" t="s">
        <v>941</v>
      </c>
      <c r="M2" s="292" t="s">
        <v>942</v>
      </c>
      <c r="N2" s="244" t="s">
        <v>943</v>
      </c>
      <c r="O2" s="244" t="s">
        <v>944</v>
      </c>
      <c r="P2" s="244" t="s">
        <v>945</v>
      </c>
      <c r="Q2" s="244" t="s">
        <v>946</v>
      </c>
      <c r="R2" s="244" t="s">
        <v>947</v>
      </c>
      <c r="S2" s="244" t="s">
        <v>91</v>
      </c>
      <c r="T2" s="244" t="s">
        <v>948</v>
      </c>
      <c r="U2" s="244" t="s">
        <v>93</v>
      </c>
      <c r="V2" s="244" t="s">
        <v>94</v>
      </c>
      <c r="W2" s="293" t="s">
        <v>949</v>
      </c>
      <c r="X2" s="293" t="s">
        <v>950</v>
      </c>
      <c r="Y2" s="293" t="s">
        <v>951</v>
      </c>
      <c r="Z2" s="294" t="s">
        <v>952</v>
      </c>
      <c r="AA2" s="294" t="s">
        <v>953</v>
      </c>
      <c r="AB2" s="295" t="s">
        <v>954</v>
      </c>
      <c r="AC2" s="296" t="s">
        <v>955</v>
      </c>
      <c r="AD2" s="297" t="s">
        <v>956</v>
      </c>
      <c r="AE2" s="298" t="s">
        <v>957</v>
      </c>
      <c r="AF2" s="294" t="s">
        <v>958</v>
      </c>
      <c r="AG2" s="293" t="s">
        <v>959</v>
      </c>
      <c r="AH2" s="293" t="s">
        <v>960</v>
      </c>
      <c r="AI2" s="294" t="s">
        <v>961</v>
      </c>
      <c r="AJ2" s="294" t="s">
        <v>962</v>
      </c>
      <c r="AK2" s="294" t="s">
        <v>963</v>
      </c>
      <c r="AL2" s="294" t="s">
        <v>964</v>
      </c>
      <c r="AM2" s="299" t="s">
        <v>965</v>
      </c>
      <c r="AN2" s="294" t="s">
        <v>94</v>
      </c>
    </row>
    <row r="3" ht="12.75" customHeight="1">
      <c r="A3" s="245" t="s">
        <v>434</v>
      </c>
      <c r="B3" s="246" t="s">
        <v>99</v>
      </c>
      <c r="C3" s="247" t="s">
        <v>100</v>
      </c>
      <c r="D3" s="247" t="s">
        <v>101</v>
      </c>
      <c r="E3" s="248"/>
      <c r="F3" s="247" t="s">
        <v>102</v>
      </c>
      <c r="G3" s="247" t="s">
        <v>103</v>
      </c>
      <c r="H3" s="247" t="s">
        <v>966</v>
      </c>
      <c r="I3" s="248" t="s">
        <v>105</v>
      </c>
      <c r="J3" s="300" t="s">
        <v>106</v>
      </c>
      <c r="K3" s="301">
        <v>10.39</v>
      </c>
      <c r="L3" s="302">
        <v>14334.0</v>
      </c>
      <c r="M3" s="303">
        <v>1.55</v>
      </c>
      <c r="N3" s="250">
        <v>2138.0</v>
      </c>
      <c r="O3" s="249">
        <v>1.05</v>
      </c>
      <c r="P3" s="250">
        <v>1448.0</v>
      </c>
      <c r="Q3" s="251">
        <f t="shared" ref="Q3:R3" si="1">M3-O3</f>
        <v>0.5</v>
      </c>
      <c r="R3" s="252">
        <f t="shared" si="1"/>
        <v>690</v>
      </c>
      <c r="S3" s="253">
        <v>1379.6</v>
      </c>
      <c r="T3" s="254">
        <v>15.0</v>
      </c>
      <c r="U3" s="255" t="s">
        <v>107</v>
      </c>
      <c r="V3" s="255"/>
      <c r="W3" s="304">
        <v>0.1029</v>
      </c>
      <c r="X3" s="304">
        <v>0.03313</v>
      </c>
      <c r="Y3" s="304">
        <v>0.06977</v>
      </c>
      <c r="Z3" s="305">
        <f>IFERROR(ROUND(K3/W3,0),0)</f>
        <v>101</v>
      </c>
      <c r="AA3" s="306">
        <f t="shared" ref="AA3:AA4" si="3">Z3*W3</f>
        <v>10.3929</v>
      </c>
      <c r="AB3" s="307">
        <f t="shared" ref="AB3:AB4" si="4">ROUND(AA3*S3,0)</f>
        <v>14338</v>
      </c>
      <c r="AC3" s="308">
        <f t="shared" ref="AC3:AC4" si="5">AA3</f>
        <v>10.3929</v>
      </c>
      <c r="AD3" s="309">
        <f t="shared" ref="AD3:AD16" si="6">ROUND(AC3*S3,0)</f>
        <v>14338</v>
      </c>
      <c r="AE3" s="310">
        <f t="shared" ref="AE3:AE16" si="7">IFERROR(ROUND(Z3*Y3,2),0)</f>
        <v>7.05</v>
      </c>
      <c r="AF3" s="252">
        <f t="shared" ref="AF3:AF16" si="8">ROUND(AE3*S3,0)</f>
        <v>9726</v>
      </c>
      <c r="AG3" s="306">
        <f t="shared" ref="AG3:AG4" si="9">ROUND(AC3*0.15,2)</f>
        <v>1.56</v>
      </c>
      <c r="AH3" s="252">
        <f t="shared" ref="AH3:AH4" si="10">ROUND(AD3*0.15,0)</f>
        <v>2151</v>
      </c>
      <c r="AI3" s="311"/>
      <c r="AJ3" s="311"/>
      <c r="AK3" s="311"/>
      <c r="AL3" s="311"/>
      <c r="AM3" s="312"/>
      <c r="AN3" s="313"/>
    </row>
    <row r="4" ht="12.75" customHeight="1">
      <c r="A4" s="245" t="s">
        <v>436</v>
      </c>
      <c r="B4" s="246" t="s">
        <v>99</v>
      </c>
      <c r="C4" s="247" t="s">
        <v>100</v>
      </c>
      <c r="D4" s="247" t="s">
        <v>101</v>
      </c>
      <c r="E4" s="248"/>
      <c r="F4" s="247" t="s">
        <v>102</v>
      </c>
      <c r="G4" s="247" t="s">
        <v>103</v>
      </c>
      <c r="H4" s="247" t="s">
        <v>967</v>
      </c>
      <c r="I4" s="248" t="s">
        <v>105</v>
      </c>
      <c r="J4" s="300" t="s">
        <v>106</v>
      </c>
      <c r="K4" s="314">
        <f t="shared" ref="K4:R4" si="2">-K3</f>
        <v>-10.39</v>
      </c>
      <c r="L4" s="309">
        <f t="shared" si="2"/>
        <v>-14334</v>
      </c>
      <c r="M4" s="315">
        <f t="shared" si="2"/>
        <v>-1.55</v>
      </c>
      <c r="N4" s="252">
        <f t="shared" si="2"/>
        <v>-2138</v>
      </c>
      <c r="O4" s="251">
        <f t="shared" si="2"/>
        <v>-1.05</v>
      </c>
      <c r="P4" s="252">
        <f t="shared" si="2"/>
        <v>-1448</v>
      </c>
      <c r="Q4" s="251">
        <f t="shared" si="2"/>
        <v>-0.5</v>
      </c>
      <c r="R4" s="252">
        <f t="shared" si="2"/>
        <v>-690</v>
      </c>
      <c r="S4" s="253">
        <v>1379.6</v>
      </c>
      <c r="T4" s="254">
        <v>15.0</v>
      </c>
      <c r="U4" s="255" t="s">
        <v>107</v>
      </c>
      <c r="V4" s="255"/>
      <c r="W4" s="304">
        <v>0.1029</v>
      </c>
      <c r="X4" s="304">
        <v>0.03313</v>
      </c>
      <c r="Y4" s="304">
        <v>0.06977</v>
      </c>
      <c r="Z4" s="305">
        <f>-Z3</f>
        <v>-101</v>
      </c>
      <c r="AA4" s="306">
        <f t="shared" si="3"/>
        <v>-10.3929</v>
      </c>
      <c r="AB4" s="307">
        <f t="shared" si="4"/>
        <v>-14338</v>
      </c>
      <c r="AC4" s="308">
        <f t="shared" si="5"/>
        <v>-10.3929</v>
      </c>
      <c r="AD4" s="309">
        <f t="shared" si="6"/>
        <v>-14338</v>
      </c>
      <c r="AE4" s="310">
        <f t="shared" si="7"/>
        <v>-7.05</v>
      </c>
      <c r="AF4" s="252">
        <f t="shared" si="8"/>
        <v>-9726</v>
      </c>
      <c r="AG4" s="306">
        <f t="shared" si="9"/>
        <v>-1.56</v>
      </c>
      <c r="AH4" s="252">
        <f t="shared" si="10"/>
        <v>-2151</v>
      </c>
      <c r="AI4" s="311"/>
      <c r="AJ4" s="311"/>
      <c r="AK4" s="311"/>
      <c r="AL4" s="311"/>
      <c r="AM4" s="312"/>
      <c r="AN4" s="313"/>
    </row>
    <row r="5" ht="12.75" customHeight="1">
      <c r="A5" s="256" t="s">
        <v>438</v>
      </c>
      <c r="B5" s="257" t="s">
        <v>99</v>
      </c>
      <c r="C5" s="258" t="s">
        <v>100</v>
      </c>
      <c r="D5" s="258" t="s">
        <v>101</v>
      </c>
      <c r="E5" s="259"/>
      <c r="F5" s="258" t="s">
        <v>102</v>
      </c>
      <c r="G5" s="258" t="s">
        <v>103</v>
      </c>
      <c r="H5" s="258" t="s">
        <v>968</v>
      </c>
      <c r="I5" s="259" t="s">
        <v>105</v>
      </c>
      <c r="J5" s="316" t="s">
        <v>106</v>
      </c>
      <c r="K5" s="317">
        <f>ROUND(M5/0.15,2)</f>
        <v>3.33</v>
      </c>
      <c r="L5" s="318">
        <f>ROUND(N5/0.15,0)</f>
        <v>4600</v>
      </c>
      <c r="M5" s="319">
        <f t="shared" ref="M5:N5" si="11">Q5</f>
        <v>0.5</v>
      </c>
      <c r="N5" s="261">
        <f t="shared" si="11"/>
        <v>690</v>
      </c>
      <c r="O5" s="262">
        <v>1.05</v>
      </c>
      <c r="P5" s="263">
        <v>1448.0</v>
      </c>
      <c r="Q5" s="260">
        <f t="shared" ref="Q5:R5" si="12">M3-O5</f>
        <v>0.5</v>
      </c>
      <c r="R5" s="261">
        <f t="shared" si="12"/>
        <v>690</v>
      </c>
      <c r="S5" s="264">
        <v>1379.6</v>
      </c>
      <c r="T5" s="265">
        <v>15.0</v>
      </c>
      <c r="U5" s="266" t="s">
        <v>107</v>
      </c>
      <c r="V5" s="266" t="s">
        <v>969</v>
      </c>
      <c r="W5" s="320">
        <v>0.1029</v>
      </c>
      <c r="X5" s="320">
        <v>0.03313</v>
      </c>
      <c r="Y5" s="320">
        <v>0.06977</v>
      </c>
      <c r="Z5" s="321">
        <f>Z3</f>
        <v>101</v>
      </c>
      <c r="AA5" s="311"/>
      <c r="AB5" s="322"/>
      <c r="AC5" s="323">
        <f>IFERROR(ROUND(Z5*X5,2),0)</f>
        <v>3.35</v>
      </c>
      <c r="AD5" s="318">
        <f t="shared" si="6"/>
        <v>4622</v>
      </c>
      <c r="AE5" s="324">
        <f t="shared" si="7"/>
        <v>7.05</v>
      </c>
      <c r="AF5" s="261">
        <f t="shared" si="8"/>
        <v>9726</v>
      </c>
      <c r="AG5" s="311"/>
      <c r="AH5" s="311"/>
      <c r="AI5" s="325">
        <f>ROUND(AC5*0.15,2)</f>
        <v>0.5</v>
      </c>
      <c r="AJ5" s="261">
        <f>ROUND(AD5*0.15,0)</f>
        <v>693</v>
      </c>
      <c r="AK5" s="325">
        <f>ROUND(AE5*0.15,2)</f>
        <v>1.06</v>
      </c>
      <c r="AL5" s="261">
        <f>ROUND(AF5*0.15,0)</f>
        <v>1459</v>
      </c>
      <c r="AM5" s="326">
        <f>IFERROR(AC5/K5,IFERROR(AK5/O5,""))</f>
        <v>1.006006006</v>
      </c>
      <c r="AN5" s="313"/>
    </row>
    <row r="6" ht="12.75" customHeight="1">
      <c r="A6" s="245" t="s">
        <v>441</v>
      </c>
      <c r="B6" s="246" t="s">
        <v>99</v>
      </c>
      <c r="C6" s="247" t="s">
        <v>100</v>
      </c>
      <c r="D6" s="247" t="s">
        <v>108</v>
      </c>
      <c r="E6" s="248"/>
      <c r="F6" s="247" t="s">
        <v>102</v>
      </c>
      <c r="G6" s="247" t="s">
        <v>103</v>
      </c>
      <c r="H6" s="247" t="s">
        <v>970</v>
      </c>
      <c r="I6" s="248" t="s">
        <v>105</v>
      </c>
      <c r="J6" s="300" t="s">
        <v>106</v>
      </c>
      <c r="K6" s="301">
        <v>41.84</v>
      </c>
      <c r="L6" s="302">
        <v>57944.0</v>
      </c>
      <c r="M6" s="303">
        <v>6.28</v>
      </c>
      <c r="N6" s="250">
        <v>8697.0</v>
      </c>
      <c r="O6" s="249">
        <v>4.26</v>
      </c>
      <c r="P6" s="250">
        <v>5899.0</v>
      </c>
      <c r="Q6" s="251">
        <f t="shared" ref="Q6:R6" si="13">M6-O6</f>
        <v>2.02</v>
      </c>
      <c r="R6" s="252">
        <f t="shared" si="13"/>
        <v>2798</v>
      </c>
      <c r="S6" s="253">
        <v>1384.9</v>
      </c>
      <c r="T6" s="254">
        <v>15.0</v>
      </c>
      <c r="U6" s="255" t="s">
        <v>107</v>
      </c>
      <c r="V6" s="255"/>
      <c r="W6" s="304">
        <v>0.1008</v>
      </c>
      <c r="X6" s="304">
        <v>0.032454</v>
      </c>
      <c r="Y6" s="304">
        <v>0.068346</v>
      </c>
      <c r="Z6" s="305">
        <f>IFERROR(ROUND(K6/W6,0),0)</f>
        <v>415</v>
      </c>
      <c r="AA6" s="306">
        <f t="shared" ref="AA6:AA7" si="15">Z6*W6</f>
        <v>41.832</v>
      </c>
      <c r="AB6" s="307">
        <f t="shared" ref="AB6:AB7" si="16">ROUND(AA6*S6,0)</f>
        <v>57933</v>
      </c>
      <c r="AC6" s="308">
        <f t="shared" ref="AC6:AC7" si="17">AA6</f>
        <v>41.832</v>
      </c>
      <c r="AD6" s="309">
        <f t="shared" si="6"/>
        <v>57933</v>
      </c>
      <c r="AE6" s="310">
        <f t="shared" si="7"/>
        <v>28.36</v>
      </c>
      <c r="AF6" s="252">
        <f t="shared" si="8"/>
        <v>39276</v>
      </c>
      <c r="AG6" s="306">
        <f t="shared" ref="AG6:AG7" si="18">ROUND(AC6*0.15,2)</f>
        <v>6.27</v>
      </c>
      <c r="AH6" s="252">
        <f t="shared" ref="AH6:AH7" si="19">ROUND(AD6*0.15,0)</f>
        <v>8690</v>
      </c>
      <c r="AI6" s="311"/>
      <c r="AJ6" s="311"/>
      <c r="AK6" s="311"/>
      <c r="AL6" s="311"/>
      <c r="AM6" s="312"/>
      <c r="AN6" s="313"/>
    </row>
    <row r="7" ht="12.75" customHeight="1">
      <c r="A7" s="245" t="s">
        <v>443</v>
      </c>
      <c r="B7" s="246" t="s">
        <v>99</v>
      </c>
      <c r="C7" s="247" t="s">
        <v>100</v>
      </c>
      <c r="D7" s="247" t="s">
        <v>108</v>
      </c>
      <c r="E7" s="248"/>
      <c r="F7" s="247" t="s">
        <v>102</v>
      </c>
      <c r="G7" s="247" t="s">
        <v>103</v>
      </c>
      <c r="H7" s="247" t="s">
        <v>971</v>
      </c>
      <c r="I7" s="248" t="s">
        <v>105</v>
      </c>
      <c r="J7" s="300" t="s">
        <v>106</v>
      </c>
      <c r="K7" s="314">
        <f t="shared" ref="K7:R7" si="14">-K6</f>
        <v>-41.84</v>
      </c>
      <c r="L7" s="309">
        <f t="shared" si="14"/>
        <v>-57944</v>
      </c>
      <c r="M7" s="315">
        <f t="shared" si="14"/>
        <v>-6.28</v>
      </c>
      <c r="N7" s="252">
        <f t="shared" si="14"/>
        <v>-8697</v>
      </c>
      <c r="O7" s="251">
        <f t="shared" si="14"/>
        <v>-4.26</v>
      </c>
      <c r="P7" s="252">
        <f t="shared" si="14"/>
        <v>-5899</v>
      </c>
      <c r="Q7" s="251">
        <f t="shared" si="14"/>
        <v>-2.02</v>
      </c>
      <c r="R7" s="252">
        <f t="shared" si="14"/>
        <v>-2798</v>
      </c>
      <c r="S7" s="253">
        <v>1384.9</v>
      </c>
      <c r="T7" s="254">
        <v>15.0</v>
      </c>
      <c r="U7" s="255" t="s">
        <v>107</v>
      </c>
      <c r="V7" s="255"/>
      <c r="W7" s="304">
        <v>0.1008</v>
      </c>
      <c r="X7" s="304">
        <v>0.032454</v>
      </c>
      <c r="Y7" s="304">
        <v>0.068346</v>
      </c>
      <c r="Z7" s="305">
        <f>-Z6</f>
        <v>-415</v>
      </c>
      <c r="AA7" s="306">
        <f t="shared" si="15"/>
        <v>-41.832</v>
      </c>
      <c r="AB7" s="307">
        <f t="shared" si="16"/>
        <v>-57933</v>
      </c>
      <c r="AC7" s="308">
        <f t="shared" si="17"/>
        <v>-41.832</v>
      </c>
      <c r="AD7" s="309">
        <f t="shared" si="6"/>
        <v>-57933</v>
      </c>
      <c r="AE7" s="310">
        <f t="shared" si="7"/>
        <v>-28.36</v>
      </c>
      <c r="AF7" s="252">
        <f t="shared" si="8"/>
        <v>-39276</v>
      </c>
      <c r="AG7" s="306">
        <f t="shared" si="18"/>
        <v>-6.27</v>
      </c>
      <c r="AH7" s="252">
        <f t="shared" si="19"/>
        <v>-8690</v>
      </c>
      <c r="AI7" s="311"/>
      <c r="AJ7" s="311"/>
      <c r="AK7" s="311"/>
      <c r="AL7" s="311"/>
      <c r="AM7" s="312"/>
      <c r="AN7" s="313"/>
    </row>
    <row r="8" ht="12.75" customHeight="1">
      <c r="A8" s="256" t="s">
        <v>445</v>
      </c>
      <c r="B8" s="257" t="s">
        <v>99</v>
      </c>
      <c r="C8" s="258" t="s">
        <v>100</v>
      </c>
      <c r="D8" s="258" t="s">
        <v>108</v>
      </c>
      <c r="E8" s="259"/>
      <c r="F8" s="258" t="s">
        <v>102</v>
      </c>
      <c r="G8" s="258" t="s">
        <v>103</v>
      </c>
      <c r="H8" s="258" t="s">
        <v>972</v>
      </c>
      <c r="I8" s="259" t="s">
        <v>105</v>
      </c>
      <c r="J8" s="316" t="s">
        <v>106</v>
      </c>
      <c r="K8" s="317">
        <f>ROUND(M8/0.15,2)</f>
        <v>13.47</v>
      </c>
      <c r="L8" s="318">
        <f>ROUND(N8/0.15,0)</f>
        <v>18653</v>
      </c>
      <c r="M8" s="319">
        <f t="shared" ref="M8:N8" si="20">Q8</f>
        <v>2.02</v>
      </c>
      <c r="N8" s="261">
        <f t="shared" si="20"/>
        <v>2798</v>
      </c>
      <c r="O8" s="262">
        <v>4.26</v>
      </c>
      <c r="P8" s="263">
        <v>5899.0</v>
      </c>
      <c r="Q8" s="260">
        <f t="shared" ref="Q8:R8" si="21">M6-O8</f>
        <v>2.02</v>
      </c>
      <c r="R8" s="261">
        <f t="shared" si="21"/>
        <v>2798</v>
      </c>
      <c r="S8" s="264">
        <v>1384.9</v>
      </c>
      <c r="T8" s="265">
        <v>15.0</v>
      </c>
      <c r="U8" s="266" t="s">
        <v>107</v>
      </c>
      <c r="V8" s="266" t="s">
        <v>973</v>
      </c>
      <c r="W8" s="320">
        <v>0.1008</v>
      </c>
      <c r="X8" s="320">
        <v>0.032454</v>
      </c>
      <c r="Y8" s="320">
        <v>0.068346</v>
      </c>
      <c r="Z8" s="321">
        <f>Z6</f>
        <v>415</v>
      </c>
      <c r="AA8" s="311"/>
      <c r="AB8" s="322"/>
      <c r="AC8" s="323">
        <f>IFERROR(ROUND(Z8*X8,2),0)</f>
        <v>13.47</v>
      </c>
      <c r="AD8" s="318">
        <f t="shared" si="6"/>
        <v>18655</v>
      </c>
      <c r="AE8" s="324">
        <f t="shared" si="7"/>
        <v>28.36</v>
      </c>
      <c r="AF8" s="261">
        <f t="shared" si="8"/>
        <v>39276</v>
      </c>
      <c r="AG8" s="311"/>
      <c r="AH8" s="311"/>
      <c r="AI8" s="325">
        <f>ROUND(AC8*0.15,2)</f>
        <v>2.02</v>
      </c>
      <c r="AJ8" s="261">
        <f>ROUND(AD8*0.15,0)</f>
        <v>2798</v>
      </c>
      <c r="AK8" s="325">
        <f>ROUND(AE8*0.15,2)</f>
        <v>4.25</v>
      </c>
      <c r="AL8" s="261">
        <f>ROUND(AF8*0.15,0)</f>
        <v>5891</v>
      </c>
      <c r="AM8" s="326">
        <f>IFERROR(AC8/K8,IFERROR(AK8/O8,""))</f>
        <v>1</v>
      </c>
      <c r="AN8" s="313"/>
    </row>
    <row r="9" ht="12.75" customHeight="1">
      <c r="A9" s="245" t="s">
        <v>448</v>
      </c>
      <c r="B9" s="246" t="s">
        <v>99</v>
      </c>
      <c r="C9" s="247" t="s">
        <v>100</v>
      </c>
      <c r="D9" s="247" t="s">
        <v>110</v>
      </c>
      <c r="E9" s="248"/>
      <c r="F9" s="247" t="s">
        <v>102</v>
      </c>
      <c r="G9" s="247" t="s">
        <v>103</v>
      </c>
      <c r="H9" s="247" t="s">
        <v>974</v>
      </c>
      <c r="I9" s="248" t="s">
        <v>105</v>
      </c>
      <c r="J9" s="300" t="s">
        <v>106</v>
      </c>
      <c r="K9" s="301">
        <v>43.43</v>
      </c>
      <c r="L9" s="302">
        <v>60193.0</v>
      </c>
      <c r="M9" s="303">
        <v>6.52</v>
      </c>
      <c r="N9" s="250">
        <v>9036.0</v>
      </c>
      <c r="O9" s="249">
        <v>4.42</v>
      </c>
      <c r="P9" s="250">
        <v>6126.0</v>
      </c>
      <c r="Q9" s="251">
        <f t="shared" ref="Q9:R9" si="22">M9-O9</f>
        <v>2.1</v>
      </c>
      <c r="R9" s="252">
        <f t="shared" si="22"/>
        <v>2910</v>
      </c>
      <c r="S9" s="253">
        <v>1386.0</v>
      </c>
      <c r="T9" s="254">
        <v>15.0</v>
      </c>
      <c r="U9" s="255" t="s">
        <v>107</v>
      </c>
      <c r="V9" s="255"/>
      <c r="W9" s="304">
        <v>0.1003</v>
      </c>
      <c r="X9" s="304">
        <v>0.032293</v>
      </c>
      <c r="Y9" s="304">
        <v>0.068007</v>
      </c>
      <c r="Z9" s="305">
        <f>IFERROR(ROUND(K9/W9,0),0)</f>
        <v>433</v>
      </c>
      <c r="AA9" s="306">
        <f t="shared" ref="AA9:AA10" si="24">Z9*W9</f>
        <v>43.4299</v>
      </c>
      <c r="AB9" s="307">
        <f t="shared" ref="AB9:AB10" si="25">ROUND(AA9*S9,0)</f>
        <v>60194</v>
      </c>
      <c r="AC9" s="308">
        <f t="shared" ref="AC9:AC10" si="26">AA9</f>
        <v>43.4299</v>
      </c>
      <c r="AD9" s="309">
        <f t="shared" si="6"/>
        <v>60194</v>
      </c>
      <c r="AE9" s="310">
        <f t="shared" si="7"/>
        <v>29.45</v>
      </c>
      <c r="AF9" s="252">
        <f t="shared" si="8"/>
        <v>40818</v>
      </c>
      <c r="AG9" s="306">
        <f t="shared" ref="AG9:AG10" si="27">ROUND(AC9*0.15,2)</f>
        <v>6.51</v>
      </c>
      <c r="AH9" s="252">
        <f t="shared" ref="AH9:AH10" si="28">ROUND(AD9*0.15,0)</f>
        <v>9029</v>
      </c>
      <c r="AI9" s="311"/>
      <c r="AJ9" s="311"/>
      <c r="AK9" s="311"/>
      <c r="AL9" s="311"/>
      <c r="AM9" s="312"/>
      <c r="AN9" s="313"/>
    </row>
    <row r="10" ht="12.75" customHeight="1">
      <c r="A10" s="245" t="s">
        <v>450</v>
      </c>
      <c r="B10" s="246" t="s">
        <v>99</v>
      </c>
      <c r="C10" s="247" t="s">
        <v>100</v>
      </c>
      <c r="D10" s="247" t="s">
        <v>110</v>
      </c>
      <c r="E10" s="248"/>
      <c r="F10" s="247" t="s">
        <v>102</v>
      </c>
      <c r="G10" s="247" t="s">
        <v>103</v>
      </c>
      <c r="H10" s="247" t="s">
        <v>975</v>
      </c>
      <c r="I10" s="248" t="s">
        <v>105</v>
      </c>
      <c r="J10" s="300" t="s">
        <v>106</v>
      </c>
      <c r="K10" s="314">
        <f t="shared" ref="K10:R10" si="23">-K9</f>
        <v>-43.43</v>
      </c>
      <c r="L10" s="309">
        <f t="shared" si="23"/>
        <v>-60193</v>
      </c>
      <c r="M10" s="315">
        <f t="shared" si="23"/>
        <v>-6.52</v>
      </c>
      <c r="N10" s="252">
        <f t="shared" si="23"/>
        <v>-9036</v>
      </c>
      <c r="O10" s="251">
        <f t="shared" si="23"/>
        <v>-4.42</v>
      </c>
      <c r="P10" s="252">
        <f t="shared" si="23"/>
        <v>-6126</v>
      </c>
      <c r="Q10" s="251">
        <f t="shared" si="23"/>
        <v>-2.1</v>
      </c>
      <c r="R10" s="252">
        <f t="shared" si="23"/>
        <v>-2910</v>
      </c>
      <c r="S10" s="253">
        <v>1386.0</v>
      </c>
      <c r="T10" s="254">
        <v>15.0</v>
      </c>
      <c r="U10" s="255" t="s">
        <v>107</v>
      </c>
      <c r="V10" s="255"/>
      <c r="W10" s="304">
        <v>0.1003</v>
      </c>
      <c r="X10" s="304">
        <v>0.032293</v>
      </c>
      <c r="Y10" s="304">
        <v>0.068007</v>
      </c>
      <c r="Z10" s="305">
        <f>-Z9</f>
        <v>-433</v>
      </c>
      <c r="AA10" s="306">
        <f t="shared" si="24"/>
        <v>-43.4299</v>
      </c>
      <c r="AB10" s="307">
        <f t="shared" si="25"/>
        <v>-60194</v>
      </c>
      <c r="AC10" s="308">
        <f t="shared" si="26"/>
        <v>-43.4299</v>
      </c>
      <c r="AD10" s="309">
        <f t="shared" si="6"/>
        <v>-60194</v>
      </c>
      <c r="AE10" s="310">
        <f t="shared" si="7"/>
        <v>-29.45</v>
      </c>
      <c r="AF10" s="252">
        <f t="shared" si="8"/>
        <v>-40818</v>
      </c>
      <c r="AG10" s="306">
        <f t="shared" si="27"/>
        <v>-6.51</v>
      </c>
      <c r="AH10" s="252">
        <f t="shared" si="28"/>
        <v>-9029</v>
      </c>
      <c r="AI10" s="311"/>
      <c r="AJ10" s="311"/>
      <c r="AK10" s="311"/>
      <c r="AL10" s="311"/>
      <c r="AM10" s="312"/>
      <c r="AN10" s="313"/>
    </row>
    <row r="11" ht="12.75" customHeight="1">
      <c r="A11" s="256" t="s">
        <v>452</v>
      </c>
      <c r="B11" s="257" t="s">
        <v>99</v>
      </c>
      <c r="C11" s="258" t="s">
        <v>100</v>
      </c>
      <c r="D11" s="258" t="s">
        <v>110</v>
      </c>
      <c r="E11" s="259"/>
      <c r="F11" s="258" t="s">
        <v>102</v>
      </c>
      <c r="G11" s="258" t="s">
        <v>103</v>
      </c>
      <c r="H11" s="258" t="s">
        <v>976</v>
      </c>
      <c r="I11" s="259" t="s">
        <v>105</v>
      </c>
      <c r="J11" s="316" t="s">
        <v>106</v>
      </c>
      <c r="K11" s="317">
        <f>ROUND(M11/0.15,2)</f>
        <v>14</v>
      </c>
      <c r="L11" s="318">
        <f>ROUND(N11/0.15,0)</f>
        <v>19400</v>
      </c>
      <c r="M11" s="319">
        <f t="shared" ref="M11:N11" si="29">Q11</f>
        <v>2.1</v>
      </c>
      <c r="N11" s="261">
        <f t="shared" si="29"/>
        <v>2910</v>
      </c>
      <c r="O11" s="262">
        <v>4.42</v>
      </c>
      <c r="P11" s="263">
        <v>6126.0</v>
      </c>
      <c r="Q11" s="260">
        <f t="shared" ref="Q11:R11" si="30">M9-O11</f>
        <v>2.1</v>
      </c>
      <c r="R11" s="261">
        <f t="shared" si="30"/>
        <v>2910</v>
      </c>
      <c r="S11" s="264">
        <v>1386.0</v>
      </c>
      <c r="T11" s="265">
        <v>15.0</v>
      </c>
      <c r="U11" s="266" t="s">
        <v>107</v>
      </c>
      <c r="V11" s="266" t="s">
        <v>977</v>
      </c>
      <c r="W11" s="320">
        <v>0.1003</v>
      </c>
      <c r="X11" s="320">
        <v>0.032293</v>
      </c>
      <c r="Y11" s="320">
        <v>0.068007</v>
      </c>
      <c r="Z11" s="321">
        <f>Z9</f>
        <v>433</v>
      </c>
      <c r="AA11" s="311"/>
      <c r="AB11" s="322"/>
      <c r="AC11" s="323">
        <f>IFERROR(ROUND(Z11*X11,2),0)</f>
        <v>13.98</v>
      </c>
      <c r="AD11" s="318">
        <f t="shared" si="6"/>
        <v>19376</v>
      </c>
      <c r="AE11" s="324">
        <f t="shared" si="7"/>
        <v>29.45</v>
      </c>
      <c r="AF11" s="261">
        <f t="shared" si="8"/>
        <v>40818</v>
      </c>
      <c r="AG11" s="311"/>
      <c r="AH11" s="311"/>
      <c r="AI11" s="325">
        <f>ROUND(AC11*0.15,2)</f>
        <v>2.1</v>
      </c>
      <c r="AJ11" s="261">
        <f>ROUND(AD11*0.15,0)</f>
        <v>2906</v>
      </c>
      <c r="AK11" s="325">
        <f>ROUND(AE11*0.15,2)</f>
        <v>4.42</v>
      </c>
      <c r="AL11" s="261">
        <f>ROUND(AF11*0.15,0)</f>
        <v>6123</v>
      </c>
      <c r="AM11" s="326">
        <f>IFERROR(AC11/K11,IFERROR(AK11/O11,""))</f>
        <v>0.9985714286</v>
      </c>
      <c r="AN11" s="313"/>
    </row>
    <row r="12" ht="12.75" customHeight="1">
      <c r="A12" s="245" t="s">
        <v>455</v>
      </c>
      <c r="B12" s="246" t="s">
        <v>99</v>
      </c>
      <c r="C12" s="247" t="s">
        <v>100</v>
      </c>
      <c r="D12" s="247" t="s">
        <v>112</v>
      </c>
      <c r="E12" s="248"/>
      <c r="F12" s="247" t="s">
        <v>102</v>
      </c>
      <c r="G12" s="247" t="s">
        <v>103</v>
      </c>
      <c r="H12" s="247" t="s">
        <v>978</v>
      </c>
      <c r="I12" s="248" t="s">
        <v>105</v>
      </c>
      <c r="J12" s="300" t="s">
        <v>106</v>
      </c>
      <c r="K12" s="301">
        <v>44.17</v>
      </c>
      <c r="L12" s="302">
        <v>61051.0</v>
      </c>
      <c r="M12" s="303">
        <v>6.63</v>
      </c>
      <c r="N12" s="250">
        <v>9163.0</v>
      </c>
      <c r="O12" s="249">
        <v>4.5</v>
      </c>
      <c r="P12" s="250">
        <v>6219.0</v>
      </c>
      <c r="Q12" s="251">
        <f t="shared" ref="Q12:R12" si="31">M12-O12</f>
        <v>2.13</v>
      </c>
      <c r="R12" s="252">
        <f t="shared" si="31"/>
        <v>2944</v>
      </c>
      <c r="S12" s="253">
        <v>1382.2</v>
      </c>
      <c r="T12" s="254">
        <v>15.0</v>
      </c>
      <c r="U12" s="255" t="s">
        <v>107</v>
      </c>
      <c r="V12" s="255"/>
      <c r="W12" s="304">
        <v>0.1006</v>
      </c>
      <c r="X12" s="304">
        <v>0.03239</v>
      </c>
      <c r="Y12" s="304">
        <v>0.06821</v>
      </c>
      <c r="Z12" s="305">
        <f>IFERROR(ROUND(K12/W12,0),0)</f>
        <v>439</v>
      </c>
      <c r="AA12" s="306">
        <f t="shared" ref="AA12:AA13" si="33">Z12*W12</f>
        <v>44.1634</v>
      </c>
      <c r="AB12" s="307">
        <f t="shared" ref="AB12:AB13" si="34">ROUND(AA12*S12,0)</f>
        <v>61043</v>
      </c>
      <c r="AC12" s="308">
        <f t="shared" ref="AC12:AC13" si="35">AA12</f>
        <v>44.1634</v>
      </c>
      <c r="AD12" s="309">
        <f t="shared" si="6"/>
        <v>61043</v>
      </c>
      <c r="AE12" s="310">
        <f t="shared" si="7"/>
        <v>29.94</v>
      </c>
      <c r="AF12" s="252">
        <f t="shared" si="8"/>
        <v>41383</v>
      </c>
      <c r="AG12" s="306">
        <f t="shared" ref="AG12:AG13" si="36">ROUND(AC12*0.15,2)</f>
        <v>6.62</v>
      </c>
      <c r="AH12" s="252">
        <f t="shared" ref="AH12:AH13" si="37">ROUND(AD12*0.15,0)</f>
        <v>9156</v>
      </c>
      <c r="AI12" s="311"/>
      <c r="AJ12" s="311"/>
      <c r="AK12" s="311"/>
      <c r="AL12" s="311"/>
      <c r="AM12" s="312"/>
      <c r="AN12" s="313"/>
    </row>
    <row r="13" ht="12.75" customHeight="1">
      <c r="A13" s="245" t="s">
        <v>457</v>
      </c>
      <c r="B13" s="246" t="s">
        <v>99</v>
      </c>
      <c r="C13" s="247" t="s">
        <v>100</v>
      </c>
      <c r="D13" s="247" t="s">
        <v>112</v>
      </c>
      <c r="E13" s="248"/>
      <c r="F13" s="247" t="s">
        <v>102</v>
      </c>
      <c r="G13" s="247" t="s">
        <v>103</v>
      </c>
      <c r="H13" s="247" t="s">
        <v>979</v>
      </c>
      <c r="I13" s="248" t="s">
        <v>105</v>
      </c>
      <c r="J13" s="300" t="s">
        <v>106</v>
      </c>
      <c r="K13" s="314">
        <f t="shared" ref="K13:R13" si="32">-K12</f>
        <v>-44.17</v>
      </c>
      <c r="L13" s="309">
        <f t="shared" si="32"/>
        <v>-61051</v>
      </c>
      <c r="M13" s="315">
        <f t="shared" si="32"/>
        <v>-6.63</v>
      </c>
      <c r="N13" s="252">
        <f t="shared" si="32"/>
        <v>-9163</v>
      </c>
      <c r="O13" s="251">
        <f t="shared" si="32"/>
        <v>-4.5</v>
      </c>
      <c r="P13" s="252">
        <f t="shared" si="32"/>
        <v>-6219</v>
      </c>
      <c r="Q13" s="251">
        <f t="shared" si="32"/>
        <v>-2.13</v>
      </c>
      <c r="R13" s="252">
        <f t="shared" si="32"/>
        <v>-2944</v>
      </c>
      <c r="S13" s="253">
        <v>1382.2</v>
      </c>
      <c r="T13" s="254">
        <v>15.0</v>
      </c>
      <c r="U13" s="255" t="s">
        <v>107</v>
      </c>
      <c r="V13" s="255"/>
      <c r="W13" s="304">
        <v>0.1006</v>
      </c>
      <c r="X13" s="304">
        <v>0.03239</v>
      </c>
      <c r="Y13" s="304">
        <v>0.06821</v>
      </c>
      <c r="Z13" s="305">
        <f>-Z12</f>
        <v>-439</v>
      </c>
      <c r="AA13" s="306">
        <f t="shared" si="33"/>
        <v>-44.1634</v>
      </c>
      <c r="AB13" s="307">
        <f t="shared" si="34"/>
        <v>-61043</v>
      </c>
      <c r="AC13" s="308">
        <f t="shared" si="35"/>
        <v>-44.1634</v>
      </c>
      <c r="AD13" s="309">
        <f t="shared" si="6"/>
        <v>-61043</v>
      </c>
      <c r="AE13" s="310">
        <f t="shared" si="7"/>
        <v>-29.94</v>
      </c>
      <c r="AF13" s="252">
        <f t="shared" si="8"/>
        <v>-41383</v>
      </c>
      <c r="AG13" s="306">
        <f t="shared" si="36"/>
        <v>-6.62</v>
      </c>
      <c r="AH13" s="252">
        <f t="shared" si="37"/>
        <v>-9156</v>
      </c>
      <c r="AI13" s="311"/>
      <c r="AJ13" s="311"/>
      <c r="AK13" s="311"/>
      <c r="AL13" s="311"/>
      <c r="AM13" s="312"/>
      <c r="AN13" s="313"/>
    </row>
    <row r="14" ht="12.75" customHeight="1">
      <c r="A14" s="256" t="s">
        <v>459</v>
      </c>
      <c r="B14" s="257" t="s">
        <v>99</v>
      </c>
      <c r="C14" s="258" t="s">
        <v>100</v>
      </c>
      <c r="D14" s="258" t="s">
        <v>112</v>
      </c>
      <c r="E14" s="259"/>
      <c r="F14" s="258" t="s">
        <v>102</v>
      </c>
      <c r="G14" s="258" t="s">
        <v>103</v>
      </c>
      <c r="H14" s="258" t="s">
        <v>980</v>
      </c>
      <c r="I14" s="259" t="s">
        <v>105</v>
      </c>
      <c r="J14" s="316" t="s">
        <v>106</v>
      </c>
      <c r="K14" s="317">
        <f>ROUND(M14/0.15,2)</f>
        <v>14.2</v>
      </c>
      <c r="L14" s="318">
        <f>ROUND(N14/0.15,0)</f>
        <v>19627</v>
      </c>
      <c r="M14" s="319">
        <f t="shared" ref="M14:N14" si="38">Q14</f>
        <v>2.13</v>
      </c>
      <c r="N14" s="261">
        <f t="shared" si="38"/>
        <v>2944</v>
      </c>
      <c r="O14" s="262">
        <v>4.5</v>
      </c>
      <c r="P14" s="263">
        <v>6219.0</v>
      </c>
      <c r="Q14" s="260">
        <f t="shared" ref="Q14:R14" si="39">M12-O14</f>
        <v>2.13</v>
      </c>
      <c r="R14" s="261">
        <f t="shared" si="39"/>
        <v>2944</v>
      </c>
      <c r="S14" s="264">
        <v>1382.2</v>
      </c>
      <c r="T14" s="265">
        <v>15.0</v>
      </c>
      <c r="U14" s="266" t="s">
        <v>107</v>
      </c>
      <c r="V14" s="266" t="s">
        <v>981</v>
      </c>
      <c r="W14" s="320">
        <v>0.1006</v>
      </c>
      <c r="X14" s="320">
        <v>0.03239</v>
      </c>
      <c r="Y14" s="320">
        <v>0.06821</v>
      </c>
      <c r="Z14" s="321">
        <f>Z12</f>
        <v>439</v>
      </c>
      <c r="AA14" s="311"/>
      <c r="AB14" s="322"/>
      <c r="AC14" s="323">
        <f>IFERROR(ROUND(Z14*X14,2),0)</f>
        <v>14.22</v>
      </c>
      <c r="AD14" s="318">
        <f t="shared" si="6"/>
        <v>19655</v>
      </c>
      <c r="AE14" s="324">
        <f t="shared" si="7"/>
        <v>29.94</v>
      </c>
      <c r="AF14" s="261">
        <f t="shared" si="8"/>
        <v>41383</v>
      </c>
      <c r="AG14" s="311"/>
      <c r="AH14" s="311"/>
      <c r="AI14" s="325">
        <f>ROUND(AC14*0.15,2)</f>
        <v>2.13</v>
      </c>
      <c r="AJ14" s="261">
        <f>ROUND(AD14*0.15,0)</f>
        <v>2948</v>
      </c>
      <c r="AK14" s="325">
        <f>ROUND(AE14*0.15,2)</f>
        <v>4.49</v>
      </c>
      <c r="AL14" s="261">
        <f>ROUND(AF14*0.15,0)</f>
        <v>6207</v>
      </c>
      <c r="AM14" s="326">
        <f>IFERROR(AC14/K14,IFERROR(AK14/O14,""))</f>
        <v>1.001408451</v>
      </c>
      <c r="AN14" s="313"/>
    </row>
    <row r="15" ht="12.75" customHeight="1">
      <c r="A15" s="245" t="s">
        <v>462</v>
      </c>
      <c r="B15" s="246" t="s">
        <v>99</v>
      </c>
      <c r="C15" s="247" t="s">
        <v>100</v>
      </c>
      <c r="D15" s="247" t="s">
        <v>114</v>
      </c>
      <c r="E15" s="248"/>
      <c r="F15" s="247" t="s">
        <v>115</v>
      </c>
      <c r="G15" s="247" t="s">
        <v>116</v>
      </c>
      <c r="H15" s="247" t="s">
        <v>117</v>
      </c>
      <c r="I15" s="248" t="s">
        <v>105</v>
      </c>
      <c r="J15" s="300" t="s">
        <v>106</v>
      </c>
      <c r="K15" s="301">
        <v>105.92</v>
      </c>
      <c r="L15" s="302">
        <v>147419.0</v>
      </c>
      <c r="M15" s="303">
        <v>15.89</v>
      </c>
      <c r="N15" s="250">
        <v>22115.0</v>
      </c>
      <c r="O15" s="249">
        <v>0.61</v>
      </c>
      <c r="P15" s="250">
        <v>848.0</v>
      </c>
      <c r="Q15" s="251">
        <f t="shared" ref="Q15:R15" si="40">M15-O15</f>
        <v>15.28</v>
      </c>
      <c r="R15" s="252">
        <f t="shared" si="40"/>
        <v>21267</v>
      </c>
      <c r="S15" s="253">
        <v>1391.8</v>
      </c>
      <c r="T15" s="254">
        <v>15.0</v>
      </c>
      <c r="U15" s="255" t="s">
        <v>107</v>
      </c>
      <c r="V15" s="255"/>
      <c r="W15" s="304">
        <v>0.743154</v>
      </c>
      <c r="X15" s="304">
        <v>0.743154</v>
      </c>
      <c r="Y15" s="304">
        <v>0.0</v>
      </c>
      <c r="Z15" s="305">
        <f>IFERROR(ROUND(K15/W15,0),0)</f>
        <v>143</v>
      </c>
      <c r="AA15" s="306">
        <f t="shared" ref="AA15:AA16" si="42">Z15*W15</f>
        <v>106.271022</v>
      </c>
      <c r="AB15" s="307">
        <f t="shared" ref="AB15:AB16" si="43">ROUND(AA15*S15,0)</f>
        <v>147908</v>
      </c>
      <c r="AC15" s="308">
        <f t="shared" ref="AC15:AC16" si="44">AA15</f>
        <v>106.271022</v>
      </c>
      <c r="AD15" s="309">
        <f t="shared" si="6"/>
        <v>147908</v>
      </c>
      <c r="AE15" s="310">
        <f t="shared" si="7"/>
        <v>0</v>
      </c>
      <c r="AF15" s="252">
        <f t="shared" si="8"/>
        <v>0</v>
      </c>
      <c r="AG15" s="306">
        <f t="shared" ref="AG15:AG16" si="45">ROUND(AC15*0.15,2)</f>
        <v>15.94</v>
      </c>
      <c r="AH15" s="252">
        <f t="shared" ref="AH15:AH16" si="46">ROUND(AD15*0.15,0)</f>
        <v>22186</v>
      </c>
      <c r="AI15" s="311"/>
      <c r="AJ15" s="311"/>
      <c r="AK15" s="311"/>
      <c r="AL15" s="311"/>
      <c r="AM15" s="312"/>
      <c r="AN15" s="313"/>
    </row>
    <row r="16" ht="12.75" customHeight="1">
      <c r="A16" s="245" t="s">
        <v>463</v>
      </c>
      <c r="B16" s="246" t="s">
        <v>99</v>
      </c>
      <c r="C16" s="247" t="s">
        <v>100</v>
      </c>
      <c r="D16" s="247" t="s">
        <v>114</v>
      </c>
      <c r="E16" s="248"/>
      <c r="F16" s="247" t="s">
        <v>115</v>
      </c>
      <c r="G16" s="247" t="s">
        <v>116</v>
      </c>
      <c r="H16" s="247" t="s">
        <v>117</v>
      </c>
      <c r="I16" s="248" t="s">
        <v>105</v>
      </c>
      <c r="J16" s="300" t="s">
        <v>106</v>
      </c>
      <c r="K16" s="314">
        <f t="shared" ref="K16:R16" si="41">-K15</f>
        <v>-105.92</v>
      </c>
      <c r="L16" s="309">
        <f t="shared" si="41"/>
        <v>-147419</v>
      </c>
      <c r="M16" s="315">
        <f t="shared" si="41"/>
        <v>-15.89</v>
      </c>
      <c r="N16" s="252">
        <f t="shared" si="41"/>
        <v>-22115</v>
      </c>
      <c r="O16" s="251">
        <f t="shared" si="41"/>
        <v>-0.61</v>
      </c>
      <c r="P16" s="252">
        <f t="shared" si="41"/>
        <v>-848</v>
      </c>
      <c r="Q16" s="251">
        <f t="shared" si="41"/>
        <v>-15.28</v>
      </c>
      <c r="R16" s="252">
        <f t="shared" si="41"/>
        <v>-21267</v>
      </c>
      <c r="S16" s="253">
        <v>1391.8</v>
      </c>
      <c r="T16" s="254">
        <v>15.0</v>
      </c>
      <c r="U16" s="255" t="s">
        <v>107</v>
      </c>
      <c r="V16" s="255"/>
      <c r="W16" s="304">
        <v>0.743154</v>
      </c>
      <c r="X16" s="304">
        <v>0.743154</v>
      </c>
      <c r="Y16" s="304">
        <v>0.0</v>
      </c>
      <c r="Z16" s="305">
        <f>-Z15</f>
        <v>-143</v>
      </c>
      <c r="AA16" s="306">
        <f t="shared" si="42"/>
        <v>-106.271022</v>
      </c>
      <c r="AB16" s="307">
        <f t="shared" si="43"/>
        <v>-147908</v>
      </c>
      <c r="AC16" s="308">
        <f t="shared" si="44"/>
        <v>-106.271022</v>
      </c>
      <c r="AD16" s="309">
        <f t="shared" si="6"/>
        <v>-147908</v>
      </c>
      <c r="AE16" s="310">
        <f t="shared" si="7"/>
        <v>0</v>
      </c>
      <c r="AF16" s="252">
        <f t="shared" si="8"/>
        <v>0</v>
      </c>
      <c r="AG16" s="306">
        <f t="shared" si="45"/>
        <v>-15.94</v>
      </c>
      <c r="AH16" s="252">
        <f t="shared" si="46"/>
        <v>-22186</v>
      </c>
      <c r="AI16" s="311"/>
      <c r="AJ16" s="311"/>
      <c r="AK16" s="311"/>
      <c r="AL16" s="311"/>
      <c r="AM16" s="312"/>
      <c r="AN16" s="313"/>
    </row>
    <row r="17" ht="12.75" customHeight="1">
      <c r="A17" s="327" t="s">
        <v>464</v>
      </c>
      <c r="B17" s="328" t="s">
        <v>99</v>
      </c>
      <c r="C17" s="329" t="s">
        <v>100</v>
      </c>
      <c r="D17" s="329" t="s">
        <v>114</v>
      </c>
      <c r="E17" s="330"/>
      <c r="F17" s="329" t="s">
        <v>115</v>
      </c>
      <c r="G17" s="329" t="s">
        <v>116</v>
      </c>
      <c r="H17" s="329" t="s">
        <v>117</v>
      </c>
      <c r="I17" s="330" t="s">
        <v>105</v>
      </c>
      <c r="J17" s="331" t="s">
        <v>106</v>
      </c>
      <c r="K17" s="332">
        <f>ROUND(M17/0.15,2)</f>
        <v>101.87</v>
      </c>
      <c r="L17" s="333">
        <f>ROUND(N17/0.15,0)</f>
        <v>141780</v>
      </c>
      <c r="M17" s="334">
        <f t="shared" ref="M17:N17" si="47">Q17</f>
        <v>15.28</v>
      </c>
      <c r="N17" s="335">
        <f t="shared" si="47"/>
        <v>21267</v>
      </c>
      <c r="O17" s="336">
        <v>0.61</v>
      </c>
      <c r="P17" s="337">
        <v>848.0</v>
      </c>
      <c r="Q17" s="338">
        <f t="shared" ref="Q17:R17" si="48">M15-O17</f>
        <v>15.28</v>
      </c>
      <c r="R17" s="335">
        <f t="shared" si="48"/>
        <v>21267</v>
      </c>
      <c r="S17" s="339">
        <v>1391.8</v>
      </c>
      <c r="T17" s="340">
        <v>15.0</v>
      </c>
      <c r="U17" s="341" t="s">
        <v>107</v>
      </c>
      <c r="V17" s="341" t="s">
        <v>982</v>
      </c>
      <c r="W17" s="342">
        <v>0.743154</v>
      </c>
      <c r="X17" s="342">
        <v>0.743154</v>
      </c>
      <c r="Y17" s="342">
        <v>0.0</v>
      </c>
      <c r="Z17" s="343">
        <f>Z15</f>
        <v>143</v>
      </c>
      <c r="AA17" s="344"/>
      <c r="AB17" s="345"/>
      <c r="AC17" s="346">
        <f t="shared" ref="AC17:AD17" si="49">K17</f>
        <v>101.87</v>
      </c>
      <c r="AD17" s="347">
        <f t="shared" si="49"/>
        <v>141780</v>
      </c>
      <c r="AE17" s="348">
        <f t="shared" ref="AE17:AF17" si="50">round(AK17/0.15,2)</f>
        <v>4.07</v>
      </c>
      <c r="AF17" s="348">
        <f t="shared" si="50"/>
        <v>5653.33</v>
      </c>
      <c r="AG17" s="349"/>
      <c r="AH17" s="349"/>
      <c r="AI17" s="350">
        <f>ROUND(AC17*0.15,2)</f>
        <v>15.28</v>
      </c>
      <c r="AJ17" s="351">
        <f>ROUND(AD17*0.15,0)</f>
        <v>21267</v>
      </c>
      <c r="AK17" s="350">
        <f t="shared" ref="AK17:AL17" si="51">O17</f>
        <v>0.61</v>
      </c>
      <c r="AL17" s="350">
        <f t="shared" si="51"/>
        <v>848</v>
      </c>
      <c r="AM17" s="352">
        <f>IFERROR(AC17/K17,IFERROR(AK17/O17,""))</f>
        <v>1</v>
      </c>
      <c r="AN17" s="353" t="s">
        <v>983</v>
      </c>
    </row>
    <row r="18" ht="12.75" customHeight="1">
      <c r="A18" s="245" t="s">
        <v>434</v>
      </c>
      <c r="B18" s="246" t="s">
        <v>118</v>
      </c>
      <c r="C18" s="247" t="s">
        <v>119</v>
      </c>
      <c r="D18" s="247" t="s">
        <v>120</v>
      </c>
      <c r="E18" s="247" t="s">
        <v>121</v>
      </c>
      <c r="F18" s="248"/>
      <c r="G18" s="247" t="s">
        <v>116</v>
      </c>
      <c r="H18" s="247" t="s">
        <v>117</v>
      </c>
      <c r="I18" s="248" t="s">
        <v>105</v>
      </c>
      <c r="J18" s="300" t="s">
        <v>106</v>
      </c>
      <c r="K18" s="301">
        <v>1410.29</v>
      </c>
      <c r="L18" s="302">
        <v>2073126.0</v>
      </c>
      <c r="M18" s="303">
        <v>211.54</v>
      </c>
      <c r="N18" s="250">
        <v>310963.0</v>
      </c>
      <c r="O18" s="249">
        <v>0.0</v>
      </c>
      <c r="P18" s="250">
        <v>0.0</v>
      </c>
      <c r="Q18" s="251">
        <f t="shared" ref="Q18:R18" si="52">M18-O18</f>
        <v>211.54</v>
      </c>
      <c r="R18" s="252">
        <f t="shared" si="52"/>
        <v>310963</v>
      </c>
      <c r="S18" s="253">
        <v>1470.0</v>
      </c>
      <c r="T18" s="254">
        <v>15.0</v>
      </c>
      <c r="U18" s="255" t="s">
        <v>107</v>
      </c>
      <c r="V18" s="255"/>
      <c r="W18" s="304">
        <v>0.544737</v>
      </c>
      <c r="X18" s="304">
        <v>0.544737</v>
      </c>
      <c r="Y18" s="304">
        <v>0.0</v>
      </c>
      <c r="Z18" s="305">
        <f>IFERROR(ROUND(K18/W18,0),0)</f>
        <v>2589</v>
      </c>
      <c r="AA18" s="306">
        <f t="shared" ref="AA18:AA19" si="54">Z18*W18</f>
        <v>1410.324093</v>
      </c>
      <c r="AB18" s="307">
        <f t="shared" ref="AB18:AB19" si="55">ROUND(AA18*S18,0)</f>
        <v>2073176</v>
      </c>
      <c r="AC18" s="308">
        <f t="shared" ref="AC18:AC19" si="56">AA18</f>
        <v>1410.324093</v>
      </c>
      <c r="AD18" s="309">
        <f t="shared" ref="AD18:AD19" si="57">ROUND(AC18*S18,0)</f>
        <v>2073176</v>
      </c>
      <c r="AE18" s="310">
        <f t="shared" ref="AE18:AE19" si="58">IFERROR(ROUND(Z18*Y18,2),0)</f>
        <v>0</v>
      </c>
      <c r="AF18" s="252">
        <f t="shared" ref="AF18:AF19" si="59">ROUND(AE18*S18,0)</f>
        <v>0</v>
      </c>
      <c r="AG18" s="306">
        <f t="shared" ref="AG18:AG19" si="60">ROUND(AC18*0.15,2)</f>
        <v>211.55</v>
      </c>
      <c r="AH18" s="252">
        <f t="shared" ref="AH18:AH19" si="61">ROUND(AD18*0.15,0)</f>
        <v>310976</v>
      </c>
      <c r="AI18" s="311"/>
      <c r="AJ18" s="311"/>
      <c r="AK18" s="311"/>
      <c r="AL18" s="311"/>
      <c r="AM18" s="312"/>
      <c r="AN18" s="313"/>
    </row>
    <row r="19" ht="12.75" customHeight="1">
      <c r="A19" s="245" t="s">
        <v>436</v>
      </c>
      <c r="B19" s="246" t="s">
        <v>118</v>
      </c>
      <c r="C19" s="247" t="s">
        <v>119</v>
      </c>
      <c r="D19" s="247" t="s">
        <v>120</v>
      </c>
      <c r="E19" s="247" t="s">
        <v>121</v>
      </c>
      <c r="F19" s="248"/>
      <c r="G19" s="247" t="s">
        <v>116</v>
      </c>
      <c r="H19" s="247" t="s">
        <v>117</v>
      </c>
      <c r="I19" s="248" t="s">
        <v>105</v>
      </c>
      <c r="J19" s="300" t="s">
        <v>106</v>
      </c>
      <c r="K19" s="314">
        <f t="shared" ref="K19:R19" si="53">-K18</f>
        <v>-1410.29</v>
      </c>
      <c r="L19" s="309">
        <f t="shared" si="53"/>
        <v>-2073126</v>
      </c>
      <c r="M19" s="315">
        <f t="shared" si="53"/>
        <v>-211.54</v>
      </c>
      <c r="N19" s="252">
        <f t="shared" si="53"/>
        <v>-310963</v>
      </c>
      <c r="O19" s="251">
        <f t="shared" si="53"/>
        <v>0</v>
      </c>
      <c r="P19" s="252">
        <f t="shared" si="53"/>
        <v>0</v>
      </c>
      <c r="Q19" s="251">
        <f t="shared" si="53"/>
        <v>-211.54</v>
      </c>
      <c r="R19" s="252">
        <f t="shared" si="53"/>
        <v>-310963</v>
      </c>
      <c r="S19" s="253">
        <v>1470.0</v>
      </c>
      <c r="T19" s="254">
        <v>15.0</v>
      </c>
      <c r="U19" s="255" t="s">
        <v>107</v>
      </c>
      <c r="V19" s="255"/>
      <c r="W19" s="304">
        <v>0.544737</v>
      </c>
      <c r="X19" s="304">
        <v>0.544737</v>
      </c>
      <c r="Y19" s="304">
        <v>0.0</v>
      </c>
      <c r="Z19" s="305">
        <f>-Z18</f>
        <v>-2589</v>
      </c>
      <c r="AA19" s="306">
        <f t="shared" si="54"/>
        <v>-1410.324093</v>
      </c>
      <c r="AB19" s="307">
        <f t="shared" si="55"/>
        <v>-2073176</v>
      </c>
      <c r="AC19" s="308">
        <f t="shared" si="56"/>
        <v>-1410.324093</v>
      </c>
      <c r="AD19" s="309">
        <f t="shared" si="57"/>
        <v>-2073176</v>
      </c>
      <c r="AE19" s="310">
        <f t="shared" si="58"/>
        <v>0</v>
      </c>
      <c r="AF19" s="252">
        <f t="shared" si="59"/>
        <v>0</v>
      </c>
      <c r="AG19" s="306">
        <f t="shared" si="60"/>
        <v>-211.55</v>
      </c>
      <c r="AH19" s="252">
        <f t="shared" si="61"/>
        <v>-310976</v>
      </c>
      <c r="AI19" s="311"/>
      <c r="AJ19" s="311"/>
      <c r="AK19" s="311"/>
      <c r="AL19" s="311"/>
      <c r="AM19" s="312"/>
      <c r="AN19" s="313"/>
    </row>
    <row r="20" ht="12.75" customHeight="1">
      <c r="A20" s="327" t="s">
        <v>438</v>
      </c>
      <c r="B20" s="328" t="s">
        <v>118</v>
      </c>
      <c r="C20" s="329" t="s">
        <v>119</v>
      </c>
      <c r="D20" s="329" t="s">
        <v>120</v>
      </c>
      <c r="E20" s="329" t="s">
        <v>121</v>
      </c>
      <c r="F20" s="330"/>
      <c r="G20" s="329" t="s">
        <v>116</v>
      </c>
      <c r="H20" s="329" t="s">
        <v>117</v>
      </c>
      <c r="I20" s="330" t="s">
        <v>105</v>
      </c>
      <c r="J20" s="331" t="s">
        <v>106</v>
      </c>
      <c r="K20" s="332">
        <f>ROUND(M20/0.15,2)</f>
        <v>1350.87</v>
      </c>
      <c r="L20" s="333">
        <f>ROUND(N20/0.15,0)</f>
        <v>1985767</v>
      </c>
      <c r="M20" s="334">
        <f t="shared" ref="M20:N20" si="62">Q20</f>
        <v>202.63</v>
      </c>
      <c r="N20" s="335">
        <f t="shared" si="62"/>
        <v>297865</v>
      </c>
      <c r="O20" s="336">
        <v>8.91</v>
      </c>
      <c r="P20" s="337">
        <v>13098.0</v>
      </c>
      <c r="Q20" s="338">
        <f t="shared" ref="Q20:R20" si="63">M18-O20</f>
        <v>202.63</v>
      </c>
      <c r="R20" s="335">
        <f t="shared" si="63"/>
        <v>297865</v>
      </c>
      <c r="S20" s="339">
        <v>1470.0</v>
      </c>
      <c r="T20" s="340">
        <v>15.0</v>
      </c>
      <c r="U20" s="341" t="s">
        <v>107</v>
      </c>
      <c r="V20" s="341" t="s">
        <v>984</v>
      </c>
      <c r="W20" s="342">
        <v>0.544737</v>
      </c>
      <c r="X20" s="342">
        <v>0.544737</v>
      </c>
      <c r="Y20" s="342">
        <v>0.0</v>
      </c>
      <c r="Z20" s="343">
        <f>Z18</f>
        <v>2589</v>
      </c>
      <c r="AA20" s="344"/>
      <c r="AB20" s="345"/>
      <c r="AC20" s="346">
        <f t="shared" ref="AC20:AD20" si="64">K20</f>
        <v>1350.87</v>
      </c>
      <c r="AD20" s="347">
        <f t="shared" si="64"/>
        <v>1985767</v>
      </c>
      <c r="AE20" s="348">
        <f t="shared" ref="AE20:AF20" si="65">round(AK20/0.15,2)</f>
        <v>59.4</v>
      </c>
      <c r="AF20" s="348">
        <f t="shared" si="65"/>
        <v>87320</v>
      </c>
      <c r="AG20" s="349"/>
      <c r="AH20" s="349"/>
      <c r="AI20" s="350">
        <f>ROUND(AC20*0.15,2)</f>
        <v>202.63</v>
      </c>
      <c r="AJ20" s="351">
        <f>ROUND(AD20*0.15,0)</f>
        <v>297865</v>
      </c>
      <c r="AK20" s="350">
        <f t="shared" ref="AK20:AL20" si="66">O20</f>
        <v>8.91</v>
      </c>
      <c r="AL20" s="350">
        <f t="shared" si="66"/>
        <v>13098</v>
      </c>
      <c r="AM20" s="352">
        <f>IFERROR(AC20/K20,IFERROR(AK20/O20,""))</f>
        <v>1</v>
      </c>
      <c r="AN20" s="353" t="s">
        <v>983</v>
      </c>
    </row>
    <row r="21" ht="12.75" customHeight="1">
      <c r="A21" s="267" t="s">
        <v>467</v>
      </c>
      <c r="B21" s="268" t="s">
        <v>118</v>
      </c>
      <c r="C21" s="269" t="s">
        <v>119</v>
      </c>
      <c r="D21" s="269" t="s">
        <v>122</v>
      </c>
      <c r="E21" s="269" t="s">
        <v>122</v>
      </c>
      <c r="F21" s="270"/>
      <c r="G21" s="269" t="s">
        <v>123</v>
      </c>
      <c r="H21" s="269" t="s">
        <v>124</v>
      </c>
      <c r="I21" s="270" t="s">
        <v>105</v>
      </c>
      <c r="J21" s="354" t="s">
        <v>106</v>
      </c>
      <c r="K21" s="355">
        <v>0.52</v>
      </c>
      <c r="L21" s="356">
        <v>763.0</v>
      </c>
      <c r="M21" s="357">
        <v>0.07</v>
      </c>
      <c r="N21" s="272">
        <v>102.0</v>
      </c>
      <c r="O21" s="271">
        <v>0.0</v>
      </c>
      <c r="P21" s="272">
        <v>0.0</v>
      </c>
      <c r="Q21" s="273">
        <f t="shared" ref="Q21:R21" si="67">M21-O21</f>
        <v>0.07</v>
      </c>
      <c r="R21" s="274">
        <f t="shared" si="67"/>
        <v>102</v>
      </c>
      <c r="S21" s="275">
        <v>1468.3</v>
      </c>
      <c r="T21" s="276">
        <v>15.0</v>
      </c>
      <c r="U21" s="277" t="s">
        <v>107</v>
      </c>
      <c r="V21" s="277"/>
      <c r="W21" s="358"/>
      <c r="X21" s="358"/>
      <c r="Y21" s="358"/>
      <c r="Z21" s="358"/>
      <c r="AA21" s="358"/>
      <c r="AB21" s="359"/>
      <c r="AC21" s="360">
        <f t="shared" ref="AC21:AD21" si="68">K21</f>
        <v>0.52</v>
      </c>
      <c r="AD21" s="361">
        <f t="shared" si="68"/>
        <v>763</v>
      </c>
      <c r="AE21" s="362"/>
      <c r="AF21" s="358"/>
      <c r="AG21" s="358"/>
      <c r="AH21" s="358"/>
      <c r="AI21" s="363">
        <f t="shared" ref="AI21:AJ21" si="69">Q21</f>
        <v>0.07</v>
      </c>
      <c r="AJ21" s="364">
        <f t="shared" si="69"/>
        <v>102</v>
      </c>
      <c r="AK21" s="358"/>
      <c r="AL21" s="358"/>
      <c r="AM21" s="365"/>
      <c r="AN21" s="366"/>
    </row>
    <row r="22" ht="12.75" customHeight="1">
      <c r="A22" s="245" t="s">
        <v>448</v>
      </c>
      <c r="B22" s="246" t="s">
        <v>118</v>
      </c>
      <c r="C22" s="247" t="s">
        <v>119</v>
      </c>
      <c r="D22" s="247" t="s">
        <v>125</v>
      </c>
      <c r="E22" s="247" t="s">
        <v>126</v>
      </c>
      <c r="F22" s="248"/>
      <c r="G22" s="247" t="s">
        <v>127</v>
      </c>
      <c r="H22" s="247" t="s">
        <v>128</v>
      </c>
      <c r="I22" s="248" t="s">
        <v>105</v>
      </c>
      <c r="J22" s="300" t="s">
        <v>106</v>
      </c>
      <c r="K22" s="301">
        <v>398.95</v>
      </c>
      <c r="L22" s="302">
        <v>579674.0</v>
      </c>
      <c r="M22" s="303">
        <v>59.85</v>
      </c>
      <c r="N22" s="250">
        <v>86962.0</v>
      </c>
      <c r="O22" s="249">
        <v>0.0</v>
      </c>
      <c r="P22" s="250">
        <v>0.0</v>
      </c>
      <c r="Q22" s="251">
        <f t="shared" ref="Q22:R22" si="70">M22-O22</f>
        <v>59.85</v>
      </c>
      <c r="R22" s="252">
        <f t="shared" si="70"/>
        <v>86962</v>
      </c>
      <c r="S22" s="253">
        <v>1453.0</v>
      </c>
      <c r="T22" s="254">
        <v>15.0</v>
      </c>
      <c r="U22" s="255" t="s">
        <v>107</v>
      </c>
      <c r="V22" s="255"/>
      <c r="W22" s="304">
        <v>0.8294</v>
      </c>
      <c r="X22" s="304">
        <v>0.392741</v>
      </c>
      <c r="Y22" s="304">
        <v>0.436659</v>
      </c>
      <c r="Z22" s="305">
        <f>IFERROR(ROUND(K22/W22,0),0)</f>
        <v>481</v>
      </c>
      <c r="AA22" s="306">
        <f t="shared" ref="AA22:AA23" si="72">Z22*W22</f>
        <v>398.9414</v>
      </c>
      <c r="AB22" s="307">
        <f t="shared" ref="AB22:AB23" si="73">ROUND(AA22*S22,0)</f>
        <v>579662</v>
      </c>
      <c r="AC22" s="308">
        <f t="shared" ref="AC22:AC23" si="74">AA22</f>
        <v>398.9414</v>
      </c>
      <c r="AD22" s="309">
        <f t="shared" ref="AD22:AD26" si="75">ROUND(AC22*S22,0)</f>
        <v>579662</v>
      </c>
      <c r="AE22" s="310">
        <f t="shared" ref="AE22:AE26" si="76">IFERROR(ROUND(Z22*Y22,2),0)</f>
        <v>210.03</v>
      </c>
      <c r="AF22" s="252">
        <f t="shared" ref="AF22:AF26" si="77">ROUND(AE22*S22,0)</f>
        <v>305174</v>
      </c>
      <c r="AG22" s="306">
        <f t="shared" ref="AG22:AG23" si="78">ROUND(AC22*0.15,2)</f>
        <v>59.84</v>
      </c>
      <c r="AH22" s="252">
        <f t="shared" ref="AH22:AH23" si="79">ROUND(AD22*0.15,0)</f>
        <v>86949</v>
      </c>
      <c r="AI22" s="311"/>
      <c r="AJ22" s="311"/>
      <c r="AK22" s="311"/>
      <c r="AL22" s="311"/>
      <c r="AM22" s="312"/>
      <c r="AN22" s="313"/>
    </row>
    <row r="23" ht="12.75" customHeight="1">
      <c r="A23" s="245" t="s">
        <v>450</v>
      </c>
      <c r="B23" s="246" t="s">
        <v>118</v>
      </c>
      <c r="C23" s="247" t="s">
        <v>119</v>
      </c>
      <c r="D23" s="247" t="s">
        <v>125</v>
      </c>
      <c r="E23" s="247" t="s">
        <v>126</v>
      </c>
      <c r="F23" s="248"/>
      <c r="G23" s="247" t="s">
        <v>127</v>
      </c>
      <c r="H23" s="247" t="s">
        <v>128</v>
      </c>
      <c r="I23" s="248" t="s">
        <v>105</v>
      </c>
      <c r="J23" s="300" t="s">
        <v>106</v>
      </c>
      <c r="K23" s="314">
        <f t="shared" ref="K23:R23" si="71">-K22</f>
        <v>-398.95</v>
      </c>
      <c r="L23" s="309">
        <f t="shared" si="71"/>
        <v>-579674</v>
      </c>
      <c r="M23" s="315">
        <f t="shared" si="71"/>
        <v>-59.85</v>
      </c>
      <c r="N23" s="252">
        <f t="shared" si="71"/>
        <v>-86962</v>
      </c>
      <c r="O23" s="251">
        <f t="shared" si="71"/>
        <v>0</v>
      </c>
      <c r="P23" s="252">
        <f t="shared" si="71"/>
        <v>0</v>
      </c>
      <c r="Q23" s="251">
        <f t="shared" si="71"/>
        <v>-59.85</v>
      </c>
      <c r="R23" s="252">
        <f t="shared" si="71"/>
        <v>-86962</v>
      </c>
      <c r="S23" s="253">
        <v>1453.0</v>
      </c>
      <c r="T23" s="254">
        <v>15.0</v>
      </c>
      <c r="U23" s="255" t="s">
        <v>107</v>
      </c>
      <c r="V23" s="255"/>
      <c r="W23" s="304">
        <v>0.8294</v>
      </c>
      <c r="X23" s="304">
        <v>0.392741</v>
      </c>
      <c r="Y23" s="304">
        <v>0.436659</v>
      </c>
      <c r="Z23" s="305">
        <f>-Z22</f>
        <v>-481</v>
      </c>
      <c r="AA23" s="306">
        <f t="shared" si="72"/>
        <v>-398.9414</v>
      </c>
      <c r="AB23" s="307">
        <f t="shared" si="73"/>
        <v>-579662</v>
      </c>
      <c r="AC23" s="308">
        <f t="shared" si="74"/>
        <v>-398.9414</v>
      </c>
      <c r="AD23" s="309">
        <f t="shared" si="75"/>
        <v>-579662</v>
      </c>
      <c r="AE23" s="310">
        <f t="shared" si="76"/>
        <v>-210.03</v>
      </c>
      <c r="AF23" s="252">
        <f t="shared" si="77"/>
        <v>-305174</v>
      </c>
      <c r="AG23" s="306">
        <f t="shared" si="78"/>
        <v>-59.84</v>
      </c>
      <c r="AH23" s="252">
        <f t="shared" si="79"/>
        <v>-86949</v>
      </c>
      <c r="AI23" s="311"/>
      <c r="AJ23" s="311"/>
      <c r="AK23" s="311"/>
      <c r="AL23" s="311"/>
      <c r="AM23" s="312"/>
      <c r="AN23" s="313"/>
    </row>
    <row r="24" ht="12.75" customHeight="1">
      <c r="A24" s="256" t="s">
        <v>452</v>
      </c>
      <c r="B24" s="257" t="s">
        <v>118</v>
      </c>
      <c r="C24" s="258" t="s">
        <v>119</v>
      </c>
      <c r="D24" s="258" t="s">
        <v>125</v>
      </c>
      <c r="E24" s="258" t="s">
        <v>126</v>
      </c>
      <c r="F24" s="259"/>
      <c r="G24" s="258" t="s">
        <v>127</v>
      </c>
      <c r="H24" s="258" t="s">
        <v>128</v>
      </c>
      <c r="I24" s="259" t="s">
        <v>105</v>
      </c>
      <c r="J24" s="316" t="s">
        <v>106</v>
      </c>
      <c r="K24" s="317">
        <f>ROUND(M24/0.15,2)</f>
        <v>188.93</v>
      </c>
      <c r="L24" s="318">
        <f>ROUND(N24/0.15,0)</f>
        <v>274520</v>
      </c>
      <c r="M24" s="319">
        <f t="shared" ref="M24:N24" si="80">Q24</f>
        <v>28.34</v>
      </c>
      <c r="N24" s="261">
        <f t="shared" si="80"/>
        <v>41178</v>
      </c>
      <c r="O24" s="262">
        <v>31.51</v>
      </c>
      <c r="P24" s="263">
        <v>45784.0</v>
      </c>
      <c r="Q24" s="260">
        <f t="shared" ref="Q24:R24" si="81">M22-O24</f>
        <v>28.34</v>
      </c>
      <c r="R24" s="261">
        <f t="shared" si="81"/>
        <v>41178</v>
      </c>
      <c r="S24" s="264">
        <v>1453.0</v>
      </c>
      <c r="T24" s="265">
        <v>15.0</v>
      </c>
      <c r="U24" s="266" t="s">
        <v>107</v>
      </c>
      <c r="V24" s="266" t="s">
        <v>985</v>
      </c>
      <c r="W24" s="320">
        <v>0.8294</v>
      </c>
      <c r="X24" s="320">
        <v>0.392741</v>
      </c>
      <c r="Y24" s="320">
        <v>0.436659</v>
      </c>
      <c r="Z24" s="321">
        <f>Z22</f>
        <v>481</v>
      </c>
      <c r="AA24" s="311"/>
      <c r="AB24" s="322"/>
      <c r="AC24" s="323">
        <f>IFERROR(ROUND(Z24*X24,2),0)</f>
        <v>188.91</v>
      </c>
      <c r="AD24" s="318">
        <f t="shared" si="75"/>
        <v>274486</v>
      </c>
      <c r="AE24" s="324">
        <f t="shared" si="76"/>
        <v>210.03</v>
      </c>
      <c r="AF24" s="261">
        <f t="shared" si="77"/>
        <v>305174</v>
      </c>
      <c r="AG24" s="311"/>
      <c r="AH24" s="311"/>
      <c r="AI24" s="325">
        <f>ROUND(AC24*0.15,2)</f>
        <v>28.34</v>
      </c>
      <c r="AJ24" s="261">
        <f>ROUND(AD24*0.15,0)</f>
        <v>41173</v>
      </c>
      <c r="AK24" s="325">
        <f>ROUND(AE24*0.15,2)</f>
        <v>31.5</v>
      </c>
      <c r="AL24" s="261">
        <f>ROUND(AF24*0.15,0)</f>
        <v>45776</v>
      </c>
      <c r="AM24" s="326">
        <f>IFERROR(AC24/K24,IFERROR(AK24/O24,""))</f>
        <v>0.9998941407</v>
      </c>
      <c r="AN24" s="313"/>
    </row>
    <row r="25" ht="12.75" customHeight="1">
      <c r="A25" s="245" t="s">
        <v>455</v>
      </c>
      <c r="B25" s="246" t="s">
        <v>118</v>
      </c>
      <c r="C25" s="247" t="s">
        <v>119</v>
      </c>
      <c r="D25" s="247" t="s">
        <v>129</v>
      </c>
      <c r="E25" s="247" t="s">
        <v>129</v>
      </c>
      <c r="F25" s="248"/>
      <c r="G25" s="247" t="s">
        <v>116</v>
      </c>
      <c r="H25" s="247" t="s">
        <v>117</v>
      </c>
      <c r="I25" s="248" t="s">
        <v>105</v>
      </c>
      <c r="J25" s="300" t="s">
        <v>106</v>
      </c>
      <c r="K25" s="301">
        <v>355.06</v>
      </c>
      <c r="L25" s="302">
        <v>513807.0</v>
      </c>
      <c r="M25" s="303">
        <v>53.26</v>
      </c>
      <c r="N25" s="250">
        <v>77072.0</v>
      </c>
      <c r="O25" s="249">
        <v>0.0</v>
      </c>
      <c r="P25" s="250">
        <v>0.0</v>
      </c>
      <c r="Q25" s="251">
        <f t="shared" ref="Q25:R25" si="82">M25-O25</f>
        <v>53.26</v>
      </c>
      <c r="R25" s="252">
        <f t="shared" si="82"/>
        <v>77072</v>
      </c>
      <c r="S25" s="253">
        <v>1447.1</v>
      </c>
      <c r="T25" s="254">
        <v>15.0</v>
      </c>
      <c r="U25" s="255" t="s">
        <v>107</v>
      </c>
      <c r="V25" s="255"/>
      <c r="W25" s="304">
        <v>0.361007</v>
      </c>
      <c r="X25" s="304">
        <v>0.361007</v>
      </c>
      <c r="Y25" s="304">
        <v>0.0</v>
      </c>
      <c r="Z25" s="305">
        <f>IFERROR(ROUND(K25/W25,0),0)</f>
        <v>984</v>
      </c>
      <c r="AA25" s="306">
        <f t="shared" ref="AA25:AA26" si="84">Z25*W25</f>
        <v>355.230888</v>
      </c>
      <c r="AB25" s="307">
        <f t="shared" ref="AB25:AB26" si="85">ROUND(AA25*S25,0)</f>
        <v>514055</v>
      </c>
      <c r="AC25" s="308">
        <f t="shared" ref="AC25:AC26" si="86">AA25</f>
        <v>355.230888</v>
      </c>
      <c r="AD25" s="309">
        <f t="shared" si="75"/>
        <v>514055</v>
      </c>
      <c r="AE25" s="310">
        <f t="shared" si="76"/>
        <v>0</v>
      </c>
      <c r="AF25" s="252">
        <f t="shared" si="77"/>
        <v>0</v>
      </c>
      <c r="AG25" s="306">
        <f t="shared" ref="AG25:AG26" si="87">ROUND(AC25*0.15,2)</f>
        <v>53.28</v>
      </c>
      <c r="AH25" s="252">
        <f t="shared" ref="AH25:AH26" si="88">ROUND(AD25*0.15,0)</f>
        <v>77108</v>
      </c>
      <c r="AI25" s="311"/>
      <c r="AJ25" s="311"/>
      <c r="AK25" s="311"/>
      <c r="AL25" s="311"/>
      <c r="AM25" s="312"/>
      <c r="AN25" s="313"/>
    </row>
    <row r="26" ht="12.75" customHeight="1">
      <c r="A26" s="245" t="s">
        <v>457</v>
      </c>
      <c r="B26" s="246" t="s">
        <v>118</v>
      </c>
      <c r="C26" s="247" t="s">
        <v>119</v>
      </c>
      <c r="D26" s="247" t="s">
        <v>129</v>
      </c>
      <c r="E26" s="247" t="s">
        <v>129</v>
      </c>
      <c r="F26" s="248"/>
      <c r="G26" s="247" t="s">
        <v>116</v>
      </c>
      <c r="H26" s="247" t="s">
        <v>117</v>
      </c>
      <c r="I26" s="248" t="s">
        <v>105</v>
      </c>
      <c r="J26" s="300" t="s">
        <v>106</v>
      </c>
      <c r="K26" s="314">
        <f t="shared" ref="K26:R26" si="83">-K25</f>
        <v>-355.06</v>
      </c>
      <c r="L26" s="309">
        <f t="shared" si="83"/>
        <v>-513807</v>
      </c>
      <c r="M26" s="315">
        <f t="shared" si="83"/>
        <v>-53.26</v>
      </c>
      <c r="N26" s="252">
        <f t="shared" si="83"/>
        <v>-77072</v>
      </c>
      <c r="O26" s="251">
        <f t="shared" si="83"/>
        <v>0</v>
      </c>
      <c r="P26" s="252">
        <f t="shared" si="83"/>
        <v>0</v>
      </c>
      <c r="Q26" s="251">
        <f t="shared" si="83"/>
        <v>-53.26</v>
      </c>
      <c r="R26" s="252">
        <f t="shared" si="83"/>
        <v>-77072</v>
      </c>
      <c r="S26" s="253">
        <v>1447.1</v>
      </c>
      <c r="T26" s="254">
        <v>15.0</v>
      </c>
      <c r="U26" s="255" t="s">
        <v>107</v>
      </c>
      <c r="V26" s="255"/>
      <c r="W26" s="304">
        <v>0.361007</v>
      </c>
      <c r="X26" s="304">
        <v>0.361007</v>
      </c>
      <c r="Y26" s="304">
        <v>0.0</v>
      </c>
      <c r="Z26" s="305">
        <f>-Z25</f>
        <v>-984</v>
      </c>
      <c r="AA26" s="306">
        <f t="shared" si="84"/>
        <v>-355.230888</v>
      </c>
      <c r="AB26" s="307">
        <f t="shared" si="85"/>
        <v>-514055</v>
      </c>
      <c r="AC26" s="308">
        <f t="shared" si="86"/>
        <v>-355.230888</v>
      </c>
      <c r="AD26" s="309">
        <f t="shared" si="75"/>
        <v>-514055</v>
      </c>
      <c r="AE26" s="310">
        <f t="shared" si="76"/>
        <v>0</v>
      </c>
      <c r="AF26" s="252">
        <f t="shared" si="77"/>
        <v>0</v>
      </c>
      <c r="AG26" s="306">
        <f t="shared" si="87"/>
        <v>-53.28</v>
      </c>
      <c r="AH26" s="252">
        <f t="shared" si="88"/>
        <v>-77108</v>
      </c>
      <c r="AI26" s="311"/>
      <c r="AJ26" s="311"/>
      <c r="AK26" s="311"/>
      <c r="AL26" s="311"/>
      <c r="AM26" s="312"/>
      <c r="AN26" s="313"/>
    </row>
    <row r="27" ht="12.75" customHeight="1">
      <c r="A27" s="327" t="s">
        <v>459</v>
      </c>
      <c r="B27" s="328" t="s">
        <v>118</v>
      </c>
      <c r="C27" s="329" t="s">
        <v>119</v>
      </c>
      <c r="D27" s="329" t="s">
        <v>129</v>
      </c>
      <c r="E27" s="329" t="s">
        <v>129</v>
      </c>
      <c r="F27" s="330"/>
      <c r="G27" s="329" t="s">
        <v>116</v>
      </c>
      <c r="H27" s="329" t="s">
        <v>117</v>
      </c>
      <c r="I27" s="330" t="s">
        <v>105</v>
      </c>
      <c r="J27" s="331" t="s">
        <v>106</v>
      </c>
      <c r="K27" s="332">
        <f>ROUND(M27/0.15,2)</f>
        <v>339</v>
      </c>
      <c r="L27" s="333">
        <f>ROUND(N27/0.15,0)</f>
        <v>490560</v>
      </c>
      <c r="M27" s="334">
        <f t="shared" ref="M27:N27" si="89">Q27</f>
        <v>50.85</v>
      </c>
      <c r="N27" s="335">
        <f t="shared" si="89"/>
        <v>73584</v>
      </c>
      <c r="O27" s="336">
        <v>2.41</v>
      </c>
      <c r="P27" s="337">
        <v>3488.0</v>
      </c>
      <c r="Q27" s="338">
        <f t="shared" ref="Q27:R27" si="90">M25-O27</f>
        <v>50.85</v>
      </c>
      <c r="R27" s="335">
        <f t="shared" si="90"/>
        <v>73584</v>
      </c>
      <c r="S27" s="339">
        <v>1447.1</v>
      </c>
      <c r="T27" s="340">
        <v>15.0</v>
      </c>
      <c r="U27" s="341" t="s">
        <v>107</v>
      </c>
      <c r="V27" s="341" t="s">
        <v>986</v>
      </c>
      <c r="W27" s="342">
        <v>0.361007</v>
      </c>
      <c r="X27" s="342">
        <v>0.361007</v>
      </c>
      <c r="Y27" s="342">
        <v>0.0</v>
      </c>
      <c r="Z27" s="343">
        <f>Z25</f>
        <v>984</v>
      </c>
      <c r="AA27" s="344"/>
      <c r="AB27" s="345"/>
      <c r="AC27" s="346">
        <f t="shared" ref="AC27:AD27" si="91">K27</f>
        <v>339</v>
      </c>
      <c r="AD27" s="347">
        <f t="shared" si="91"/>
        <v>490560</v>
      </c>
      <c r="AE27" s="348">
        <f t="shared" ref="AE27:AF27" si="92">round(AK27/0.15,2)</f>
        <v>16.07</v>
      </c>
      <c r="AF27" s="348">
        <f t="shared" si="92"/>
        <v>23253.33</v>
      </c>
      <c r="AG27" s="349"/>
      <c r="AH27" s="349"/>
      <c r="AI27" s="350">
        <f>ROUND(AC27*0.15,2)</f>
        <v>50.85</v>
      </c>
      <c r="AJ27" s="351">
        <f>ROUND(AD27*0.15,0)</f>
        <v>73584</v>
      </c>
      <c r="AK27" s="350">
        <f t="shared" ref="AK27:AL27" si="93">O27</f>
        <v>2.41</v>
      </c>
      <c r="AL27" s="350">
        <f t="shared" si="93"/>
        <v>3488</v>
      </c>
      <c r="AM27" s="352">
        <f>IFERROR(AC27/K27,IFERROR(AK27/O27,""))</f>
        <v>1</v>
      </c>
      <c r="AN27" s="353" t="s">
        <v>983</v>
      </c>
    </row>
    <row r="28" ht="12.75" customHeight="1">
      <c r="A28" s="245" t="s">
        <v>462</v>
      </c>
      <c r="B28" s="246" t="s">
        <v>118</v>
      </c>
      <c r="C28" s="247" t="s">
        <v>119</v>
      </c>
      <c r="D28" s="247" t="s">
        <v>130</v>
      </c>
      <c r="E28" s="247" t="s">
        <v>129</v>
      </c>
      <c r="F28" s="248"/>
      <c r="G28" s="247" t="s">
        <v>131</v>
      </c>
      <c r="H28" s="247" t="s">
        <v>132</v>
      </c>
      <c r="I28" s="248" t="s">
        <v>105</v>
      </c>
      <c r="J28" s="300" t="s">
        <v>106</v>
      </c>
      <c r="K28" s="301">
        <v>833.25</v>
      </c>
      <c r="L28" s="302">
        <v>1211128.0</v>
      </c>
      <c r="M28" s="303">
        <v>124.99</v>
      </c>
      <c r="N28" s="250">
        <v>181672.0</v>
      </c>
      <c r="O28" s="249">
        <v>0.0</v>
      </c>
      <c r="P28" s="250">
        <v>0.0</v>
      </c>
      <c r="Q28" s="251">
        <f t="shared" ref="Q28:R28" si="94">M28-O28</f>
        <v>124.99</v>
      </c>
      <c r="R28" s="252">
        <f t="shared" si="94"/>
        <v>181672</v>
      </c>
      <c r="S28" s="253">
        <v>1453.5</v>
      </c>
      <c r="T28" s="254">
        <v>15.0</v>
      </c>
      <c r="U28" s="255" t="s">
        <v>107</v>
      </c>
      <c r="V28" s="255"/>
      <c r="W28" s="304">
        <v>1.0468</v>
      </c>
      <c r="X28" s="304">
        <v>0.030917</v>
      </c>
      <c r="Y28" s="304">
        <v>1.015883</v>
      </c>
      <c r="Z28" s="305">
        <f>IFERROR(ROUND(K28/W28,0),0)</f>
        <v>796</v>
      </c>
      <c r="AA28" s="306">
        <f t="shared" ref="AA28:AA29" si="96">Z28*W28</f>
        <v>833.2528</v>
      </c>
      <c r="AB28" s="307">
        <f t="shared" ref="AB28:AB29" si="97">ROUND(AA28*S28,0)</f>
        <v>1211133</v>
      </c>
      <c r="AC28" s="308">
        <f t="shared" ref="AC28:AC29" si="98">AA28</f>
        <v>833.2528</v>
      </c>
      <c r="AD28" s="309">
        <f t="shared" ref="AD28:AD44" si="99">ROUND(AC28*S28,0)</f>
        <v>1211133</v>
      </c>
      <c r="AE28" s="310">
        <f t="shared" ref="AE28:AE44" si="100">IFERROR(ROUND(Z28*Y28,2),0)</f>
        <v>808.64</v>
      </c>
      <c r="AF28" s="252">
        <f t="shared" ref="AF28:AF44" si="101">ROUND(AE28*S28,0)</f>
        <v>1175358</v>
      </c>
      <c r="AG28" s="306">
        <f t="shared" ref="AG28:AG29" si="102">ROUND(AC28*0.15,2)</f>
        <v>124.99</v>
      </c>
      <c r="AH28" s="252">
        <f t="shared" ref="AH28:AH29" si="103">ROUND(AD28*0.15,0)</f>
        <v>181670</v>
      </c>
      <c r="AI28" s="311"/>
      <c r="AJ28" s="311"/>
      <c r="AK28" s="311"/>
      <c r="AL28" s="311"/>
      <c r="AM28" s="312"/>
      <c r="AN28" s="313"/>
    </row>
    <row r="29" ht="12.75" customHeight="1">
      <c r="A29" s="245" t="s">
        <v>463</v>
      </c>
      <c r="B29" s="246" t="s">
        <v>118</v>
      </c>
      <c r="C29" s="247" t="s">
        <v>119</v>
      </c>
      <c r="D29" s="247" t="s">
        <v>130</v>
      </c>
      <c r="E29" s="247" t="s">
        <v>129</v>
      </c>
      <c r="F29" s="248"/>
      <c r="G29" s="247" t="s">
        <v>131</v>
      </c>
      <c r="H29" s="247" t="s">
        <v>132</v>
      </c>
      <c r="I29" s="248" t="s">
        <v>105</v>
      </c>
      <c r="J29" s="300" t="s">
        <v>106</v>
      </c>
      <c r="K29" s="314">
        <f t="shared" ref="K29:R29" si="95">-K28</f>
        <v>-833.25</v>
      </c>
      <c r="L29" s="309">
        <f t="shared" si="95"/>
        <v>-1211128</v>
      </c>
      <c r="M29" s="315">
        <f t="shared" si="95"/>
        <v>-124.99</v>
      </c>
      <c r="N29" s="252">
        <f t="shared" si="95"/>
        <v>-181672</v>
      </c>
      <c r="O29" s="251">
        <f t="shared" si="95"/>
        <v>0</v>
      </c>
      <c r="P29" s="252">
        <f t="shared" si="95"/>
        <v>0</v>
      </c>
      <c r="Q29" s="251">
        <f t="shared" si="95"/>
        <v>-124.99</v>
      </c>
      <c r="R29" s="252">
        <f t="shared" si="95"/>
        <v>-181672</v>
      </c>
      <c r="S29" s="253">
        <v>1453.5</v>
      </c>
      <c r="T29" s="254">
        <v>15.0</v>
      </c>
      <c r="U29" s="255" t="s">
        <v>107</v>
      </c>
      <c r="V29" s="255"/>
      <c r="W29" s="304">
        <v>1.0468</v>
      </c>
      <c r="X29" s="304">
        <v>0.030917</v>
      </c>
      <c r="Y29" s="304">
        <v>1.015883</v>
      </c>
      <c r="Z29" s="305">
        <f>-Z28</f>
        <v>-796</v>
      </c>
      <c r="AA29" s="306">
        <f t="shared" si="96"/>
        <v>-833.2528</v>
      </c>
      <c r="AB29" s="307">
        <f t="shared" si="97"/>
        <v>-1211133</v>
      </c>
      <c r="AC29" s="308">
        <f t="shared" si="98"/>
        <v>-833.2528</v>
      </c>
      <c r="AD29" s="309">
        <f t="shared" si="99"/>
        <v>-1211133</v>
      </c>
      <c r="AE29" s="310">
        <f t="shared" si="100"/>
        <v>-808.64</v>
      </c>
      <c r="AF29" s="252">
        <f t="shared" si="101"/>
        <v>-1175358</v>
      </c>
      <c r="AG29" s="306">
        <f t="shared" si="102"/>
        <v>-124.99</v>
      </c>
      <c r="AH29" s="252">
        <f t="shared" si="103"/>
        <v>-181670</v>
      </c>
      <c r="AI29" s="311"/>
      <c r="AJ29" s="311"/>
      <c r="AK29" s="311"/>
      <c r="AL29" s="311"/>
      <c r="AM29" s="312"/>
      <c r="AN29" s="313"/>
    </row>
    <row r="30" ht="12.75" customHeight="1">
      <c r="A30" s="256" t="s">
        <v>464</v>
      </c>
      <c r="B30" s="257" t="s">
        <v>118</v>
      </c>
      <c r="C30" s="258" t="s">
        <v>119</v>
      </c>
      <c r="D30" s="258" t="s">
        <v>130</v>
      </c>
      <c r="E30" s="258" t="s">
        <v>129</v>
      </c>
      <c r="F30" s="259"/>
      <c r="G30" s="258" t="s">
        <v>131</v>
      </c>
      <c r="H30" s="258" t="s">
        <v>132</v>
      </c>
      <c r="I30" s="259" t="s">
        <v>105</v>
      </c>
      <c r="J30" s="316" t="s">
        <v>106</v>
      </c>
      <c r="K30" s="317">
        <f>ROUND(M30/0.15,2)</f>
        <v>24.6</v>
      </c>
      <c r="L30" s="318">
        <f>ROUND(N30/0.15,0)</f>
        <v>35747</v>
      </c>
      <c r="M30" s="319">
        <f t="shared" ref="M30:N30" si="104">Q30</f>
        <v>3.69</v>
      </c>
      <c r="N30" s="261">
        <f t="shared" si="104"/>
        <v>5362</v>
      </c>
      <c r="O30" s="262">
        <v>121.3</v>
      </c>
      <c r="P30" s="263">
        <v>176310.0</v>
      </c>
      <c r="Q30" s="260">
        <f t="shared" ref="Q30:R30" si="105">M28-O30</f>
        <v>3.69</v>
      </c>
      <c r="R30" s="261">
        <f t="shared" si="105"/>
        <v>5362</v>
      </c>
      <c r="S30" s="264">
        <v>1453.5</v>
      </c>
      <c r="T30" s="265">
        <v>15.0</v>
      </c>
      <c r="U30" s="266" t="s">
        <v>107</v>
      </c>
      <c r="V30" s="266" t="s">
        <v>987</v>
      </c>
      <c r="W30" s="320">
        <v>1.0468</v>
      </c>
      <c r="X30" s="320">
        <v>0.030917</v>
      </c>
      <c r="Y30" s="320">
        <v>1.015883</v>
      </c>
      <c r="Z30" s="321">
        <f>Z28</f>
        <v>796</v>
      </c>
      <c r="AA30" s="311"/>
      <c r="AB30" s="322"/>
      <c r="AC30" s="323">
        <f>IFERROR(ROUND(Z30*X30,2),0)</f>
        <v>24.61</v>
      </c>
      <c r="AD30" s="318">
        <f t="shared" si="99"/>
        <v>35771</v>
      </c>
      <c r="AE30" s="324">
        <f t="shared" si="100"/>
        <v>808.64</v>
      </c>
      <c r="AF30" s="261">
        <f t="shared" si="101"/>
        <v>1175358</v>
      </c>
      <c r="AG30" s="311"/>
      <c r="AH30" s="311"/>
      <c r="AI30" s="325">
        <f>ROUND(AC30*0.15,2)</f>
        <v>3.69</v>
      </c>
      <c r="AJ30" s="261">
        <f>ROUND(AD30*0.15,0)</f>
        <v>5366</v>
      </c>
      <c r="AK30" s="325">
        <f>ROUND(AE30*0.15,2)</f>
        <v>121.3</v>
      </c>
      <c r="AL30" s="261">
        <f>ROUND(AF30*0.15,0)</f>
        <v>176304</v>
      </c>
      <c r="AM30" s="326">
        <f>IFERROR(AC30/K30,IFERROR(AK30/O30,""))</f>
        <v>1.000406504</v>
      </c>
      <c r="AN30" s="313"/>
    </row>
    <row r="31" ht="12.75" customHeight="1">
      <c r="A31" s="245" t="s">
        <v>471</v>
      </c>
      <c r="B31" s="246" t="s">
        <v>118</v>
      </c>
      <c r="C31" s="247" t="s">
        <v>119</v>
      </c>
      <c r="D31" s="247" t="s">
        <v>133</v>
      </c>
      <c r="E31" s="247" t="s">
        <v>134</v>
      </c>
      <c r="F31" s="248"/>
      <c r="G31" s="247" t="s">
        <v>135</v>
      </c>
      <c r="H31" s="247" t="s">
        <v>136</v>
      </c>
      <c r="I31" s="248" t="s">
        <v>105</v>
      </c>
      <c r="J31" s="300" t="s">
        <v>106</v>
      </c>
      <c r="K31" s="301">
        <v>1196.79</v>
      </c>
      <c r="L31" s="302">
        <v>1728045.0</v>
      </c>
      <c r="M31" s="303">
        <v>179.52</v>
      </c>
      <c r="N31" s="250">
        <v>259208.0</v>
      </c>
      <c r="O31" s="249">
        <v>0.0</v>
      </c>
      <c r="P31" s="250">
        <v>0.0</v>
      </c>
      <c r="Q31" s="251">
        <f t="shared" ref="Q31:R31" si="106">M31-O31</f>
        <v>179.52</v>
      </c>
      <c r="R31" s="252">
        <f t="shared" si="106"/>
        <v>259208</v>
      </c>
      <c r="S31" s="253">
        <v>1443.9</v>
      </c>
      <c r="T31" s="254">
        <v>15.0</v>
      </c>
      <c r="U31" s="255" t="s">
        <v>107</v>
      </c>
      <c r="V31" s="255"/>
      <c r="W31" s="304">
        <v>2.0216</v>
      </c>
      <c r="X31" s="304">
        <v>0.0</v>
      </c>
      <c r="Y31" s="304">
        <v>2.0216</v>
      </c>
      <c r="Z31" s="305">
        <f>IFERROR(ROUND(K31/W31,0),0)</f>
        <v>592</v>
      </c>
      <c r="AA31" s="306">
        <f t="shared" ref="AA31:AA32" si="108">Z31*W31</f>
        <v>1196.7872</v>
      </c>
      <c r="AB31" s="307">
        <f t="shared" ref="AB31:AB32" si="109">ROUND(AA31*S31,0)</f>
        <v>1728041</v>
      </c>
      <c r="AC31" s="308">
        <f t="shared" ref="AC31:AC32" si="110">AA31</f>
        <v>1196.7872</v>
      </c>
      <c r="AD31" s="309">
        <f t="shared" si="99"/>
        <v>1728041</v>
      </c>
      <c r="AE31" s="310">
        <f t="shared" si="100"/>
        <v>1196.79</v>
      </c>
      <c r="AF31" s="252">
        <f t="shared" si="101"/>
        <v>1728045</v>
      </c>
      <c r="AG31" s="306">
        <f t="shared" ref="AG31:AG32" si="111">ROUND(AC31*0.15,2)</f>
        <v>179.52</v>
      </c>
      <c r="AH31" s="252">
        <f t="shared" ref="AH31:AH32" si="112">ROUND(AD31*0.15,0)</f>
        <v>259206</v>
      </c>
      <c r="AI31" s="311"/>
      <c r="AJ31" s="311"/>
      <c r="AK31" s="311"/>
      <c r="AL31" s="311"/>
      <c r="AM31" s="312"/>
      <c r="AN31" s="313"/>
    </row>
    <row r="32" ht="12.75" customHeight="1">
      <c r="A32" s="245" t="s">
        <v>472</v>
      </c>
      <c r="B32" s="246" t="s">
        <v>118</v>
      </c>
      <c r="C32" s="247" t="s">
        <v>119</v>
      </c>
      <c r="D32" s="247" t="s">
        <v>133</v>
      </c>
      <c r="E32" s="247" t="s">
        <v>134</v>
      </c>
      <c r="F32" s="248"/>
      <c r="G32" s="247" t="s">
        <v>135</v>
      </c>
      <c r="H32" s="247" t="s">
        <v>136</v>
      </c>
      <c r="I32" s="248" t="s">
        <v>105</v>
      </c>
      <c r="J32" s="300" t="s">
        <v>106</v>
      </c>
      <c r="K32" s="314">
        <f t="shared" ref="K32:R32" si="107">-K31</f>
        <v>-1196.79</v>
      </c>
      <c r="L32" s="309">
        <f t="shared" si="107"/>
        <v>-1728045</v>
      </c>
      <c r="M32" s="315">
        <f t="shared" si="107"/>
        <v>-179.52</v>
      </c>
      <c r="N32" s="252">
        <f t="shared" si="107"/>
        <v>-259208</v>
      </c>
      <c r="O32" s="251">
        <f t="shared" si="107"/>
        <v>0</v>
      </c>
      <c r="P32" s="252">
        <f t="shared" si="107"/>
        <v>0</v>
      </c>
      <c r="Q32" s="251">
        <f t="shared" si="107"/>
        <v>-179.52</v>
      </c>
      <c r="R32" s="252">
        <f t="shared" si="107"/>
        <v>-259208</v>
      </c>
      <c r="S32" s="253">
        <v>1443.9</v>
      </c>
      <c r="T32" s="254">
        <v>15.0</v>
      </c>
      <c r="U32" s="255" t="s">
        <v>107</v>
      </c>
      <c r="V32" s="255"/>
      <c r="W32" s="304">
        <v>2.0216</v>
      </c>
      <c r="X32" s="304">
        <v>0.0</v>
      </c>
      <c r="Y32" s="304">
        <v>2.0216</v>
      </c>
      <c r="Z32" s="305">
        <f>-Z31</f>
        <v>-592</v>
      </c>
      <c r="AA32" s="306">
        <f t="shared" si="108"/>
        <v>-1196.7872</v>
      </c>
      <c r="AB32" s="307">
        <f t="shared" si="109"/>
        <v>-1728041</v>
      </c>
      <c r="AC32" s="308">
        <f t="shared" si="110"/>
        <v>-1196.7872</v>
      </c>
      <c r="AD32" s="309">
        <f t="shared" si="99"/>
        <v>-1728041</v>
      </c>
      <c r="AE32" s="310">
        <f t="shared" si="100"/>
        <v>-1196.79</v>
      </c>
      <c r="AF32" s="252">
        <f t="shared" si="101"/>
        <v>-1728045</v>
      </c>
      <c r="AG32" s="306">
        <f t="shared" si="111"/>
        <v>-179.52</v>
      </c>
      <c r="AH32" s="252">
        <f t="shared" si="112"/>
        <v>-259206</v>
      </c>
      <c r="AI32" s="311"/>
      <c r="AJ32" s="311"/>
      <c r="AK32" s="311"/>
      <c r="AL32" s="311"/>
      <c r="AM32" s="312"/>
      <c r="AN32" s="313"/>
    </row>
    <row r="33" ht="12.75" customHeight="1">
      <c r="A33" s="256" t="s">
        <v>473</v>
      </c>
      <c r="B33" s="257" t="s">
        <v>118</v>
      </c>
      <c r="C33" s="258" t="s">
        <v>119</v>
      </c>
      <c r="D33" s="258" t="s">
        <v>133</v>
      </c>
      <c r="E33" s="258" t="s">
        <v>134</v>
      </c>
      <c r="F33" s="259"/>
      <c r="G33" s="258" t="s">
        <v>135</v>
      </c>
      <c r="H33" s="258" t="s">
        <v>136</v>
      </c>
      <c r="I33" s="259" t="s">
        <v>105</v>
      </c>
      <c r="J33" s="316" t="s">
        <v>106</v>
      </c>
      <c r="K33" s="317">
        <f>ROUND(M33/0.15,2)</f>
        <v>0</v>
      </c>
      <c r="L33" s="318">
        <f>ROUND(N33/0.15,0)</f>
        <v>-7</v>
      </c>
      <c r="M33" s="319">
        <f t="shared" ref="M33:N33" si="113">Q33</f>
        <v>0</v>
      </c>
      <c r="N33" s="261">
        <f t="shared" si="113"/>
        <v>-1</v>
      </c>
      <c r="O33" s="262">
        <v>179.52</v>
      </c>
      <c r="P33" s="263">
        <v>259209.0</v>
      </c>
      <c r="Q33" s="260">
        <f t="shared" ref="Q33:R33" si="114">M31-O33</f>
        <v>0</v>
      </c>
      <c r="R33" s="261">
        <f t="shared" si="114"/>
        <v>-1</v>
      </c>
      <c r="S33" s="264">
        <v>1443.9</v>
      </c>
      <c r="T33" s="265">
        <v>15.0</v>
      </c>
      <c r="U33" s="266" t="s">
        <v>107</v>
      </c>
      <c r="V33" s="266" t="s">
        <v>988</v>
      </c>
      <c r="W33" s="320">
        <v>2.0216</v>
      </c>
      <c r="X33" s="320">
        <v>0.0</v>
      </c>
      <c r="Y33" s="320">
        <v>2.0216</v>
      </c>
      <c r="Z33" s="321">
        <f>Z31</f>
        <v>592</v>
      </c>
      <c r="AA33" s="311"/>
      <c r="AB33" s="322"/>
      <c r="AC33" s="323">
        <f>IFERROR(ROUND(Z33*X33,2),0)</f>
        <v>0</v>
      </c>
      <c r="AD33" s="318">
        <f t="shared" si="99"/>
        <v>0</v>
      </c>
      <c r="AE33" s="324">
        <f t="shared" si="100"/>
        <v>1196.79</v>
      </c>
      <c r="AF33" s="261">
        <f t="shared" si="101"/>
        <v>1728045</v>
      </c>
      <c r="AG33" s="311"/>
      <c r="AH33" s="311"/>
      <c r="AI33" s="325">
        <f>ROUND(AC33*0.15,2)</f>
        <v>0</v>
      </c>
      <c r="AJ33" s="261">
        <f>ROUND(AD33*0.15,0)</f>
        <v>0</v>
      </c>
      <c r="AK33" s="325">
        <f>ROUND(AE33*0.15,2)</f>
        <v>179.52</v>
      </c>
      <c r="AL33" s="261">
        <f>ROUND(AF33*0.15,0)</f>
        <v>259207</v>
      </c>
      <c r="AM33" s="326">
        <f>IFERROR(AC33/K33,IFERROR(AK33/O33,""))</f>
        <v>1</v>
      </c>
      <c r="AN33" s="313"/>
    </row>
    <row r="34" ht="12.75" customHeight="1">
      <c r="A34" s="245" t="s">
        <v>475</v>
      </c>
      <c r="B34" s="246" t="s">
        <v>118</v>
      </c>
      <c r="C34" s="247" t="s">
        <v>119</v>
      </c>
      <c r="D34" s="247" t="s">
        <v>137</v>
      </c>
      <c r="E34" s="247" t="s">
        <v>138</v>
      </c>
      <c r="F34" s="248"/>
      <c r="G34" s="247" t="s">
        <v>139</v>
      </c>
      <c r="H34" s="247" t="s">
        <v>140</v>
      </c>
      <c r="I34" s="248" t="s">
        <v>105</v>
      </c>
      <c r="J34" s="300" t="s">
        <v>106</v>
      </c>
      <c r="K34" s="301">
        <v>468.66</v>
      </c>
      <c r="L34" s="302">
        <v>672105.0</v>
      </c>
      <c r="M34" s="303">
        <v>70.3</v>
      </c>
      <c r="N34" s="250">
        <v>100817.0</v>
      </c>
      <c r="O34" s="249">
        <v>0.0</v>
      </c>
      <c r="P34" s="250">
        <v>0.0</v>
      </c>
      <c r="Q34" s="251">
        <f t="shared" ref="Q34:R34" si="115">M34-O34</f>
        <v>70.3</v>
      </c>
      <c r="R34" s="252">
        <f t="shared" si="115"/>
        <v>100817</v>
      </c>
      <c r="S34" s="253">
        <v>1434.1</v>
      </c>
      <c r="T34" s="254">
        <v>15.0</v>
      </c>
      <c r="U34" s="255" t="s">
        <v>107</v>
      </c>
      <c r="V34" s="255"/>
      <c r="W34" s="304">
        <v>0.5793</v>
      </c>
      <c r="X34" s="304">
        <v>0.156589</v>
      </c>
      <c r="Y34" s="304">
        <v>0.422711</v>
      </c>
      <c r="Z34" s="305">
        <f>IFERROR(ROUND(K34/W34,0),0)</f>
        <v>809</v>
      </c>
      <c r="AA34" s="306">
        <f t="shared" ref="AA34:AA35" si="117">Z34*W34</f>
        <v>468.6537</v>
      </c>
      <c r="AB34" s="307">
        <f t="shared" ref="AB34:AB35" si="118">ROUND(AA34*S34,0)</f>
        <v>672096</v>
      </c>
      <c r="AC34" s="308">
        <f t="shared" ref="AC34:AC35" si="119">AA34</f>
        <v>468.6537</v>
      </c>
      <c r="AD34" s="309">
        <f t="shared" si="99"/>
        <v>672096</v>
      </c>
      <c r="AE34" s="310">
        <f t="shared" si="100"/>
        <v>341.97</v>
      </c>
      <c r="AF34" s="252">
        <f t="shared" si="101"/>
        <v>490419</v>
      </c>
      <c r="AG34" s="306">
        <f t="shared" ref="AG34:AG35" si="120">ROUND(AC34*0.15,2)</f>
        <v>70.3</v>
      </c>
      <c r="AH34" s="252">
        <f t="shared" ref="AH34:AH35" si="121">ROUND(AD34*0.15,0)</f>
        <v>100814</v>
      </c>
      <c r="AI34" s="311"/>
      <c r="AJ34" s="311"/>
      <c r="AK34" s="311"/>
      <c r="AL34" s="311"/>
      <c r="AM34" s="312"/>
      <c r="AN34" s="313"/>
    </row>
    <row r="35" ht="12.75" customHeight="1">
      <c r="A35" s="245" t="s">
        <v>476</v>
      </c>
      <c r="B35" s="246" t="s">
        <v>118</v>
      </c>
      <c r="C35" s="247" t="s">
        <v>119</v>
      </c>
      <c r="D35" s="247" t="s">
        <v>137</v>
      </c>
      <c r="E35" s="247" t="s">
        <v>138</v>
      </c>
      <c r="F35" s="248"/>
      <c r="G35" s="247" t="s">
        <v>139</v>
      </c>
      <c r="H35" s="247" t="s">
        <v>140</v>
      </c>
      <c r="I35" s="248" t="s">
        <v>105</v>
      </c>
      <c r="J35" s="300" t="s">
        <v>106</v>
      </c>
      <c r="K35" s="314">
        <f t="shared" ref="K35:R35" si="116">-K34</f>
        <v>-468.66</v>
      </c>
      <c r="L35" s="309">
        <f t="shared" si="116"/>
        <v>-672105</v>
      </c>
      <c r="M35" s="315">
        <f t="shared" si="116"/>
        <v>-70.3</v>
      </c>
      <c r="N35" s="252">
        <f t="shared" si="116"/>
        <v>-100817</v>
      </c>
      <c r="O35" s="251">
        <f t="shared" si="116"/>
        <v>0</v>
      </c>
      <c r="P35" s="252">
        <f t="shared" si="116"/>
        <v>0</v>
      </c>
      <c r="Q35" s="251">
        <f t="shared" si="116"/>
        <v>-70.3</v>
      </c>
      <c r="R35" s="252">
        <f t="shared" si="116"/>
        <v>-100817</v>
      </c>
      <c r="S35" s="253">
        <v>1434.1</v>
      </c>
      <c r="T35" s="254">
        <v>15.0</v>
      </c>
      <c r="U35" s="255" t="s">
        <v>107</v>
      </c>
      <c r="V35" s="255"/>
      <c r="W35" s="304">
        <v>0.5793</v>
      </c>
      <c r="X35" s="304">
        <v>0.156589</v>
      </c>
      <c r="Y35" s="304">
        <v>0.422711</v>
      </c>
      <c r="Z35" s="305">
        <f>-Z34</f>
        <v>-809</v>
      </c>
      <c r="AA35" s="306">
        <f t="shared" si="117"/>
        <v>-468.6537</v>
      </c>
      <c r="AB35" s="307">
        <f t="shared" si="118"/>
        <v>-672096</v>
      </c>
      <c r="AC35" s="308">
        <f t="shared" si="119"/>
        <v>-468.6537</v>
      </c>
      <c r="AD35" s="309">
        <f t="shared" si="99"/>
        <v>-672096</v>
      </c>
      <c r="AE35" s="310">
        <f t="shared" si="100"/>
        <v>-341.97</v>
      </c>
      <c r="AF35" s="252">
        <f t="shared" si="101"/>
        <v>-490419</v>
      </c>
      <c r="AG35" s="306">
        <f t="shared" si="120"/>
        <v>-70.3</v>
      </c>
      <c r="AH35" s="252">
        <f t="shared" si="121"/>
        <v>-100814</v>
      </c>
      <c r="AI35" s="311"/>
      <c r="AJ35" s="311"/>
      <c r="AK35" s="311"/>
      <c r="AL35" s="311"/>
      <c r="AM35" s="312"/>
      <c r="AN35" s="313"/>
    </row>
    <row r="36" ht="12.75" customHeight="1">
      <c r="A36" s="256" t="s">
        <v>477</v>
      </c>
      <c r="B36" s="257" t="s">
        <v>118</v>
      </c>
      <c r="C36" s="258" t="s">
        <v>119</v>
      </c>
      <c r="D36" s="258" t="s">
        <v>137</v>
      </c>
      <c r="E36" s="258" t="s">
        <v>138</v>
      </c>
      <c r="F36" s="259"/>
      <c r="G36" s="258" t="s">
        <v>139</v>
      </c>
      <c r="H36" s="258" t="s">
        <v>140</v>
      </c>
      <c r="I36" s="259" t="s">
        <v>105</v>
      </c>
      <c r="J36" s="316" t="s">
        <v>106</v>
      </c>
      <c r="K36" s="317">
        <f>ROUND(M36/0.15,2)</f>
        <v>126.67</v>
      </c>
      <c r="L36" s="318">
        <f>ROUND(N36/0.15,0)</f>
        <v>181653</v>
      </c>
      <c r="M36" s="319">
        <f t="shared" ref="M36:N36" si="122">Q36</f>
        <v>19</v>
      </c>
      <c r="N36" s="261">
        <f t="shared" si="122"/>
        <v>27248</v>
      </c>
      <c r="O36" s="262">
        <v>51.3</v>
      </c>
      <c r="P36" s="263">
        <v>73569.0</v>
      </c>
      <c r="Q36" s="260">
        <f t="shared" ref="Q36:R36" si="123">M34-O36</f>
        <v>19</v>
      </c>
      <c r="R36" s="261">
        <f t="shared" si="123"/>
        <v>27248</v>
      </c>
      <c r="S36" s="264">
        <v>1434.1</v>
      </c>
      <c r="T36" s="265">
        <v>15.0</v>
      </c>
      <c r="U36" s="266" t="s">
        <v>107</v>
      </c>
      <c r="V36" s="266" t="s">
        <v>989</v>
      </c>
      <c r="W36" s="320">
        <v>0.5793</v>
      </c>
      <c r="X36" s="320">
        <v>0.156589</v>
      </c>
      <c r="Y36" s="320">
        <v>0.422711</v>
      </c>
      <c r="Z36" s="321">
        <f>Z34</f>
        <v>809</v>
      </c>
      <c r="AA36" s="311"/>
      <c r="AB36" s="322"/>
      <c r="AC36" s="323">
        <f>IFERROR(ROUND(Z36*X36,2),0)</f>
        <v>126.68</v>
      </c>
      <c r="AD36" s="318">
        <f t="shared" si="99"/>
        <v>181672</v>
      </c>
      <c r="AE36" s="324">
        <f t="shared" si="100"/>
        <v>341.97</v>
      </c>
      <c r="AF36" s="261">
        <f t="shared" si="101"/>
        <v>490419</v>
      </c>
      <c r="AG36" s="311"/>
      <c r="AH36" s="311"/>
      <c r="AI36" s="325">
        <f>ROUND(AC36*0.15,2)</f>
        <v>19</v>
      </c>
      <c r="AJ36" s="261">
        <f>ROUND(AD36*0.15,0)</f>
        <v>27251</v>
      </c>
      <c r="AK36" s="325">
        <f>ROUND(AE36*0.15,2)</f>
        <v>51.3</v>
      </c>
      <c r="AL36" s="261">
        <f>ROUND(AF36*0.15,0)</f>
        <v>73563</v>
      </c>
      <c r="AM36" s="326">
        <f>IFERROR(AC36/K36,IFERROR(AK36/O36,""))</f>
        <v>1.000078945</v>
      </c>
      <c r="AN36" s="313"/>
    </row>
    <row r="37" ht="12.75" customHeight="1">
      <c r="A37" s="245" t="s">
        <v>479</v>
      </c>
      <c r="B37" s="246" t="s">
        <v>118</v>
      </c>
      <c r="C37" s="247" t="s">
        <v>119</v>
      </c>
      <c r="D37" s="247" t="s">
        <v>141</v>
      </c>
      <c r="E37" s="247" t="s">
        <v>142</v>
      </c>
      <c r="F37" s="248"/>
      <c r="G37" s="247" t="s">
        <v>143</v>
      </c>
      <c r="H37" s="247" t="s">
        <v>144</v>
      </c>
      <c r="I37" s="248" t="s">
        <v>105</v>
      </c>
      <c r="J37" s="300" t="s">
        <v>106</v>
      </c>
      <c r="K37" s="301">
        <v>20.02</v>
      </c>
      <c r="L37" s="302">
        <v>29203.0</v>
      </c>
      <c r="M37" s="303">
        <v>3.0</v>
      </c>
      <c r="N37" s="250">
        <v>4376.0</v>
      </c>
      <c r="O37" s="249">
        <v>0.0</v>
      </c>
      <c r="P37" s="250">
        <v>0.0</v>
      </c>
      <c r="Q37" s="251">
        <f t="shared" ref="Q37:R37" si="124">M37-O37</f>
        <v>3</v>
      </c>
      <c r="R37" s="252">
        <f t="shared" si="124"/>
        <v>4376</v>
      </c>
      <c r="S37" s="253">
        <v>1458.7</v>
      </c>
      <c r="T37" s="254">
        <v>15.0</v>
      </c>
      <c r="U37" s="255" t="s">
        <v>107</v>
      </c>
      <c r="V37" s="255"/>
      <c r="W37" s="304">
        <v>0.4767</v>
      </c>
      <c r="X37" s="304">
        <v>0.175664</v>
      </c>
      <c r="Y37" s="304">
        <v>0.301036</v>
      </c>
      <c r="Z37" s="305">
        <f>IFERROR(ROUND(K37/W37,0),0)</f>
        <v>42</v>
      </c>
      <c r="AA37" s="306">
        <f t="shared" ref="AA37:AA38" si="126">Z37*W37</f>
        <v>20.0214</v>
      </c>
      <c r="AB37" s="307">
        <f t="shared" ref="AB37:AB38" si="127">ROUND(AA37*S37,0)</f>
        <v>29205</v>
      </c>
      <c r="AC37" s="308">
        <f t="shared" ref="AC37:AC38" si="128">AA37</f>
        <v>20.0214</v>
      </c>
      <c r="AD37" s="309">
        <f t="shared" si="99"/>
        <v>29205</v>
      </c>
      <c r="AE37" s="310">
        <f t="shared" si="100"/>
        <v>12.64</v>
      </c>
      <c r="AF37" s="252">
        <f t="shared" si="101"/>
        <v>18438</v>
      </c>
      <c r="AG37" s="306">
        <f t="shared" ref="AG37:AG38" si="129">ROUND(AC37*0.15,2)</f>
        <v>3</v>
      </c>
      <c r="AH37" s="252">
        <f t="shared" ref="AH37:AH38" si="130">ROUND(AD37*0.15,0)</f>
        <v>4381</v>
      </c>
      <c r="AI37" s="311"/>
      <c r="AJ37" s="311"/>
      <c r="AK37" s="311"/>
      <c r="AL37" s="311"/>
      <c r="AM37" s="312"/>
      <c r="AN37" s="313"/>
    </row>
    <row r="38" ht="12.75" customHeight="1">
      <c r="A38" s="245" t="s">
        <v>480</v>
      </c>
      <c r="B38" s="246" t="s">
        <v>118</v>
      </c>
      <c r="C38" s="247" t="s">
        <v>119</v>
      </c>
      <c r="D38" s="247" t="s">
        <v>141</v>
      </c>
      <c r="E38" s="247" t="s">
        <v>142</v>
      </c>
      <c r="F38" s="248"/>
      <c r="G38" s="247" t="s">
        <v>143</v>
      </c>
      <c r="H38" s="247" t="s">
        <v>144</v>
      </c>
      <c r="I38" s="248" t="s">
        <v>105</v>
      </c>
      <c r="J38" s="300" t="s">
        <v>106</v>
      </c>
      <c r="K38" s="314">
        <f t="shared" ref="K38:R38" si="125">-K37</f>
        <v>-20.02</v>
      </c>
      <c r="L38" s="309">
        <f t="shared" si="125"/>
        <v>-29203</v>
      </c>
      <c r="M38" s="315">
        <f t="shared" si="125"/>
        <v>-3</v>
      </c>
      <c r="N38" s="252">
        <f t="shared" si="125"/>
        <v>-4376</v>
      </c>
      <c r="O38" s="251">
        <f t="shared" si="125"/>
        <v>0</v>
      </c>
      <c r="P38" s="252">
        <f t="shared" si="125"/>
        <v>0</v>
      </c>
      <c r="Q38" s="251">
        <f t="shared" si="125"/>
        <v>-3</v>
      </c>
      <c r="R38" s="252">
        <f t="shared" si="125"/>
        <v>-4376</v>
      </c>
      <c r="S38" s="253">
        <v>1458.7</v>
      </c>
      <c r="T38" s="254">
        <v>15.0</v>
      </c>
      <c r="U38" s="255" t="s">
        <v>107</v>
      </c>
      <c r="V38" s="255"/>
      <c r="W38" s="304">
        <v>0.4767</v>
      </c>
      <c r="X38" s="304">
        <v>0.175664</v>
      </c>
      <c r="Y38" s="304">
        <v>0.301036</v>
      </c>
      <c r="Z38" s="305">
        <f>-Z37</f>
        <v>-42</v>
      </c>
      <c r="AA38" s="306">
        <f t="shared" si="126"/>
        <v>-20.0214</v>
      </c>
      <c r="AB38" s="307">
        <f t="shared" si="127"/>
        <v>-29205</v>
      </c>
      <c r="AC38" s="308">
        <f t="shared" si="128"/>
        <v>-20.0214</v>
      </c>
      <c r="AD38" s="309">
        <f t="shared" si="99"/>
        <v>-29205</v>
      </c>
      <c r="AE38" s="310">
        <f t="shared" si="100"/>
        <v>-12.64</v>
      </c>
      <c r="AF38" s="252">
        <f t="shared" si="101"/>
        <v>-18438</v>
      </c>
      <c r="AG38" s="306">
        <f t="shared" si="129"/>
        <v>-3</v>
      </c>
      <c r="AH38" s="252">
        <f t="shared" si="130"/>
        <v>-4381</v>
      </c>
      <c r="AI38" s="311"/>
      <c r="AJ38" s="311"/>
      <c r="AK38" s="311"/>
      <c r="AL38" s="311"/>
      <c r="AM38" s="312"/>
      <c r="AN38" s="313"/>
    </row>
    <row r="39" ht="12.75" customHeight="1">
      <c r="A39" s="256" t="s">
        <v>481</v>
      </c>
      <c r="B39" s="257" t="s">
        <v>118</v>
      </c>
      <c r="C39" s="258" t="s">
        <v>119</v>
      </c>
      <c r="D39" s="258" t="s">
        <v>141</v>
      </c>
      <c r="E39" s="258" t="s">
        <v>142</v>
      </c>
      <c r="F39" s="259"/>
      <c r="G39" s="258" t="s">
        <v>143</v>
      </c>
      <c r="H39" s="258" t="s">
        <v>144</v>
      </c>
      <c r="I39" s="259" t="s">
        <v>105</v>
      </c>
      <c r="J39" s="316" t="s">
        <v>106</v>
      </c>
      <c r="K39" s="317">
        <f>ROUND(M39/0.15,2)</f>
        <v>7.33</v>
      </c>
      <c r="L39" s="318">
        <f>ROUND(N39/0.15,0)</f>
        <v>10693</v>
      </c>
      <c r="M39" s="319">
        <f t="shared" ref="M39:N39" si="131">Q39</f>
        <v>1.1</v>
      </c>
      <c r="N39" s="261">
        <f t="shared" si="131"/>
        <v>1604</v>
      </c>
      <c r="O39" s="262">
        <v>1.9</v>
      </c>
      <c r="P39" s="263">
        <v>2772.0</v>
      </c>
      <c r="Q39" s="260">
        <f t="shared" ref="Q39:R39" si="132">M37-O39</f>
        <v>1.1</v>
      </c>
      <c r="R39" s="261">
        <f t="shared" si="132"/>
        <v>1604</v>
      </c>
      <c r="S39" s="264">
        <v>1458.7</v>
      </c>
      <c r="T39" s="265">
        <v>15.0</v>
      </c>
      <c r="U39" s="266" t="s">
        <v>107</v>
      </c>
      <c r="V39" s="266" t="s">
        <v>990</v>
      </c>
      <c r="W39" s="320">
        <v>0.4767</v>
      </c>
      <c r="X39" s="320">
        <v>0.175664</v>
      </c>
      <c r="Y39" s="320">
        <v>0.301036</v>
      </c>
      <c r="Z39" s="321">
        <f>Z37</f>
        <v>42</v>
      </c>
      <c r="AA39" s="311"/>
      <c r="AB39" s="322"/>
      <c r="AC39" s="323">
        <f>IFERROR(ROUND(Z39*X39,2),0)</f>
        <v>7.38</v>
      </c>
      <c r="AD39" s="318">
        <f t="shared" si="99"/>
        <v>10765</v>
      </c>
      <c r="AE39" s="324">
        <f t="shared" si="100"/>
        <v>12.64</v>
      </c>
      <c r="AF39" s="261">
        <f t="shared" si="101"/>
        <v>18438</v>
      </c>
      <c r="AG39" s="311"/>
      <c r="AH39" s="311"/>
      <c r="AI39" s="325">
        <f>ROUND(AC39*0.15,2)</f>
        <v>1.11</v>
      </c>
      <c r="AJ39" s="261">
        <f>ROUND(AD39*0.15,0)</f>
        <v>1615</v>
      </c>
      <c r="AK39" s="325">
        <f>ROUND(AE39*0.15,2)</f>
        <v>1.9</v>
      </c>
      <c r="AL39" s="261">
        <f>ROUND(AF39*0.15,0)</f>
        <v>2766</v>
      </c>
      <c r="AM39" s="326">
        <f>IFERROR(AC39/K39,IFERROR(AK39/O39,""))</f>
        <v>1.006821282</v>
      </c>
      <c r="AN39" s="313"/>
    </row>
    <row r="40" ht="12.75" customHeight="1">
      <c r="A40" s="245" t="s">
        <v>483</v>
      </c>
      <c r="B40" s="246" t="s">
        <v>118</v>
      </c>
      <c r="C40" s="247" t="s">
        <v>119</v>
      </c>
      <c r="D40" s="247" t="s">
        <v>141</v>
      </c>
      <c r="E40" s="247" t="s">
        <v>142</v>
      </c>
      <c r="F40" s="248"/>
      <c r="G40" s="247" t="s">
        <v>127</v>
      </c>
      <c r="H40" s="247" t="s">
        <v>128</v>
      </c>
      <c r="I40" s="248" t="s">
        <v>105</v>
      </c>
      <c r="J40" s="300" t="s">
        <v>106</v>
      </c>
      <c r="K40" s="301">
        <v>77.36</v>
      </c>
      <c r="L40" s="302">
        <v>112845.0</v>
      </c>
      <c r="M40" s="303">
        <v>11.6</v>
      </c>
      <c r="N40" s="250">
        <v>16920.0</v>
      </c>
      <c r="O40" s="249">
        <v>0.0</v>
      </c>
      <c r="P40" s="250">
        <v>0.0</v>
      </c>
      <c r="Q40" s="251">
        <f t="shared" ref="Q40:R40" si="133">M40-O40</f>
        <v>11.6</v>
      </c>
      <c r="R40" s="252">
        <f t="shared" si="133"/>
        <v>16920</v>
      </c>
      <c r="S40" s="253">
        <v>1458.7</v>
      </c>
      <c r="T40" s="254">
        <v>15.0</v>
      </c>
      <c r="U40" s="255" t="s">
        <v>107</v>
      </c>
      <c r="V40" s="255"/>
      <c r="W40" s="304">
        <v>1.6118</v>
      </c>
      <c r="X40" s="304">
        <v>0.763226</v>
      </c>
      <c r="Y40" s="304">
        <v>0.848574</v>
      </c>
      <c r="Z40" s="305">
        <f>IFERROR(ROUND(K40/W40,0),0)</f>
        <v>48</v>
      </c>
      <c r="AA40" s="306">
        <f t="shared" ref="AA40:AA41" si="135">Z40*W40</f>
        <v>77.3664</v>
      </c>
      <c r="AB40" s="307">
        <f t="shared" ref="AB40:AB41" si="136">ROUND(AA40*S40,0)</f>
        <v>112854</v>
      </c>
      <c r="AC40" s="308">
        <f t="shared" ref="AC40:AC41" si="137">AA40</f>
        <v>77.3664</v>
      </c>
      <c r="AD40" s="309">
        <f t="shared" si="99"/>
        <v>112854</v>
      </c>
      <c r="AE40" s="310">
        <f t="shared" si="100"/>
        <v>40.73</v>
      </c>
      <c r="AF40" s="252">
        <f t="shared" si="101"/>
        <v>59413</v>
      </c>
      <c r="AG40" s="306">
        <f t="shared" ref="AG40:AG41" si="138">ROUND(AC40*0.15,2)</f>
        <v>11.6</v>
      </c>
      <c r="AH40" s="252">
        <f t="shared" ref="AH40:AH41" si="139">ROUND(AD40*0.15,0)</f>
        <v>16928</v>
      </c>
      <c r="AI40" s="311"/>
      <c r="AJ40" s="311"/>
      <c r="AK40" s="311"/>
      <c r="AL40" s="311"/>
      <c r="AM40" s="312"/>
      <c r="AN40" s="313"/>
    </row>
    <row r="41" ht="12.75" customHeight="1">
      <c r="A41" s="245" t="s">
        <v>484</v>
      </c>
      <c r="B41" s="246" t="s">
        <v>118</v>
      </c>
      <c r="C41" s="247" t="s">
        <v>119</v>
      </c>
      <c r="D41" s="247" t="s">
        <v>141</v>
      </c>
      <c r="E41" s="247" t="s">
        <v>142</v>
      </c>
      <c r="F41" s="248"/>
      <c r="G41" s="247" t="s">
        <v>127</v>
      </c>
      <c r="H41" s="247" t="s">
        <v>128</v>
      </c>
      <c r="I41" s="248" t="s">
        <v>105</v>
      </c>
      <c r="J41" s="300" t="s">
        <v>106</v>
      </c>
      <c r="K41" s="314">
        <f t="shared" ref="K41:R41" si="134">-K40</f>
        <v>-77.36</v>
      </c>
      <c r="L41" s="309">
        <f t="shared" si="134"/>
        <v>-112845</v>
      </c>
      <c r="M41" s="315">
        <f t="shared" si="134"/>
        <v>-11.6</v>
      </c>
      <c r="N41" s="252">
        <f t="shared" si="134"/>
        <v>-16920</v>
      </c>
      <c r="O41" s="251">
        <f t="shared" si="134"/>
        <v>0</v>
      </c>
      <c r="P41" s="252">
        <f t="shared" si="134"/>
        <v>0</v>
      </c>
      <c r="Q41" s="251">
        <f t="shared" si="134"/>
        <v>-11.6</v>
      </c>
      <c r="R41" s="252">
        <f t="shared" si="134"/>
        <v>-16920</v>
      </c>
      <c r="S41" s="253">
        <v>1458.7</v>
      </c>
      <c r="T41" s="254">
        <v>15.0</v>
      </c>
      <c r="U41" s="255" t="s">
        <v>107</v>
      </c>
      <c r="V41" s="255"/>
      <c r="W41" s="304">
        <v>1.6118</v>
      </c>
      <c r="X41" s="304">
        <v>0.763226</v>
      </c>
      <c r="Y41" s="304">
        <v>0.848574</v>
      </c>
      <c r="Z41" s="305">
        <f>-Z40</f>
        <v>-48</v>
      </c>
      <c r="AA41" s="306">
        <f t="shared" si="135"/>
        <v>-77.3664</v>
      </c>
      <c r="AB41" s="307">
        <f t="shared" si="136"/>
        <v>-112854</v>
      </c>
      <c r="AC41" s="308">
        <f t="shared" si="137"/>
        <v>-77.3664</v>
      </c>
      <c r="AD41" s="309">
        <f t="shared" si="99"/>
        <v>-112854</v>
      </c>
      <c r="AE41" s="310">
        <f t="shared" si="100"/>
        <v>-40.73</v>
      </c>
      <c r="AF41" s="252">
        <f t="shared" si="101"/>
        <v>-59413</v>
      </c>
      <c r="AG41" s="306">
        <f t="shared" si="138"/>
        <v>-11.6</v>
      </c>
      <c r="AH41" s="252">
        <f t="shared" si="139"/>
        <v>-16928</v>
      </c>
      <c r="AI41" s="311"/>
      <c r="AJ41" s="311"/>
      <c r="AK41" s="311"/>
      <c r="AL41" s="311"/>
      <c r="AM41" s="312"/>
      <c r="AN41" s="313"/>
    </row>
    <row r="42" ht="12.75" customHeight="1">
      <c r="A42" s="256" t="s">
        <v>485</v>
      </c>
      <c r="B42" s="257" t="s">
        <v>118</v>
      </c>
      <c r="C42" s="258" t="s">
        <v>119</v>
      </c>
      <c r="D42" s="258" t="s">
        <v>141</v>
      </c>
      <c r="E42" s="258" t="s">
        <v>142</v>
      </c>
      <c r="F42" s="259"/>
      <c r="G42" s="258" t="s">
        <v>127</v>
      </c>
      <c r="H42" s="258" t="s">
        <v>128</v>
      </c>
      <c r="I42" s="259" t="s">
        <v>105</v>
      </c>
      <c r="J42" s="316" t="s">
        <v>106</v>
      </c>
      <c r="K42" s="317">
        <f>ROUND(M42/0.15,2)</f>
        <v>36.6</v>
      </c>
      <c r="L42" s="318">
        <f>ROUND(N42/0.15,0)</f>
        <v>53380</v>
      </c>
      <c r="M42" s="319">
        <f t="shared" ref="M42:N42" si="140">Q42</f>
        <v>5.49</v>
      </c>
      <c r="N42" s="261">
        <f t="shared" si="140"/>
        <v>8007</v>
      </c>
      <c r="O42" s="262">
        <v>6.11</v>
      </c>
      <c r="P42" s="263">
        <v>8913.0</v>
      </c>
      <c r="Q42" s="260">
        <f t="shared" ref="Q42:R42" si="141">M40-O42</f>
        <v>5.49</v>
      </c>
      <c r="R42" s="261">
        <f t="shared" si="141"/>
        <v>8007</v>
      </c>
      <c r="S42" s="264">
        <v>1458.7</v>
      </c>
      <c r="T42" s="265">
        <v>15.0</v>
      </c>
      <c r="U42" s="266" t="s">
        <v>107</v>
      </c>
      <c r="V42" s="266" t="s">
        <v>991</v>
      </c>
      <c r="W42" s="320">
        <v>1.6118</v>
      </c>
      <c r="X42" s="320">
        <v>0.763226</v>
      </c>
      <c r="Y42" s="320">
        <v>0.848574</v>
      </c>
      <c r="Z42" s="321">
        <f>Z40</f>
        <v>48</v>
      </c>
      <c r="AA42" s="311"/>
      <c r="AB42" s="322"/>
      <c r="AC42" s="323">
        <f>IFERROR(ROUND(Z42*X42,2),0)</f>
        <v>36.63</v>
      </c>
      <c r="AD42" s="318">
        <f t="shared" si="99"/>
        <v>53432</v>
      </c>
      <c r="AE42" s="324">
        <f t="shared" si="100"/>
        <v>40.73</v>
      </c>
      <c r="AF42" s="261">
        <f t="shared" si="101"/>
        <v>59413</v>
      </c>
      <c r="AG42" s="311"/>
      <c r="AH42" s="311"/>
      <c r="AI42" s="325">
        <f>ROUND(AC42*0.15,2)</f>
        <v>5.49</v>
      </c>
      <c r="AJ42" s="261">
        <f>ROUND(AD42*0.15,0)</f>
        <v>8015</v>
      </c>
      <c r="AK42" s="325">
        <f>ROUND(AE42*0.15,2)</f>
        <v>6.11</v>
      </c>
      <c r="AL42" s="261">
        <f>ROUND(AF42*0.15,0)</f>
        <v>8912</v>
      </c>
      <c r="AM42" s="326">
        <f>IFERROR(AC42/K42,IFERROR(AK42/O42,""))</f>
        <v>1.000819672</v>
      </c>
      <c r="AN42" s="313"/>
    </row>
    <row r="43" ht="12.75" customHeight="1">
      <c r="A43" s="245" t="s">
        <v>487</v>
      </c>
      <c r="B43" s="246" t="s">
        <v>118</v>
      </c>
      <c r="C43" s="247" t="s">
        <v>119</v>
      </c>
      <c r="D43" s="247" t="s">
        <v>145</v>
      </c>
      <c r="E43" s="247" t="s">
        <v>145</v>
      </c>
      <c r="F43" s="248"/>
      <c r="G43" s="247" t="s">
        <v>116</v>
      </c>
      <c r="H43" s="247" t="s">
        <v>117</v>
      </c>
      <c r="I43" s="248" t="s">
        <v>105</v>
      </c>
      <c r="J43" s="300" t="s">
        <v>106</v>
      </c>
      <c r="K43" s="301">
        <v>486.89</v>
      </c>
      <c r="L43" s="302">
        <v>701900.0</v>
      </c>
      <c r="M43" s="303">
        <v>73.03</v>
      </c>
      <c r="N43" s="250">
        <v>105280.0</v>
      </c>
      <c r="O43" s="249">
        <v>0.0</v>
      </c>
      <c r="P43" s="250">
        <v>0.0</v>
      </c>
      <c r="Q43" s="251">
        <f t="shared" ref="Q43:R43" si="142">M43-O43</f>
        <v>73.03</v>
      </c>
      <c r="R43" s="252">
        <f t="shared" si="142"/>
        <v>105280</v>
      </c>
      <c r="S43" s="253">
        <v>1441.6</v>
      </c>
      <c r="T43" s="254">
        <v>15.0</v>
      </c>
      <c r="U43" s="255" t="s">
        <v>107</v>
      </c>
      <c r="V43" s="255"/>
      <c r="W43" s="304">
        <v>0.544737</v>
      </c>
      <c r="X43" s="304">
        <v>0.544737</v>
      </c>
      <c r="Y43" s="304">
        <v>0.0</v>
      </c>
      <c r="Z43" s="305">
        <f>IFERROR(ROUND(K43/W43,0),0)</f>
        <v>894</v>
      </c>
      <c r="AA43" s="306">
        <f t="shared" ref="AA43:AA44" si="144">Z43*W43</f>
        <v>486.994878</v>
      </c>
      <c r="AB43" s="307">
        <f t="shared" ref="AB43:AB44" si="145">ROUND(AA43*S43,0)</f>
        <v>702052</v>
      </c>
      <c r="AC43" s="308">
        <f t="shared" ref="AC43:AC44" si="146">AA43</f>
        <v>486.994878</v>
      </c>
      <c r="AD43" s="309">
        <f t="shared" si="99"/>
        <v>702052</v>
      </c>
      <c r="AE43" s="310">
        <f t="shared" si="100"/>
        <v>0</v>
      </c>
      <c r="AF43" s="252">
        <f t="shared" si="101"/>
        <v>0</v>
      </c>
      <c r="AG43" s="306">
        <f t="shared" ref="AG43:AG44" si="147">ROUND(AC43*0.15,2)</f>
        <v>73.05</v>
      </c>
      <c r="AH43" s="252">
        <f t="shared" ref="AH43:AH44" si="148">ROUND(AD43*0.15,0)</f>
        <v>105308</v>
      </c>
      <c r="AI43" s="311"/>
      <c r="AJ43" s="311"/>
      <c r="AK43" s="311"/>
      <c r="AL43" s="311"/>
      <c r="AM43" s="312"/>
      <c r="AN43" s="313"/>
    </row>
    <row r="44" ht="12.75" customHeight="1">
      <c r="A44" s="245" t="s">
        <v>488</v>
      </c>
      <c r="B44" s="246" t="s">
        <v>118</v>
      </c>
      <c r="C44" s="247" t="s">
        <v>119</v>
      </c>
      <c r="D44" s="247" t="s">
        <v>145</v>
      </c>
      <c r="E44" s="247" t="s">
        <v>145</v>
      </c>
      <c r="F44" s="248"/>
      <c r="G44" s="247" t="s">
        <v>116</v>
      </c>
      <c r="H44" s="247" t="s">
        <v>117</v>
      </c>
      <c r="I44" s="248" t="s">
        <v>105</v>
      </c>
      <c r="J44" s="300" t="s">
        <v>106</v>
      </c>
      <c r="K44" s="314">
        <f t="shared" ref="K44:R44" si="143">-K43</f>
        <v>-486.89</v>
      </c>
      <c r="L44" s="309">
        <f t="shared" si="143"/>
        <v>-701900</v>
      </c>
      <c r="M44" s="315">
        <f t="shared" si="143"/>
        <v>-73.03</v>
      </c>
      <c r="N44" s="252">
        <f t="shared" si="143"/>
        <v>-105280</v>
      </c>
      <c r="O44" s="251">
        <f t="shared" si="143"/>
        <v>0</v>
      </c>
      <c r="P44" s="252">
        <f t="shared" si="143"/>
        <v>0</v>
      </c>
      <c r="Q44" s="251">
        <f t="shared" si="143"/>
        <v>-73.03</v>
      </c>
      <c r="R44" s="252">
        <f t="shared" si="143"/>
        <v>-105280</v>
      </c>
      <c r="S44" s="253">
        <v>1441.6</v>
      </c>
      <c r="T44" s="254">
        <v>15.0</v>
      </c>
      <c r="U44" s="255" t="s">
        <v>107</v>
      </c>
      <c r="V44" s="255"/>
      <c r="W44" s="304">
        <v>0.544737</v>
      </c>
      <c r="X44" s="304">
        <v>0.544737</v>
      </c>
      <c r="Y44" s="304">
        <v>0.0</v>
      </c>
      <c r="Z44" s="305">
        <f>-Z43</f>
        <v>-894</v>
      </c>
      <c r="AA44" s="306">
        <f t="shared" si="144"/>
        <v>-486.994878</v>
      </c>
      <c r="AB44" s="307">
        <f t="shared" si="145"/>
        <v>-702052</v>
      </c>
      <c r="AC44" s="308">
        <f t="shared" si="146"/>
        <v>-486.994878</v>
      </c>
      <c r="AD44" s="309">
        <f t="shared" si="99"/>
        <v>-702052</v>
      </c>
      <c r="AE44" s="310">
        <f t="shared" si="100"/>
        <v>0</v>
      </c>
      <c r="AF44" s="252">
        <f t="shared" si="101"/>
        <v>0</v>
      </c>
      <c r="AG44" s="306">
        <f t="shared" si="147"/>
        <v>-73.05</v>
      </c>
      <c r="AH44" s="252">
        <f t="shared" si="148"/>
        <v>-105308</v>
      </c>
      <c r="AI44" s="311"/>
      <c r="AJ44" s="311"/>
      <c r="AK44" s="311"/>
      <c r="AL44" s="311"/>
      <c r="AM44" s="312"/>
      <c r="AN44" s="313"/>
    </row>
    <row r="45" ht="12.75" customHeight="1">
      <c r="A45" s="327" t="s">
        <v>489</v>
      </c>
      <c r="B45" s="328" t="s">
        <v>118</v>
      </c>
      <c r="C45" s="329" t="s">
        <v>119</v>
      </c>
      <c r="D45" s="329" t="s">
        <v>145</v>
      </c>
      <c r="E45" s="329" t="s">
        <v>145</v>
      </c>
      <c r="F45" s="330"/>
      <c r="G45" s="329" t="s">
        <v>116</v>
      </c>
      <c r="H45" s="329" t="s">
        <v>117</v>
      </c>
      <c r="I45" s="330" t="s">
        <v>105</v>
      </c>
      <c r="J45" s="331" t="s">
        <v>106</v>
      </c>
      <c r="K45" s="332">
        <f>ROUND(M45/0.15,2)</f>
        <v>463.33</v>
      </c>
      <c r="L45" s="333">
        <f>ROUND(N45/0.15,0)</f>
        <v>667940</v>
      </c>
      <c r="M45" s="334">
        <f t="shared" ref="M45:N45" si="149">Q45</f>
        <v>69.5</v>
      </c>
      <c r="N45" s="335">
        <f t="shared" si="149"/>
        <v>100191</v>
      </c>
      <c r="O45" s="336">
        <v>3.53</v>
      </c>
      <c r="P45" s="337">
        <v>5089.0</v>
      </c>
      <c r="Q45" s="338">
        <f t="shared" ref="Q45:R45" si="150">M43-O45</f>
        <v>69.5</v>
      </c>
      <c r="R45" s="335">
        <f t="shared" si="150"/>
        <v>100191</v>
      </c>
      <c r="S45" s="339">
        <v>1441.6</v>
      </c>
      <c r="T45" s="340">
        <v>15.0</v>
      </c>
      <c r="U45" s="341" t="s">
        <v>107</v>
      </c>
      <c r="V45" s="341" t="s">
        <v>992</v>
      </c>
      <c r="W45" s="342">
        <v>0.544737</v>
      </c>
      <c r="X45" s="342">
        <v>0.544737</v>
      </c>
      <c r="Y45" s="342">
        <v>0.0</v>
      </c>
      <c r="Z45" s="343">
        <f>Z43</f>
        <v>894</v>
      </c>
      <c r="AA45" s="344"/>
      <c r="AB45" s="345"/>
      <c r="AC45" s="346">
        <f t="shared" ref="AC45:AD45" si="151">K45</f>
        <v>463.33</v>
      </c>
      <c r="AD45" s="347">
        <f t="shared" si="151"/>
        <v>667940</v>
      </c>
      <c r="AE45" s="348">
        <f t="shared" ref="AE45:AF45" si="152">round(AK45/0.15,2)</f>
        <v>23.53</v>
      </c>
      <c r="AF45" s="348">
        <f t="shared" si="152"/>
        <v>33926.67</v>
      </c>
      <c r="AG45" s="349"/>
      <c r="AH45" s="349"/>
      <c r="AI45" s="350">
        <f>ROUND(AC45*0.15,2)</f>
        <v>69.5</v>
      </c>
      <c r="AJ45" s="351">
        <f>ROUND(AD45*0.15,0)</f>
        <v>100191</v>
      </c>
      <c r="AK45" s="350">
        <f t="shared" ref="AK45:AL45" si="153">O45</f>
        <v>3.53</v>
      </c>
      <c r="AL45" s="350">
        <f t="shared" si="153"/>
        <v>5089</v>
      </c>
      <c r="AM45" s="352">
        <f>IFERROR(AC45/K45,IFERROR(AK45/O45,""))</f>
        <v>1</v>
      </c>
      <c r="AN45" s="353" t="s">
        <v>983</v>
      </c>
    </row>
    <row r="46" ht="12.75" customHeight="1">
      <c r="A46" s="245" t="s">
        <v>491</v>
      </c>
      <c r="B46" s="246" t="s">
        <v>118</v>
      </c>
      <c r="C46" s="247" t="s">
        <v>119</v>
      </c>
      <c r="D46" s="247" t="s">
        <v>146</v>
      </c>
      <c r="E46" s="247" t="s">
        <v>145</v>
      </c>
      <c r="F46" s="248"/>
      <c r="G46" s="247" t="s">
        <v>131</v>
      </c>
      <c r="H46" s="247" t="s">
        <v>132</v>
      </c>
      <c r="I46" s="248" t="s">
        <v>105</v>
      </c>
      <c r="J46" s="300" t="s">
        <v>106</v>
      </c>
      <c r="K46" s="301">
        <v>476.73</v>
      </c>
      <c r="L46" s="302">
        <v>691973.0</v>
      </c>
      <c r="M46" s="303">
        <v>71.51</v>
      </c>
      <c r="N46" s="250">
        <v>103796.0</v>
      </c>
      <c r="O46" s="249">
        <v>0.0</v>
      </c>
      <c r="P46" s="250">
        <v>0.0</v>
      </c>
      <c r="Q46" s="251">
        <f t="shared" ref="Q46:R46" si="154">M46-O46</f>
        <v>71.51</v>
      </c>
      <c r="R46" s="252">
        <f t="shared" si="154"/>
        <v>103796</v>
      </c>
      <c r="S46" s="253">
        <v>1451.5</v>
      </c>
      <c r="T46" s="254">
        <v>15.0</v>
      </c>
      <c r="U46" s="255" t="s">
        <v>107</v>
      </c>
      <c r="V46" s="255"/>
      <c r="W46" s="304">
        <v>0.5989</v>
      </c>
      <c r="X46" s="304">
        <v>0.017688</v>
      </c>
      <c r="Y46" s="304">
        <v>0.581212</v>
      </c>
      <c r="Z46" s="305">
        <f>IFERROR(ROUND(K46/W46,0),0)</f>
        <v>796</v>
      </c>
      <c r="AA46" s="306">
        <f t="shared" ref="AA46:AA47" si="156">Z46*W46</f>
        <v>476.7244</v>
      </c>
      <c r="AB46" s="307">
        <f t="shared" ref="AB46:AB47" si="157">ROUND(AA46*S46,0)</f>
        <v>691965</v>
      </c>
      <c r="AC46" s="308">
        <f t="shared" ref="AC46:AC47" si="158">AA46</f>
        <v>476.7244</v>
      </c>
      <c r="AD46" s="309">
        <f t="shared" ref="AD46:AD48" si="159">ROUND(AC46*S46,0)</f>
        <v>691965</v>
      </c>
      <c r="AE46" s="310">
        <f t="shared" ref="AE46:AE48" si="160">IFERROR(ROUND(Z46*Y46,2),0)</f>
        <v>462.64</v>
      </c>
      <c r="AF46" s="252">
        <f t="shared" ref="AF46:AF48" si="161">ROUND(AE46*S46,0)</f>
        <v>671522</v>
      </c>
      <c r="AG46" s="306">
        <f t="shared" ref="AG46:AG47" si="162">ROUND(AC46*0.15,2)</f>
        <v>71.51</v>
      </c>
      <c r="AH46" s="252">
        <f t="shared" ref="AH46:AH47" si="163">ROUND(AD46*0.15,0)</f>
        <v>103795</v>
      </c>
      <c r="AI46" s="311"/>
      <c r="AJ46" s="311"/>
      <c r="AK46" s="311"/>
      <c r="AL46" s="311"/>
      <c r="AM46" s="312"/>
      <c r="AN46" s="313"/>
    </row>
    <row r="47" ht="12.75" customHeight="1">
      <c r="A47" s="245" t="s">
        <v>492</v>
      </c>
      <c r="B47" s="246" t="s">
        <v>118</v>
      </c>
      <c r="C47" s="247" t="s">
        <v>119</v>
      </c>
      <c r="D47" s="247" t="s">
        <v>146</v>
      </c>
      <c r="E47" s="247" t="s">
        <v>145</v>
      </c>
      <c r="F47" s="248"/>
      <c r="G47" s="247" t="s">
        <v>131</v>
      </c>
      <c r="H47" s="247" t="s">
        <v>132</v>
      </c>
      <c r="I47" s="248" t="s">
        <v>105</v>
      </c>
      <c r="J47" s="300" t="s">
        <v>106</v>
      </c>
      <c r="K47" s="314">
        <f t="shared" ref="K47:R47" si="155">-K46</f>
        <v>-476.73</v>
      </c>
      <c r="L47" s="309">
        <f t="shared" si="155"/>
        <v>-691973</v>
      </c>
      <c r="M47" s="315">
        <f t="shared" si="155"/>
        <v>-71.51</v>
      </c>
      <c r="N47" s="252">
        <f t="shared" si="155"/>
        <v>-103796</v>
      </c>
      <c r="O47" s="251">
        <f t="shared" si="155"/>
        <v>0</v>
      </c>
      <c r="P47" s="252">
        <f t="shared" si="155"/>
        <v>0</v>
      </c>
      <c r="Q47" s="251">
        <f t="shared" si="155"/>
        <v>-71.51</v>
      </c>
      <c r="R47" s="252">
        <f t="shared" si="155"/>
        <v>-103796</v>
      </c>
      <c r="S47" s="253">
        <v>1451.5</v>
      </c>
      <c r="T47" s="254">
        <v>15.0</v>
      </c>
      <c r="U47" s="255" t="s">
        <v>107</v>
      </c>
      <c r="V47" s="255"/>
      <c r="W47" s="304">
        <v>0.5989</v>
      </c>
      <c r="X47" s="304">
        <v>0.017688</v>
      </c>
      <c r="Y47" s="304">
        <v>0.581212</v>
      </c>
      <c r="Z47" s="305">
        <f>-Z46</f>
        <v>-796</v>
      </c>
      <c r="AA47" s="306">
        <f t="shared" si="156"/>
        <v>-476.7244</v>
      </c>
      <c r="AB47" s="307">
        <f t="shared" si="157"/>
        <v>-691965</v>
      </c>
      <c r="AC47" s="308">
        <f t="shared" si="158"/>
        <v>-476.7244</v>
      </c>
      <c r="AD47" s="309">
        <f t="shared" si="159"/>
        <v>-691965</v>
      </c>
      <c r="AE47" s="310">
        <f t="shared" si="160"/>
        <v>-462.64</v>
      </c>
      <c r="AF47" s="252">
        <f t="shared" si="161"/>
        <v>-671522</v>
      </c>
      <c r="AG47" s="306">
        <f t="shared" si="162"/>
        <v>-71.51</v>
      </c>
      <c r="AH47" s="252">
        <f t="shared" si="163"/>
        <v>-103795</v>
      </c>
      <c r="AI47" s="311"/>
      <c r="AJ47" s="311"/>
      <c r="AK47" s="311"/>
      <c r="AL47" s="311"/>
      <c r="AM47" s="312"/>
      <c r="AN47" s="313"/>
    </row>
    <row r="48" ht="12.75" customHeight="1">
      <c r="A48" s="256" t="s">
        <v>493</v>
      </c>
      <c r="B48" s="257" t="s">
        <v>118</v>
      </c>
      <c r="C48" s="258" t="s">
        <v>119</v>
      </c>
      <c r="D48" s="258" t="s">
        <v>146</v>
      </c>
      <c r="E48" s="258" t="s">
        <v>145</v>
      </c>
      <c r="F48" s="259"/>
      <c r="G48" s="258" t="s">
        <v>131</v>
      </c>
      <c r="H48" s="258" t="s">
        <v>132</v>
      </c>
      <c r="I48" s="259" t="s">
        <v>105</v>
      </c>
      <c r="J48" s="316" t="s">
        <v>106</v>
      </c>
      <c r="K48" s="317">
        <f>ROUND(M48/0.15,2)</f>
        <v>14.07</v>
      </c>
      <c r="L48" s="318">
        <f>ROUND(N48/0.15,0)</f>
        <v>20413</v>
      </c>
      <c r="M48" s="319">
        <f t="shared" ref="M48:N48" si="164">Q48</f>
        <v>2.11</v>
      </c>
      <c r="N48" s="261">
        <f t="shared" si="164"/>
        <v>3062</v>
      </c>
      <c r="O48" s="262">
        <v>69.4</v>
      </c>
      <c r="P48" s="263">
        <v>100734.0</v>
      </c>
      <c r="Q48" s="260">
        <f t="shared" ref="Q48:R48" si="165">M46-O48</f>
        <v>2.11</v>
      </c>
      <c r="R48" s="261">
        <f t="shared" si="165"/>
        <v>3062</v>
      </c>
      <c r="S48" s="264">
        <v>1451.5</v>
      </c>
      <c r="T48" s="265">
        <v>15.0</v>
      </c>
      <c r="U48" s="266" t="s">
        <v>107</v>
      </c>
      <c r="V48" s="266" t="s">
        <v>993</v>
      </c>
      <c r="W48" s="320">
        <v>0.5989</v>
      </c>
      <c r="X48" s="320">
        <v>0.017688</v>
      </c>
      <c r="Y48" s="320">
        <v>0.581212</v>
      </c>
      <c r="Z48" s="321">
        <f>Z46</f>
        <v>796</v>
      </c>
      <c r="AA48" s="311"/>
      <c r="AB48" s="322"/>
      <c r="AC48" s="323">
        <f>IFERROR(ROUND(Z48*X48,2),0)</f>
        <v>14.08</v>
      </c>
      <c r="AD48" s="318">
        <f t="shared" si="159"/>
        <v>20437</v>
      </c>
      <c r="AE48" s="324">
        <f t="shared" si="160"/>
        <v>462.64</v>
      </c>
      <c r="AF48" s="261">
        <f t="shared" si="161"/>
        <v>671522</v>
      </c>
      <c r="AG48" s="311"/>
      <c r="AH48" s="311"/>
      <c r="AI48" s="325">
        <f>ROUND(AC48*0.15,2)</f>
        <v>2.11</v>
      </c>
      <c r="AJ48" s="261">
        <f>ROUND(AD48*0.15,0)</f>
        <v>3066</v>
      </c>
      <c r="AK48" s="325">
        <f>ROUND(AE48*0.15,2)</f>
        <v>69.4</v>
      </c>
      <c r="AL48" s="261">
        <f>ROUND(AF48*0.15,0)</f>
        <v>100728</v>
      </c>
      <c r="AM48" s="326">
        <f>IFERROR(AC48/K48,IFERROR(AK48/O48,""))</f>
        <v>1.000710732</v>
      </c>
      <c r="AN48" s="313"/>
    </row>
    <row r="49" ht="12.75" customHeight="1">
      <c r="A49" s="267" t="s">
        <v>495</v>
      </c>
      <c r="B49" s="268" t="s">
        <v>118</v>
      </c>
      <c r="C49" s="269" t="s">
        <v>119</v>
      </c>
      <c r="D49" s="269" t="s">
        <v>147</v>
      </c>
      <c r="E49" s="270"/>
      <c r="F49" s="270"/>
      <c r="G49" s="269" t="s">
        <v>148</v>
      </c>
      <c r="H49" s="269" t="s">
        <v>994</v>
      </c>
      <c r="I49" s="270" t="s">
        <v>105</v>
      </c>
      <c r="J49" s="354" t="s">
        <v>150</v>
      </c>
      <c r="K49" s="355">
        <v>0.0</v>
      </c>
      <c r="L49" s="356">
        <v>0.0</v>
      </c>
      <c r="M49" s="357">
        <v>0.0</v>
      </c>
      <c r="N49" s="272">
        <v>1.0</v>
      </c>
      <c r="O49" s="271">
        <v>0.0</v>
      </c>
      <c r="P49" s="272">
        <v>0.0</v>
      </c>
      <c r="Q49" s="273">
        <f t="shared" ref="Q49:R49" si="166">M49-O49</f>
        <v>0</v>
      </c>
      <c r="R49" s="274">
        <f t="shared" si="166"/>
        <v>1</v>
      </c>
      <c r="S49" s="275">
        <v>1.0</v>
      </c>
      <c r="T49" s="276">
        <v>0.0</v>
      </c>
      <c r="U49" s="277" t="s">
        <v>151</v>
      </c>
      <c r="V49" s="277"/>
      <c r="W49" s="358"/>
      <c r="X49" s="358"/>
      <c r="Y49" s="358"/>
      <c r="Z49" s="358"/>
      <c r="AA49" s="358"/>
      <c r="AB49" s="359"/>
      <c r="AC49" s="360">
        <f t="shared" ref="AC49:AD49" si="167">K49</f>
        <v>0</v>
      </c>
      <c r="AD49" s="361">
        <f t="shared" si="167"/>
        <v>0</v>
      </c>
      <c r="AE49" s="362"/>
      <c r="AF49" s="358"/>
      <c r="AG49" s="358"/>
      <c r="AH49" s="358"/>
      <c r="AI49" s="363">
        <f t="shared" ref="AI49:AJ49" si="168">Q49</f>
        <v>0</v>
      </c>
      <c r="AJ49" s="364">
        <f t="shared" si="168"/>
        <v>1</v>
      </c>
      <c r="AK49" s="358"/>
      <c r="AL49" s="358"/>
      <c r="AM49" s="365"/>
      <c r="AN49" s="366"/>
    </row>
    <row r="50" ht="12.75" customHeight="1">
      <c r="A50" s="245" t="s">
        <v>497</v>
      </c>
      <c r="B50" s="246" t="s">
        <v>118</v>
      </c>
      <c r="C50" s="247" t="s">
        <v>119</v>
      </c>
      <c r="D50" s="247" t="s">
        <v>152</v>
      </c>
      <c r="E50" s="247" t="s">
        <v>153</v>
      </c>
      <c r="F50" s="248"/>
      <c r="G50" s="247" t="s">
        <v>135</v>
      </c>
      <c r="H50" s="247" t="s">
        <v>136</v>
      </c>
      <c r="I50" s="248" t="s">
        <v>105</v>
      </c>
      <c r="J50" s="300" t="s">
        <v>106</v>
      </c>
      <c r="K50" s="301">
        <v>815.48</v>
      </c>
      <c r="L50" s="302">
        <v>1180815.0</v>
      </c>
      <c r="M50" s="303">
        <v>122.32</v>
      </c>
      <c r="N50" s="250">
        <v>177119.0</v>
      </c>
      <c r="O50" s="249">
        <v>0.0</v>
      </c>
      <c r="P50" s="250">
        <v>0.0</v>
      </c>
      <c r="Q50" s="251">
        <f t="shared" ref="Q50:R50" si="169">M50-O50</f>
        <v>122.32</v>
      </c>
      <c r="R50" s="252">
        <f t="shared" si="169"/>
        <v>177119</v>
      </c>
      <c r="S50" s="253">
        <v>1448.0</v>
      </c>
      <c r="T50" s="254">
        <v>15.0</v>
      </c>
      <c r="U50" s="255" t="s">
        <v>107</v>
      </c>
      <c r="V50" s="255"/>
      <c r="W50" s="304">
        <v>1.3775</v>
      </c>
      <c r="X50" s="304">
        <v>0.0</v>
      </c>
      <c r="Y50" s="304">
        <v>1.3775</v>
      </c>
      <c r="Z50" s="305">
        <f>IFERROR(ROUND(K50/W50,0),0)</f>
        <v>592</v>
      </c>
      <c r="AA50" s="306">
        <f t="shared" ref="AA50:AA51" si="171">Z50*W50</f>
        <v>815.48</v>
      </c>
      <c r="AB50" s="307">
        <f t="shared" ref="AB50:AB51" si="172">ROUND(AA50*S50,0)</f>
        <v>1180815</v>
      </c>
      <c r="AC50" s="308">
        <f t="shared" ref="AC50:AC51" si="173">AA50</f>
        <v>815.48</v>
      </c>
      <c r="AD50" s="309">
        <f t="shared" ref="AD50:AD52" si="174">ROUND(AC50*S50,0)</f>
        <v>1180815</v>
      </c>
      <c r="AE50" s="310">
        <f t="shared" ref="AE50:AE52" si="175">IFERROR(ROUND(Z50*Y50,2),0)</f>
        <v>815.48</v>
      </c>
      <c r="AF50" s="252">
        <f t="shared" ref="AF50:AF52" si="176">ROUND(AE50*S50,0)</f>
        <v>1180815</v>
      </c>
      <c r="AG50" s="306">
        <f t="shared" ref="AG50:AG51" si="177">ROUND(AC50*0.15,2)</f>
        <v>122.32</v>
      </c>
      <c r="AH50" s="252">
        <f t="shared" ref="AH50:AH51" si="178">ROUND(AD50*0.15,0)</f>
        <v>177122</v>
      </c>
      <c r="AI50" s="311"/>
      <c r="AJ50" s="311"/>
      <c r="AK50" s="311"/>
      <c r="AL50" s="311"/>
      <c r="AM50" s="312"/>
      <c r="AN50" s="313"/>
    </row>
    <row r="51" ht="12.75" customHeight="1">
      <c r="A51" s="245" t="s">
        <v>498</v>
      </c>
      <c r="B51" s="246" t="s">
        <v>118</v>
      </c>
      <c r="C51" s="247" t="s">
        <v>119</v>
      </c>
      <c r="D51" s="247" t="s">
        <v>152</v>
      </c>
      <c r="E51" s="247" t="s">
        <v>153</v>
      </c>
      <c r="F51" s="248"/>
      <c r="G51" s="247" t="s">
        <v>135</v>
      </c>
      <c r="H51" s="247" t="s">
        <v>136</v>
      </c>
      <c r="I51" s="248" t="s">
        <v>105</v>
      </c>
      <c r="J51" s="300" t="s">
        <v>106</v>
      </c>
      <c r="K51" s="314">
        <f t="shared" ref="K51:R51" si="170">-K50</f>
        <v>-815.48</v>
      </c>
      <c r="L51" s="309">
        <f t="shared" si="170"/>
        <v>-1180815</v>
      </c>
      <c r="M51" s="315">
        <f t="shared" si="170"/>
        <v>-122.32</v>
      </c>
      <c r="N51" s="252">
        <f t="shared" si="170"/>
        <v>-177119</v>
      </c>
      <c r="O51" s="251">
        <f t="shared" si="170"/>
        <v>0</v>
      </c>
      <c r="P51" s="252">
        <f t="shared" si="170"/>
        <v>0</v>
      </c>
      <c r="Q51" s="251">
        <f t="shared" si="170"/>
        <v>-122.32</v>
      </c>
      <c r="R51" s="252">
        <f t="shared" si="170"/>
        <v>-177119</v>
      </c>
      <c r="S51" s="253">
        <v>1448.0</v>
      </c>
      <c r="T51" s="254">
        <v>15.0</v>
      </c>
      <c r="U51" s="255" t="s">
        <v>107</v>
      </c>
      <c r="V51" s="255"/>
      <c r="W51" s="304">
        <v>1.3775</v>
      </c>
      <c r="X51" s="304">
        <v>0.0</v>
      </c>
      <c r="Y51" s="304">
        <v>1.3775</v>
      </c>
      <c r="Z51" s="305">
        <f>-Z50</f>
        <v>-592</v>
      </c>
      <c r="AA51" s="306">
        <f t="shared" si="171"/>
        <v>-815.48</v>
      </c>
      <c r="AB51" s="307">
        <f t="shared" si="172"/>
        <v>-1180815</v>
      </c>
      <c r="AC51" s="308">
        <f t="shared" si="173"/>
        <v>-815.48</v>
      </c>
      <c r="AD51" s="309">
        <f t="shared" si="174"/>
        <v>-1180815</v>
      </c>
      <c r="AE51" s="310">
        <f t="shared" si="175"/>
        <v>-815.48</v>
      </c>
      <c r="AF51" s="252">
        <f t="shared" si="176"/>
        <v>-1180815</v>
      </c>
      <c r="AG51" s="306">
        <f t="shared" si="177"/>
        <v>-122.32</v>
      </c>
      <c r="AH51" s="252">
        <f t="shared" si="178"/>
        <v>-177122</v>
      </c>
      <c r="AI51" s="311"/>
      <c r="AJ51" s="311"/>
      <c r="AK51" s="311"/>
      <c r="AL51" s="311"/>
      <c r="AM51" s="312"/>
      <c r="AN51" s="313"/>
    </row>
    <row r="52" ht="12.75" customHeight="1">
      <c r="A52" s="256" t="s">
        <v>499</v>
      </c>
      <c r="B52" s="257" t="s">
        <v>118</v>
      </c>
      <c r="C52" s="258" t="s">
        <v>119</v>
      </c>
      <c r="D52" s="258" t="s">
        <v>152</v>
      </c>
      <c r="E52" s="258" t="s">
        <v>153</v>
      </c>
      <c r="F52" s="259"/>
      <c r="G52" s="258" t="s">
        <v>135</v>
      </c>
      <c r="H52" s="258" t="s">
        <v>136</v>
      </c>
      <c r="I52" s="259" t="s">
        <v>105</v>
      </c>
      <c r="J52" s="316" t="s">
        <v>106</v>
      </c>
      <c r="K52" s="317">
        <f>ROUND(M52/0.15,2)</f>
        <v>0</v>
      </c>
      <c r="L52" s="318">
        <f>ROUND(N52/0.15,0)</f>
        <v>0</v>
      </c>
      <c r="M52" s="319">
        <f t="shared" ref="M52:N52" si="179">Q52</f>
        <v>0</v>
      </c>
      <c r="N52" s="261">
        <f t="shared" si="179"/>
        <v>0</v>
      </c>
      <c r="O52" s="262">
        <v>122.32</v>
      </c>
      <c r="P52" s="263">
        <v>177119.0</v>
      </c>
      <c r="Q52" s="260">
        <f t="shared" ref="Q52:R52" si="180">M50-O52</f>
        <v>0</v>
      </c>
      <c r="R52" s="261">
        <f t="shared" si="180"/>
        <v>0</v>
      </c>
      <c r="S52" s="264">
        <v>1448.0</v>
      </c>
      <c r="T52" s="265">
        <v>15.0</v>
      </c>
      <c r="U52" s="266" t="s">
        <v>107</v>
      </c>
      <c r="V52" s="266" t="s">
        <v>995</v>
      </c>
      <c r="W52" s="320">
        <v>1.3775</v>
      </c>
      <c r="X52" s="320">
        <v>0.0</v>
      </c>
      <c r="Y52" s="320">
        <v>1.3775</v>
      </c>
      <c r="Z52" s="321">
        <f>Z50</f>
        <v>592</v>
      </c>
      <c r="AA52" s="311"/>
      <c r="AB52" s="322"/>
      <c r="AC52" s="323">
        <f>IFERROR(ROUND(Z52*X52,2),0)</f>
        <v>0</v>
      </c>
      <c r="AD52" s="318">
        <f t="shared" si="174"/>
        <v>0</v>
      </c>
      <c r="AE52" s="324">
        <f t="shared" si="175"/>
        <v>815.48</v>
      </c>
      <c r="AF52" s="261">
        <f t="shared" si="176"/>
        <v>1180815</v>
      </c>
      <c r="AG52" s="311"/>
      <c r="AH52" s="311"/>
      <c r="AI52" s="325">
        <f>ROUND(AC52*0.15,2)</f>
        <v>0</v>
      </c>
      <c r="AJ52" s="261">
        <f>ROUND(AD52*0.15,0)</f>
        <v>0</v>
      </c>
      <c r="AK52" s="325">
        <f>ROUND(AE52*0.15,2)</f>
        <v>122.32</v>
      </c>
      <c r="AL52" s="261">
        <f>ROUND(AF52*0.15,0)</f>
        <v>177122</v>
      </c>
      <c r="AM52" s="326">
        <f>IFERROR(AC52/K52,IFERROR(AK52/O52,""))</f>
        <v>1</v>
      </c>
      <c r="AN52" s="313"/>
    </row>
    <row r="53" ht="12.75" customHeight="1">
      <c r="A53" s="267" t="s">
        <v>501</v>
      </c>
      <c r="B53" s="268" t="s">
        <v>118</v>
      </c>
      <c r="C53" s="269" t="s">
        <v>119</v>
      </c>
      <c r="D53" s="269" t="s">
        <v>152</v>
      </c>
      <c r="E53" s="270"/>
      <c r="F53" s="270"/>
      <c r="G53" s="269" t="s">
        <v>148</v>
      </c>
      <c r="H53" s="269" t="s">
        <v>996</v>
      </c>
      <c r="I53" s="270" t="s">
        <v>105</v>
      </c>
      <c r="J53" s="354" t="s">
        <v>150</v>
      </c>
      <c r="K53" s="355">
        <v>0.0</v>
      </c>
      <c r="L53" s="356">
        <v>0.0</v>
      </c>
      <c r="M53" s="357">
        <v>0.0</v>
      </c>
      <c r="N53" s="272">
        <v>0.0</v>
      </c>
      <c r="O53" s="271">
        <v>0.0</v>
      </c>
      <c r="P53" s="272">
        <v>0.0</v>
      </c>
      <c r="Q53" s="273">
        <f t="shared" ref="Q53:R53" si="181">M53-O53</f>
        <v>0</v>
      </c>
      <c r="R53" s="274">
        <f t="shared" si="181"/>
        <v>0</v>
      </c>
      <c r="S53" s="275">
        <v>1.0</v>
      </c>
      <c r="T53" s="276">
        <v>0.0</v>
      </c>
      <c r="U53" s="277" t="s">
        <v>151</v>
      </c>
      <c r="V53" s="277"/>
      <c r="W53" s="358"/>
      <c r="X53" s="358"/>
      <c r="Y53" s="358"/>
      <c r="Z53" s="358"/>
      <c r="AA53" s="358"/>
      <c r="AB53" s="359"/>
      <c r="AC53" s="360">
        <f t="shared" ref="AC53:AD53" si="182">K53</f>
        <v>0</v>
      </c>
      <c r="AD53" s="361">
        <f t="shared" si="182"/>
        <v>0</v>
      </c>
      <c r="AE53" s="362"/>
      <c r="AF53" s="358"/>
      <c r="AG53" s="358"/>
      <c r="AH53" s="358"/>
      <c r="AI53" s="363">
        <f t="shared" ref="AI53:AJ53" si="183">Q53</f>
        <v>0</v>
      </c>
      <c r="AJ53" s="364">
        <f t="shared" si="183"/>
        <v>0</v>
      </c>
      <c r="AK53" s="358"/>
      <c r="AL53" s="358"/>
      <c r="AM53" s="365"/>
      <c r="AN53" s="366"/>
    </row>
    <row r="54" ht="12.75" customHeight="1">
      <c r="A54" s="245" t="s">
        <v>503</v>
      </c>
      <c r="B54" s="246" t="s">
        <v>118</v>
      </c>
      <c r="C54" s="247" t="s">
        <v>119</v>
      </c>
      <c r="D54" s="247" t="s">
        <v>155</v>
      </c>
      <c r="E54" s="247" t="s">
        <v>156</v>
      </c>
      <c r="F54" s="248"/>
      <c r="G54" s="247" t="s">
        <v>139</v>
      </c>
      <c r="H54" s="247" t="s">
        <v>157</v>
      </c>
      <c r="I54" s="248" t="s">
        <v>105</v>
      </c>
      <c r="J54" s="300" t="s">
        <v>106</v>
      </c>
      <c r="K54" s="301">
        <v>375.21</v>
      </c>
      <c r="L54" s="302">
        <v>550395.0</v>
      </c>
      <c r="M54" s="303">
        <v>56.28</v>
      </c>
      <c r="N54" s="250">
        <v>82557.0</v>
      </c>
      <c r="O54" s="249">
        <v>0.0</v>
      </c>
      <c r="P54" s="250">
        <v>0.0</v>
      </c>
      <c r="Q54" s="251">
        <f t="shared" ref="Q54:R54" si="184">M54-O54</f>
        <v>56.28</v>
      </c>
      <c r="R54" s="252">
        <f t="shared" si="184"/>
        <v>82557</v>
      </c>
      <c r="S54" s="253">
        <v>1466.9</v>
      </c>
      <c r="T54" s="254">
        <v>15.0</v>
      </c>
      <c r="U54" s="255" t="s">
        <v>107</v>
      </c>
      <c r="V54" s="255"/>
      <c r="W54" s="304">
        <v>0.4638</v>
      </c>
      <c r="X54" s="304">
        <v>0.125368</v>
      </c>
      <c r="Y54" s="304">
        <v>0.338432</v>
      </c>
      <c r="Z54" s="305">
        <f>IFERROR(ROUND(K54/W54,0),0)</f>
        <v>809</v>
      </c>
      <c r="AA54" s="306">
        <f t="shared" ref="AA54:AA55" si="186">Z54*W54</f>
        <v>375.2142</v>
      </c>
      <c r="AB54" s="307">
        <f t="shared" ref="AB54:AB55" si="187">ROUND(AA54*S54,0)</f>
        <v>550402</v>
      </c>
      <c r="AC54" s="308">
        <f t="shared" ref="AC54:AC55" si="188">AA54</f>
        <v>375.2142</v>
      </c>
      <c r="AD54" s="309">
        <f t="shared" ref="AD54:AD62" si="189">ROUND(AC54*S54,0)</f>
        <v>550402</v>
      </c>
      <c r="AE54" s="310">
        <f t="shared" ref="AE54:AE62" si="190">IFERROR(ROUND(Z54*Y54,2),0)</f>
        <v>273.79</v>
      </c>
      <c r="AF54" s="252">
        <f t="shared" ref="AF54:AF62" si="191">ROUND(AE54*S54,0)</f>
        <v>401623</v>
      </c>
      <c r="AG54" s="306">
        <f t="shared" ref="AG54:AG55" si="192">ROUND(AC54*0.15,2)</f>
        <v>56.28</v>
      </c>
      <c r="AH54" s="252">
        <f t="shared" ref="AH54:AH55" si="193">ROUND(AD54*0.15,0)</f>
        <v>82560</v>
      </c>
      <c r="AI54" s="311"/>
      <c r="AJ54" s="311"/>
      <c r="AK54" s="311"/>
      <c r="AL54" s="311"/>
      <c r="AM54" s="312"/>
      <c r="AN54" s="313"/>
    </row>
    <row r="55" ht="12.75" customHeight="1">
      <c r="A55" s="245" t="s">
        <v>504</v>
      </c>
      <c r="B55" s="246" t="s">
        <v>118</v>
      </c>
      <c r="C55" s="247" t="s">
        <v>119</v>
      </c>
      <c r="D55" s="247" t="s">
        <v>155</v>
      </c>
      <c r="E55" s="247" t="s">
        <v>156</v>
      </c>
      <c r="F55" s="248"/>
      <c r="G55" s="247" t="s">
        <v>139</v>
      </c>
      <c r="H55" s="247" t="s">
        <v>157</v>
      </c>
      <c r="I55" s="248" t="s">
        <v>105</v>
      </c>
      <c r="J55" s="300" t="s">
        <v>106</v>
      </c>
      <c r="K55" s="314">
        <f t="shared" ref="K55:R55" si="185">-K54</f>
        <v>-375.21</v>
      </c>
      <c r="L55" s="309">
        <f t="shared" si="185"/>
        <v>-550395</v>
      </c>
      <c r="M55" s="315">
        <f t="shared" si="185"/>
        <v>-56.28</v>
      </c>
      <c r="N55" s="252">
        <f t="shared" si="185"/>
        <v>-82557</v>
      </c>
      <c r="O55" s="251">
        <f t="shared" si="185"/>
        <v>0</v>
      </c>
      <c r="P55" s="252">
        <f t="shared" si="185"/>
        <v>0</v>
      </c>
      <c r="Q55" s="251">
        <f t="shared" si="185"/>
        <v>-56.28</v>
      </c>
      <c r="R55" s="252">
        <f t="shared" si="185"/>
        <v>-82557</v>
      </c>
      <c r="S55" s="253">
        <v>1466.9</v>
      </c>
      <c r="T55" s="254">
        <v>15.0</v>
      </c>
      <c r="U55" s="255" t="s">
        <v>107</v>
      </c>
      <c r="V55" s="255"/>
      <c r="W55" s="304">
        <v>0.4638</v>
      </c>
      <c r="X55" s="304">
        <v>0.125368</v>
      </c>
      <c r="Y55" s="304">
        <v>0.338432</v>
      </c>
      <c r="Z55" s="305">
        <f>-Z54</f>
        <v>-809</v>
      </c>
      <c r="AA55" s="306">
        <f t="shared" si="186"/>
        <v>-375.2142</v>
      </c>
      <c r="AB55" s="307">
        <f t="shared" si="187"/>
        <v>-550402</v>
      </c>
      <c r="AC55" s="308">
        <f t="shared" si="188"/>
        <v>-375.2142</v>
      </c>
      <c r="AD55" s="309">
        <f t="shared" si="189"/>
        <v>-550402</v>
      </c>
      <c r="AE55" s="310">
        <f t="shared" si="190"/>
        <v>-273.79</v>
      </c>
      <c r="AF55" s="252">
        <f t="shared" si="191"/>
        <v>-401623</v>
      </c>
      <c r="AG55" s="306">
        <f t="shared" si="192"/>
        <v>-56.28</v>
      </c>
      <c r="AH55" s="252">
        <f t="shared" si="193"/>
        <v>-82560</v>
      </c>
      <c r="AI55" s="311"/>
      <c r="AJ55" s="311"/>
      <c r="AK55" s="311"/>
      <c r="AL55" s="311"/>
      <c r="AM55" s="312"/>
      <c r="AN55" s="313"/>
    </row>
    <row r="56" ht="12.75" customHeight="1">
      <c r="A56" s="256" t="s">
        <v>505</v>
      </c>
      <c r="B56" s="257" t="s">
        <v>118</v>
      </c>
      <c r="C56" s="258" t="s">
        <v>119</v>
      </c>
      <c r="D56" s="258" t="s">
        <v>155</v>
      </c>
      <c r="E56" s="258" t="s">
        <v>156</v>
      </c>
      <c r="F56" s="259"/>
      <c r="G56" s="258" t="s">
        <v>139</v>
      </c>
      <c r="H56" s="258" t="s">
        <v>157</v>
      </c>
      <c r="I56" s="259" t="s">
        <v>105</v>
      </c>
      <c r="J56" s="316" t="s">
        <v>106</v>
      </c>
      <c r="K56" s="317">
        <f>ROUND(M56/0.15,2)</f>
        <v>101.4</v>
      </c>
      <c r="L56" s="318">
        <f>ROUND(N56/0.15,0)</f>
        <v>148740</v>
      </c>
      <c r="M56" s="319">
        <f t="shared" ref="M56:N56" si="194">Q56</f>
        <v>15.21</v>
      </c>
      <c r="N56" s="261">
        <f t="shared" si="194"/>
        <v>22311</v>
      </c>
      <c r="O56" s="262">
        <v>41.07</v>
      </c>
      <c r="P56" s="263">
        <v>60246.0</v>
      </c>
      <c r="Q56" s="260">
        <f t="shared" ref="Q56:R56" si="195">M54-O56</f>
        <v>15.21</v>
      </c>
      <c r="R56" s="261">
        <f t="shared" si="195"/>
        <v>22311</v>
      </c>
      <c r="S56" s="264">
        <v>1466.9</v>
      </c>
      <c r="T56" s="265">
        <v>15.0</v>
      </c>
      <c r="U56" s="266" t="s">
        <v>107</v>
      </c>
      <c r="V56" s="266" t="s">
        <v>997</v>
      </c>
      <c r="W56" s="320">
        <v>0.4638</v>
      </c>
      <c r="X56" s="320">
        <v>0.125368</v>
      </c>
      <c r="Y56" s="320">
        <v>0.338432</v>
      </c>
      <c r="Z56" s="321">
        <f>Z54</f>
        <v>809</v>
      </c>
      <c r="AA56" s="311"/>
      <c r="AB56" s="322"/>
      <c r="AC56" s="323">
        <f>IFERROR(ROUND(Z56*X56,2),0)</f>
        <v>101.42</v>
      </c>
      <c r="AD56" s="318">
        <f t="shared" si="189"/>
        <v>148773</v>
      </c>
      <c r="AE56" s="324">
        <f t="shared" si="190"/>
        <v>273.79</v>
      </c>
      <c r="AF56" s="261">
        <f t="shared" si="191"/>
        <v>401623</v>
      </c>
      <c r="AG56" s="311"/>
      <c r="AH56" s="311"/>
      <c r="AI56" s="325">
        <f>ROUND(AC56*0.15,2)</f>
        <v>15.21</v>
      </c>
      <c r="AJ56" s="261">
        <f>ROUND(AD56*0.15,0)</f>
        <v>22316</v>
      </c>
      <c r="AK56" s="325">
        <f>ROUND(AE56*0.15,2)</f>
        <v>41.07</v>
      </c>
      <c r="AL56" s="261">
        <f>ROUND(AF56*0.15,0)</f>
        <v>60243</v>
      </c>
      <c r="AM56" s="326">
        <f>IFERROR(AC56/K56,IFERROR(AK56/O56,""))</f>
        <v>1.000197239</v>
      </c>
      <c r="AN56" s="313"/>
    </row>
    <row r="57" ht="12.75" customHeight="1">
      <c r="A57" s="245" t="s">
        <v>507</v>
      </c>
      <c r="B57" s="246" t="s">
        <v>118</v>
      </c>
      <c r="C57" s="247" t="s">
        <v>119</v>
      </c>
      <c r="D57" s="247" t="s">
        <v>158</v>
      </c>
      <c r="E57" s="247" t="s">
        <v>159</v>
      </c>
      <c r="F57" s="248"/>
      <c r="G57" s="247" t="s">
        <v>143</v>
      </c>
      <c r="H57" s="247" t="s">
        <v>160</v>
      </c>
      <c r="I57" s="248" t="s">
        <v>105</v>
      </c>
      <c r="J57" s="300" t="s">
        <v>106</v>
      </c>
      <c r="K57" s="301">
        <v>23.13</v>
      </c>
      <c r="L57" s="302">
        <v>33920.0</v>
      </c>
      <c r="M57" s="303">
        <v>3.47</v>
      </c>
      <c r="N57" s="250">
        <v>5088.0</v>
      </c>
      <c r="O57" s="249">
        <v>0.0</v>
      </c>
      <c r="P57" s="250">
        <v>0.0</v>
      </c>
      <c r="Q57" s="251">
        <f t="shared" ref="Q57:R57" si="196">M57-O57</f>
        <v>3.47</v>
      </c>
      <c r="R57" s="252">
        <f t="shared" si="196"/>
        <v>5088</v>
      </c>
      <c r="S57" s="253">
        <v>1466.5</v>
      </c>
      <c r="T57" s="254">
        <v>15.0</v>
      </c>
      <c r="U57" s="255" t="s">
        <v>107</v>
      </c>
      <c r="V57" s="255"/>
      <c r="W57" s="304">
        <v>0.5506</v>
      </c>
      <c r="X57" s="304">
        <v>0.202896</v>
      </c>
      <c r="Y57" s="304">
        <v>0.347704</v>
      </c>
      <c r="Z57" s="305">
        <f>IFERROR(ROUND(K57/W57,0),0)</f>
        <v>42</v>
      </c>
      <c r="AA57" s="306">
        <f t="shared" ref="AA57:AA58" si="198">Z57*W57</f>
        <v>23.1252</v>
      </c>
      <c r="AB57" s="307">
        <f t="shared" ref="AB57:AB58" si="199">ROUND(AA57*S57,0)</f>
        <v>33913</v>
      </c>
      <c r="AC57" s="308">
        <f t="shared" ref="AC57:AC58" si="200">AA57</f>
        <v>23.1252</v>
      </c>
      <c r="AD57" s="309">
        <f t="shared" si="189"/>
        <v>33913</v>
      </c>
      <c r="AE57" s="310">
        <f t="shared" si="190"/>
        <v>14.6</v>
      </c>
      <c r="AF57" s="252">
        <f t="shared" si="191"/>
        <v>21411</v>
      </c>
      <c r="AG57" s="306">
        <f t="shared" ref="AG57:AG58" si="201">ROUND(AC57*0.15,2)</f>
        <v>3.47</v>
      </c>
      <c r="AH57" s="252">
        <f t="shared" ref="AH57:AH58" si="202">ROUND(AD57*0.15,0)</f>
        <v>5087</v>
      </c>
      <c r="AI57" s="311"/>
      <c r="AJ57" s="311"/>
      <c r="AK57" s="311"/>
      <c r="AL57" s="311"/>
      <c r="AM57" s="312"/>
      <c r="AN57" s="313"/>
    </row>
    <row r="58" ht="12.75" customHeight="1">
      <c r="A58" s="245" t="s">
        <v>508</v>
      </c>
      <c r="B58" s="246" t="s">
        <v>118</v>
      </c>
      <c r="C58" s="247" t="s">
        <v>119</v>
      </c>
      <c r="D58" s="247" t="s">
        <v>158</v>
      </c>
      <c r="E58" s="247" t="s">
        <v>159</v>
      </c>
      <c r="F58" s="248"/>
      <c r="G58" s="247" t="s">
        <v>143</v>
      </c>
      <c r="H58" s="247" t="s">
        <v>160</v>
      </c>
      <c r="I58" s="248" t="s">
        <v>105</v>
      </c>
      <c r="J58" s="300" t="s">
        <v>106</v>
      </c>
      <c r="K58" s="314">
        <f t="shared" ref="K58:R58" si="197">-K57</f>
        <v>-23.13</v>
      </c>
      <c r="L58" s="309">
        <f t="shared" si="197"/>
        <v>-33920</v>
      </c>
      <c r="M58" s="315">
        <f t="shared" si="197"/>
        <v>-3.47</v>
      </c>
      <c r="N58" s="252">
        <f t="shared" si="197"/>
        <v>-5088</v>
      </c>
      <c r="O58" s="251">
        <f t="shared" si="197"/>
        <v>0</v>
      </c>
      <c r="P58" s="252">
        <f t="shared" si="197"/>
        <v>0</v>
      </c>
      <c r="Q58" s="251">
        <f t="shared" si="197"/>
        <v>-3.47</v>
      </c>
      <c r="R58" s="252">
        <f t="shared" si="197"/>
        <v>-5088</v>
      </c>
      <c r="S58" s="253">
        <v>1466.5</v>
      </c>
      <c r="T58" s="254">
        <v>15.0</v>
      </c>
      <c r="U58" s="255" t="s">
        <v>107</v>
      </c>
      <c r="V58" s="255"/>
      <c r="W58" s="304">
        <v>0.5506</v>
      </c>
      <c r="X58" s="304">
        <v>0.202896</v>
      </c>
      <c r="Y58" s="304">
        <v>0.347704</v>
      </c>
      <c r="Z58" s="305">
        <f>-Z57</f>
        <v>-42</v>
      </c>
      <c r="AA58" s="306">
        <f t="shared" si="198"/>
        <v>-23.1252</v>
      </c>
      <c r="AB58" s="307">
        <f t="shared" si="199"/>
        <v>-33913</v>
      </c>
      <c r="AC58" s="308">
        <f t="shared" si="200"/>
        <v>-23.1252</v>
      </c>
      <c r="AD58" s="309">
        <f t="shared" si="189"/>
        <v>-33913</v>
      </c>
      <c r="AE58" s="310">
        <f t="shared" si="190"/>
        <v>-14.6</v>
      </c>
      <c r="AF58" s="252">
        <f t="shared" si="191"/>
        <v>-21411</v>
      </c>
      <c r="AG58" s="306">
        <f t="shared" si="201"/>
        <v>-3.47</v>
      </c>
      <c r="AH58" s="252">
        <f t="shared" si="202"/>
        <v>-5087</v>
      </c>
      <c r="AI58" s="311"/>
      <c r="AJ58" s="311"/>
      <c r="AK58" s="311"/>
      <c r="AL58" s="311"/>
      <c r="AM58" s="312"/>
      <c r="AN58" s="313"/>
    </row>
    <row r="59" ht="12.75" customHeight="1">
      <c r="A59" s="256" t="s">
        <v>509</v>
      </c>
      <c r="B59" s="257" t="s">
        <v>118</v>
      </c>
      <c r="C59" s="258" t="s">
        <v>119</v>
      </c>
      <c r="D59" s="258" t="s">
        <v>158</v>
      </c>
      <c r="E59" s="258" t="s">
        <v>159</v>
      </c>
      <c r="F59" s="259"/>
      <c r="G59" s="258" t="s">
        <v>143</v>
      </c>
      <c r="H59" s="258" t="s">
        <v>160</v>
      </c>
      <c r="I59" s="259" t="s">
        <v>105</v>
      </c>
      <c r="J59" s="316" t="s">
        <v>106</v>
      </c>
      <c r="K59" s="317">
        <f>ROUND(M59/0.15,2)</f>
        <v>8.47</v>
      </c>
      <c r="L59" s="318">
        <f>ROUND(N59/0.15,0)</f>
        <v>12413</v>
      </c>
      <c r="M59" s="319">
        <f t="shared" ref="M59:N59" si="203">Q59</f>
        <v>1.27</v>
      </c>
      <c r="N59" s="261">
        <f t="shared" si="203"/>
        <v>1862</v>
      </c>
      <c r="O59" s="262">
        <v>2.2</v>
      </c>
      <c r="P59" s="263">
        <v>3226.0</v>
      </c>
      <c r="Q59" s="260">
        <f t="shared" ref="Q59:R59" si="204">M57-O59</f>
        <v>1.27</v>
      </c>
      <c r="R59" s="261">
        <f t="shared" si="204"/>
        <v>1862</v>
      </c>
      <c r="S59" s="264">
        <v>1466.5</v>
      </c>
      <c r="T59" s="265">
        <v>15.0</v>
      </c>
      <c r="U59" s="266" t="s">
        <v>107</v>
      </c>
      <c r="V59" s="266" t="s">
        <v>998</v>
      </c>
      <c r="W59" s="320">
        <v>0.5506</v>
      </c>
      <c r="X59" s="320">
        <v>0.202896</v>
      </c>
      <c r="Y59" s="320">
        <v>0.347704</v>
      </c>
      <c r="Z59" s="321">
        <f>Z57</f>
        <v>42</v>
      </c>
      <c r="AA59" s="311"/>
      <c r="AB59" s="322"/>
      <c r="AC59" s="323">
        <f>IFERROR(ROUND(Z59*X59,2),0)</f>
        <v>8.52</v>
      </c>
      <c r="AD59" s="318">
        <f t="shared" si="189"/>
        <v>12495</v>
      </c>
      <c r="AE59" s="324">
        <f t="shared" si="190"/>
        <v>14.6</v>
      </c>
      <c r="AF59" s="261">
        <f t="shared" si="191"/>
        <v>21411</v>
      </c>
      <c r="AG59" s="311"/>
      <c r="AH59" s="311"/>
      <c r="AI59" s="325">
        <f>ROUND(AC59*0.15,2)</f>
        <v>1.28</v>
      </c>
      <c r="AJ59" s="261">
        <f>ROUND(AD59*0.15,0)</f>
        <v>1874</v>
      </c>
      <c r="AK59" s="325">
        <f>ROUND(AE59*0.15,2)</f>
        <v>2.19</v>
      </c>
      <c r="AL59" s="261">
        <f>ROUND(AF59*0.15,0)</f>
        <v>3212</v>
      </c>
      <c r="AM59" s="326">
        <f>IFERROR(AC59/K59,IFERROR(AK59/O59,""))</f>
        <v>1.005903188</v>
      </c>
      <c r="AN59" s="313"/>
    </row>
    <row r="60" ht="12.75" customHeight="1">
      <c r="A60" s="245" t="s">
        <v>511</v>
      </c>
      <c r="B60" s="246" t="s">
        <v>118</v>
      </c>
      <c r="C60" s="247" t="s">
        <v>119</v>
      </c>
      <c r="D60" s="247" t="s">
        <v>158</v>
      </c>
      <c r="E60" s="247" t="s">
        <v>159</v>
      </c>
      <c r="F60" s="248"/>
      <c r="G60" s="247" t="s">
        <v>127</v>
      </c>
      <c r="H60" s="247" t="s">
        <v>128</v>
      </c>
      <c r="I60" s="248" t="s">
        <v>105</v>
      </c>
      <c r="J60" s="300" t="s">
        <v>106</v>
      </c>
      <c r="K60" s="301">
        <v>37.8</v>
      </c>
      <c r="L60" s="302">
        <v>55433.0</v>
      </c>
      <c r="M60" s="303">
        <v>5.67</v>
      </c>
      <c r="N60" s="250">
        <v>8315.0</v>
      </c>
      <c r="O60" s="249">
        <v>0.0</v>
      </c>
      <c r="P60" s="250">
        <v>0.0</v>
      </c>
      <c r="Q60" s="251">
        <f t="shared" ref="Q60:R60" si="205">M60-O60</f>
        <v>5.67</v>
      </c>
      <c r="R60" s="252">
        <f t="shared" si="205"/>
        <v>8315</v>
      </c>
      <c r="S60" s="253">
        <v>1466.5</v>
      </c>
      <c r="T60" s="254">
        <v>15.0</v>
      </c>
      <c r="U60" s="255" t="s">
        <v>107</v>
      </c>
      <c r="V60" s="255"/>
      <c r="W60" s="304">
        <v>0.7874</v>
      </c>
      <c r="X60" s="304">
        <v>0.372853</v>
      </c>
      <c r="Y60" s="304">
        <v>0.414547</v>
      </c>
      <c r="Z60" s="305">
        <f>IFERROR(ROUND(K60/W60,0),0)</f>
        <v>48</v>
      </c>
      <c r="AA60" s="306">
        <f t="shared" ref="AA60:AA61" si="207">Z60*W60</f>
        <v>37.7952</v>
      </c>
      <c r="AB60" s="307">
        <f t="shared" ref="AB60:AB61" si="208">ROUND(AA60*S60,0)</f>
        <v>55427</v>
      </c>
      <c r="AC60" s="308">
        <f t="shared" ref="AC60:AC61" si="209">AA60</f>
        <v>37.7952</v>
      </c>
      <c r="AD60" s="309">
        <f t="shared" si="189"/>
        <v>55427</v>
      </c>
      <c r="AE60" s="310">
        <f t="shared" si="190"/>
        <v>19.9</v>
      </c>
      <c r="AF60" s="252">
        <f t="shared" si="191"/>
        <v>29183</v>
      </c>
      <c r="AG60" s="306">
        <f t="shared" ref="AG60:AG61" si="210">ROUND(AC60*0.15,2)</f>
        <v>5.67</v>
      </c>
      <c r="AH60" s="252">
        <f t="shared" ref="AH60:AH61" si="211">ROUND(AD60*0.15,0)</f>
        <v>8314</v>
      </c>
      <c r="AI60" s="311"/>
      <c r="AJ60" s="311"/>
      <c r="AK60" s="311"/>
      <c r="AL60" s="311"/>
      <c r="AM60" s="312"/>
      <c r="AN60" s="313"/>
    </row>
    <row r="61" ht="12.75" customHeight="1">
      <c r="A61" s="245" t="s">
        <v>512</v>
      </c>
      <c r="B61" s="246" t="s">
        <v>118</v>
      </c>
      <c r="C61" s="247" t="s">
        <v>119</v>
      </c>
      <c r="D61" s="247" t="s">
        <v>158</v>
      </c>
      <c r="E61" s="247" t="s">
        <v>159</v>
      </c>
      <c r="F61" s="248"/>
      <c r="G61" s="247" t="s">
        <v>127</v>
      </c>
      <c r="H61" s="247" t="s">
        <v>128</v>
      </c>
      <c r="I61" s="248" t="s">
        <v>105</v>
      </c>
      <c r="J61" s="300" t="s">
        <v>106</v>
      </c>
      <c r="K61" s="314">
        <f t="shared" ref="K61:R61" si="206">-K60</f>
        <v>-37.8</v>
      </c>
      <c r="L61" s="309">
        <f t="shared" si="206"/>
        <v>-55433</v>
      </c>
      <c r="M61" s="315">
        <f t="shared" si="206"/>
        <v>-5.67</v>
      </c>
      <c r="N61" s="252">
        <f t="shared" si="206"/>
        <v>-8315</v>
      </c>
      <c r="O61" s="251">
        <f t="shared" si="206"/>
        <v>0</v>
      </c>
      <c r="P61" s="252">
        <f t="shared" si="206"/>
        <v>0</v>
      </c>
      <c r="Q61" s="251">
        <f t="shared" si="206"/>
        <v>-5.67</v>
      </c>
      <c r="R61" s="252">
        <f t="shared" si="206"/>
        <v>-8315</v>
      </c>
      <c r="S61" s="253">
        <v>1466.5</v>
      </c>
      <c r="T61" s="254">
        <v>15.0</v>
      </c>
      <c r="U61" s="255" t="s">
        <v>107</v>
      </c>
      <c r="V61" s="255"/>
      <c r="W61" s="304">
        <v>0.7874</v>
      </c>
      <c r="X61" s="304">
        <v>0.372853</v>
      </c>
      <c r="Y61" s="304">
        <v>0.414547</v>
      </c>
      <c r="Z61" s="305">
        <f>-Z60</f>
        <v>-48</v>
      </c>
      <c r="AA61" s="306">
        <f t="shared" si="207"/>
        <v>-37.7952</v>
      </c>
      <c r="AB61" s="307">
        <f t="shared" si="208"/>
        <v>-55427</v>
      </c>
      <c r="AC61" s="308">
        <f t="shared" si="209"/>
        <v>-37.7952</v>
      </c>
      <c r="AD61" s="309">
        <f t="shared" si="189"/>
        <v>-55427</v>
      </c>
      <c r="AE61" s="310">
        <f t="shared" si="190"/>
        <v>-19.9</v>
      </c>
      <c r="AF61" s="252">
        <f t="shared" si="191"/>
        <v>-29183</v>
      </c>
      <c r="AG61" s="306">
        <f t="shared" si="210"/>
        <v>-5.67</v>
      </c>
      <c r="AH61" s="252">
        <f t="shared" si="211"/>
        <v>-8314</v>
      </c>
      <c r="AI61" s="311"/>
      <c r="AJ61" s="311"/>
      <c r="AK61" s="311"/>
      <c r="AL61" s="311"/>
      <c r="AM61" s="312"/>
      <c r="AN61" s="313"/>
    </row>
    <row r="62" ht="12.75" customHeight="1">
      <c r="A62" s="256" t="s">
        <v>513</v>
      </c>
      <c r="B62" s="257" t="s">
        <v>118</v>
      </c>
      <c r="C62" s="258" t="s">
        <v>119</v>
      </c>
      <c r="D62" s="258" t="s">
        <v>158</v>
      </c>
      <c r="E62" s="258" t="s">
        <v>159</v>
      </c>
      <c r="F62" s="259"/>
      <c r="G62" s="258" t="s">
        <v>127</v>
      </c>
      <c r="H62" s="258" t="s">
        <v>128</v>
      </c>
      <c r="I62" s="259" t="s">
        <v>105</v>
      </c>
      <c r="J62" s="316" t="s">
        <v>106</v>
      </c>
      <c r="K62" s="317">
        <f>ROUND(M62/0.15,2)</f>
        <v>17.93</v>
      </c>
      <c r="L62" s="318">
        <f>ROUND(N62/0.15,0)</f>
        <v>26300</v>
      </c>
      <c r="M62" s="319">
        <f t="shared" ref="M62:N62" si="212">Q62</f>
        <v>2.69</v>
      </c>
      <c r="N62" s="261">
        <f t="shared" si="212"/>
        <v>3945</v>
      </c>
      <c r="O62" s="262">
        <v>2.98</v>
      </c>
      <c r="P62" s="263">
        <v>4370.0</v>
      </c>
      <c r="Q62" s="260">
        <f t="shared" ref="Q62:R62" si="213">M60-O62</f>
        <v>2.69</v>
      </c>
      <c r="R62" s="261">
        <f t="shared" si="213"/>
        <v>3945</v>
      </c>
      <c r="S62" s="264">
        <v>1466.5</v>
      </c>
      <c r="T62" s="265">
        <v>15.0</v>
      </c>
      <c r="U62" s="266" t="s">
        <v>107</v>
      </c>
      <c r="V62" s="266" t="s">
        <v>999</v>
      </c>
      <c r="W62" s="320">
        <v>0.7874</v>
      </c>
      <c r="X62" s="320">
        <v>0.372853</v>
      </c>
      <c r="Y62" s="320">
        <v>0.414547</v>
      </c>
      <c r="Z62" s="321">
        <f>Z60</f>
        <v>48</v>
      </c>
      <c r="AA62" s="311"/>
      <c r="AB62" s="322"/>
      <c r="AC62" s="323">
        <f>IFERROR(ROUND(Z62*X62,2),0)</f>
        <v>17.9</v>
      </c>
      <c r="AD62" s="318">
        <f t="shared" si="189"/>
        <v>26250</v>
      </c>
      <c r="AE62" s="324">
        <f t="shared" si="190"/>
        <v>19.9</v>
      </c>
      <c r="AF62" s="261">
        <f t="shared" si="191"/>
        <v>29183</v>
      </c>
      <c r="AG62" s="311"/>
      <c r="AH62" s="311"/>
      <c r="AI62" s="325">
        <f>ROUND(AC62*0.15,2)</f>
        <v>2.69</v>
      </c>
      <c r="AJ62" s="261">
        <f>ROUND(AD62*0.15,0)</f>
        <v>3938</v>
      </c>
      <c r="AK62" s="325">
        <f>ROUND(AE62*0.15,2)</f>
        <v>2.99</v>
      </c>
      <c r="AL62" s="261">
        <f>ROUND(AF62*0.15,0)</f>
        <v>4377</v>
      </c>
      <c r="AM62" s="326">
        <f>IFERROR(AC62/K62,IFERROR(AK62/O62,""))</f>
        <v>0.9983268265</v>
      </c>
      <c r="AN62" s="313"/>
    </row>
    <row r="63" ht="12.75" customHeight="1">
      <c r="A63" s="267" t="s">
        <v>515</v>
      </c>
      <c r="B63" s="268" t="s">
        <v>118</v>
      </c>
      <c r="C63" s="269" t="s">
        <v>119</v>
      </c>
      <c r="D63" s="269" t="s">
        <v>161</v>
      </c>
      <c r="E63" s="270"/>
      <c r="F63" s="270"/>
      <c r="G63" s="269" t="s">
        <v>148</v>
      </c>
      <c r="H63" s="269" t="s">
        <v>1000</v>
      </c>
      <c r="I63" s="270" t="s">
        <v>105</v>
      </c>
      <c r="J63" s="354" t="s">
        <v>150</v>
      </c>
      <c r="K63" s="355">
        <v>0.0</v>
      </c>
      <c r="L63" s="356">
        <v>0.0</v>
      </c>
      <c r="M63" s="357">
        <v>0.0</v>
      </c>
      <c r="N63" s="272">
        <v>27.0</v>
      </c>
      <c r="O63" s="271">
        <v>0.0</v>
      </c>
      <c r="P63" s="272">
        <v>0.0</v>
      </c>
      <c r="Q63" s="273">
        <f t="shared" ref="Q63:R63" si="214">M63-O63</f>
        <v>0</v>
      </c>
      <c r="R63" s="274">
        <f t="shared" si="214"/>
        <v>27</v>
      </c>
      <c r="S63" s="275">
        <v>1.0</v>
      </c>
      <c r="T63" s="276">
        <v>0.0</v>
      </c>
      <c r="U63" s="277" t="s">
        <v>151</v>
      </c>
      <c r="V63" s="277"/>
      <c r="W63" s="358"/>
      <c r="X63" s="358"/>
      <c r="Y63" s="358"/>
      <c r="Z63" s="358"/>
      <c r="AA63" s="358"/>
      <c r="AB63" s="359"/>
      <c r="AC63" s="360">
        <f t="shared" ref="AC63:AD63" si="215">K63</f>
        <v>0</v>
      </c>
      <c r="AD63" s="361">
        <f t="shared" si="215"/>
        <v>0</v>
      </c>
      <c r="AE63" s="362"/>
      <c r="AF63" s="358"/>
      <c r="AG63" s="358"/>
      <c r="AH63" s="358"/>
      <c r="AI63" s="363">
        <f t="shared" ref="AI63:AJ63" si="216">Q63</f>
        <v>0</v>
      </c>
      <c r="AJ63" s="364">
        <f t="shared" si="216"/>
        <v>27</v>
      </c>
      <c r="AK63" s="358"/>
      <c r="AL63" s="358"/>
      <c r="AM63" s="365"/>
      <c r="AN63" s="366"/>
    </row>
    <row r="64" ht="12.75" customHeight="1">
      <c r="A64" s="267" t="s">
        <v>517</v>
      </c>
      <c r="B64" s="268" t="s">
        <v>118</v>
      </c>
      <c r="C64" s="269" t="s">
        <v>119</v>
      </c>
      <c r="D64" s="269" t="s">
        <v>163</v>
      </c>
      <c r="E64" s="270"/>
      <c r="F64" s="270"/>
      <c r="G64" s="269" t="s">
        <v>148</v>
      </c>
      <c r="H64" s="269" t="s">
        <v>1001</v>
      </c>
      <c r="I64" s="270" t="s">
        <v>105</v>
      </c>
      <c r="J64" s="354" t="s">
        <v>150</v>
      </c>
      <c r="K64" s="355">
        <v>0.0</v>
      </c>
      <c r="L64" s="356">
        <v>0.0</v>
      </c>
      <c r="M64" s="357">
        <v>0.0</v>
      </c>
      <c r="N64" s="272">
        <v>18.0</v>
      </c>
      <c r="O64" s="271">
        <v>0.0</v>
      </c>
      <c r="P64" s="272">
        <v>0.0</v>
      </c>
      <c r="Q64" s="273">
        <f t="shared" ref="Q64:R64" si="217">M64-O64</f>
        <v>0</v>
      </c>
      <c r="R64" s="274">
        <f t="shared" si="217"/>
        <v>18</v>
      </c>
      <c r="S64" s="275">
        <v>1.0</v>
      </c>
      <c r="T64" s="276">
        <v>0.0</v>
      </c>
      <c r="U64" s="277" t="s">
        <v>151</v>
      </c>
      <c r="V64" s="277"/>
      <c r="W64" s="358"/>
      <c r="X64" s="358"/>
      <c r="Y64" s="358"/>
      <c r="Z64" s="358"/>
      <c r="AA64" s="358"/>
      <c r="AB64" s="359"/>
      <c r="AC64" s="360">
        <f t="shared" ref="AC64:AD64" si="218">K64</f>
        <v>0</v>
      </c>
      <c r="AD64" s="361">
        <f t="shared" si="218"/>
        <v>0</v>
      </c>
      <c r="AE64" s="362"/>
      <c r="AF64" s="358"/>
      <c r="AG64" s="358"/>
      <c r="AH64" s="358"/>
      <c r="AI64" s="363">
        <f t="shared" ref="AI64:AJ64" si="219">Q64</f>
        <v>0</v>
      </c>
      <c r="AJ64" s="364">
        <f t="shared" si="219"/>
        <v>18</v>
      </c>
      <c r="AK64" s="358"/>
      <c r="AL64" s="358"/>
      <c r="AM64" s="365"/>
      <c r="AN64" s="366"/>
    </row>
    <row r="65" ht="12.75" customHeight="1">
      <c r="A65" s="245" t="s">
        <v>519</v>
      </c>
      <c r="B65" s="246" t="s">
        <v>118</v>
      </c>
      <c r="C65" s="247" t="s">
        <v>119</v>
      </c>
      <c r="D65" s="247" t="s">
        <v>165</v>
      </c>
      <c r="E65" s="247" t="s">
        <v>166</v>
      </c>
      <c r="F65" s="248"/>
      <c r="G65" s="247" t="s">
        <v>131</v>
      </c>
      <c r="H65" s="247" t="s">
        <v>167</v>
      </c>
      <c r="I65" s="248" t="s">
        <v>105</v>
      </c>
      <c r="J65" s="300" t="s">
        <v>106</v>
      </c>
      <c r="K65" s="301">
        <v>348.73</v>
      </c>
      <c r="L65" s="302">
        <v>511203.0</v>
      </c>
      <c r="M65" s="303">
        <v>52.31</v>
      </c>
      <c r="N65" s="250">
        <v>76681.0</v>
      </c>
      <c r="O65" s="249">
        <v>0.0</v>
      </c>
      <c r="P65" s="250">
        <v>0.0</v>
      </c>
      <c r="Q65" s="251">
        <f t="shared" ref="Q65:R65" si="220">M65-O65</f>
        <v>52.31</v>
      </c>
      <c r="R65" s="252">
        <f t="shared" si="220"/>
        <v>76681</v>
      </c>
      <c r="S65" s="253">
        <v>1465.9</v>
      </c>
      <c r="T65" s="254">
        <v>15.0</v>
      </c>
      <c r="U65" s="255" t="s">
        <v>107</v>
      </c>
      <c r="V65" s="255"/>
      <c r="W65" s="304">
        <v>0.4381</v>
      </c>
      <c r="X65" s="304">
        <v>0.012939</v>
      </c>
      <c r="Y65" s="304">
        <v>0.425161</v>
      </c>
      <c r="Z65" s="305">
        <f>IFERROR(ROUND(K65/W65,0),0)</f>
        <v>796</v>
      </c>
      <c r="AA65" s="306">
        <f t="shared" ref="AA65:AA66" si="222">Z65*W65</f>
        <v>348.7276</v>
      </c>
      <c r="AB65" s="307">
        <f t="shared" ref="AB65:AB66" si="223">ROUND(AA65*S65,0)</f>
        <v>511200</v>
      </c>
      <c r="AC65" s="308">
        <f t="shared" ref="AC65:AC66" si="224">AA65</f>
        <v>348.7276</v>
      </c>
      <c r="AD65" s="309">
        <f t="shared" ref="AD65:AD69" si="225">ROUND(AC65*S65,0)</f>
        <v>511200</v>
      </c>
      <c r="AE65" s="310">
        <f t="shared" ref="AE65:AE69" si="226">IFERROR(ROUND(Z65*Y65,2),0)</f>
        <v>338.43</v>
      </c>
      <c r="AF65" s="252">
        <f t="shared" ref="AF65:AF69" si="227">ROUND(AE65*S65,0)</f>
        <v>496105</v>
      </c>
      <c r="AG65" s="306">
        <f t="shared" ref="AG65:AG66" si="228">ROUND(AC65*0.15,2)</f>
        <v>52.31</v>
      </c>
      <c r="AH65" s="252">
        <f t="shared" ref="AH65:AH66" si="229">ROUND(AD65*0.15,0)</f>
        <v>76680</v>
      </c>
      <c r="AI65" s="311"/>
      <c r="AJ65" s="311"/>
      <c r="AK65" s="311"/>
      <c r="AL65" s="311"/>
      <c r="AM65" s="312"/>
      <c r="AN65" s="313"/>
    </row>
    <row r="66" ht="12.75" customHeight="1">
      <c r="A66" s="245" t="s">
        <v>520</v>
      </c>
      <c r="B66" s="246" t="s">
        <v>118</v>
      </c>
      <c r="C66" s="247" t="s">
        <v>119</v>
      </c>
      <c r="D66" s="247" t="s">
        <v>165</v>
      </c>
      <c r="E66" s="247" t="s">
        <v>166</v>
      </c>
      <c r="F66" s="248"/>
      <c r="G66" s="247" t="s">
        <v>131</v>
      </c>
      <c r="H66" s="247" t="s">
        <v>167</v>
      </c>
      <c r="I66" s="248" t="s">
        <v>105</v>
      </c>
      <c r="J66" s="300" t="s">
        <v>106</v>
      </c>
      <c r="K66" s="314">
        <f t="shared" ref="K66:R66" si="221">-K65</f>
        <v>-348.73</v>
      </c>
      <c r="L66" s="309">
        <f t="shared" si="221"/>
        <v>-511203</v>
      </c>
      <c r="M66" s="315">
        <f t="shared" si="221"/>
        <v>-52.31</v>
      </c>
      <c r="N66" s="252">
        <f t="shared" si="221"/>
        <v>-76681</v>
      </c>
      <c r="O66" s="251">
        <f t="shared" si="221"/>
        <v>0</v>
      </c>
      <c r="P66" s="252">
        <f t="shared" si="221"/>
        <v>0</v>
      </c>
      <c r="Q66" s="251">
        <f t="shared" si="221"/>
        <v>-52.31</v>
      </c>
      <c r="R66" s="252">
        <f t="shared" si="221"/>
        <v>-76681</v>
      </c>
      <c r="S66" s="253">
        <v>1465.9</v>
      </c>
      <c r="T66" s="254">
        <v>15.0</v>
      </c>
      <c r="U66" s="255" t="s">
        <v>107</v>
      </c>
      <c r="V66" s="255"/>
      <c r="W66" s="304">
        <v>0.4381</v>
      </c>
      <c r="X66" s="304">
        <v>0.012939</v>
      </c>
      <c r="Y66" s="304">
        <v>0.425161</v>
      </c>
      <c r="Z66" s="305">
        <f>-Z65</f>
        <v>-796</v>
      </c>
      <c r="AA66" s="306">
        <f t="shared" si="222"/>
        <v>-348.7276</v>
      </c>
      <c r="AB66" s="307">
        <f t="shared" si="223"/>
        <v>-511200</v>
      </c>
      <c r="AC66" s="308">
        <f t="shared" si="224"/>
        <v>-348.7276</v>
      </c>
      <c r="AD66" s="309">
        <f t="shared" si="225"/>
        <v>-511200</v>
      </c>
      <c r="AE66" s="310">
        <f t="shared" si="226"/>
        <v>-338.43</v>
      </c>
      <c r="AF66" s="252">
        <f t="shared" si="227"/>
        <v>-496105</v>
      </c>
      <c r="AG66" s="306">
        <f t="shared" si="228"/>
        <v>-52.31</v>
      </c>
      <c r="AH66" s="252">
        <f t="shared" si="229"/>
        <v>-76680</v>
      </c>
      <c r="AI66" s="311"/>
      <c r="AJ66" s="311"/>
      <c r="AK66" s="311"/>
      <c r="AL66" s="311"/>
      <c r="AM66" s="312"/>
      <c r="AN66" s="313"/>
    </row>
    <row r="67" ht="12.75" customHeight="1">
      <c r="A67" s="256" t="s">
        <v>521</v>
      </c>
      <c r="B67" s="257" t="s">
        <v>118</v>
      </c>
      <c r="C67" s="258" t="s">
        <v>119</v>
      </c>
      <c r="D67" s="258" t="s">
        <v>165</v>
      </c>
      <c r="E67" s="258" t="s">
        <v>166</v>
      </c>
      <c r="F67" s="259"/>
      <c r="G67" s="258" t="s">
        <v>131</v>
      </c>
      <c r="H67" s="258" t="s">
        <v>167</v>
      </c>
      <c r="I67" s="259" t="s">
        <v>105</v>
      </c>
      <c r="J67" s="316" t="s">
        <v>106</v>
      </c>
      <c r="K67" s="317">
        <f>ROUND(M67/0.15,2)</f>
        <v>10.27</v>
      </c>
      <c r="L67" s="318">
        <f>ROUND(N67/0.15,0)</f>
        <v>15047</v>
      </c>
      <c r="M67" s="319">
        <f t="shared" ref="M67:N67" si="230">Q67</f>
        <v>1.54</v>
      </c>
      <c r="N67" s="261">
        <f t="shared" si="230"/>
        <v>2257</v>
      </c>
      <c r="O67" s="262">
        <v>50.77</v>
      </c>
      <c r="P67" s="263">
        <v>74424.0</v>
      </c>
      <c r="Q67" s="260">
        <f t="shared" ref="Q67:R67" si="231">M65-O67</f>
        <v>1.54</v>
      </c>
      <c r="R67" s="261">
        <f t="shared" si="231"/>
        <v>2257</v>
      </c>
      <c r="S67" s="264">
        <v>1465.9</v>
      </c>
      <c r="T67" s="265">
        <v>15.0</v>
      </c>
      <c r="U67" s="266" t="s">
        <v>107</v>
      </c>
      <c r="V67" s="266" t="s">
        <v>1002</v>
      </c>
      <c r="W67" s="320">
        <v>0.4381</v>
      </c>
      <c r="X67" s="320">
        <v>0.012939</v>
      </c>
      <c r="Y67" s="320">
        <v>0.425161</v>
      </c>
      <c r="Z67" s="321">
        <f>Z65</f>
        <v>796</v>
      </c>
      <c r="AA67" s="311"/>
      <c r="AB67" s="322"/>
      <c r="AC67" s="323">
        <f>IFERROR(ROUND(Z67*X67,2),0)</f>
        <v>10.3</v>
      </c>
      <c r="AD67" s="318">
        <f t="shared" si="225"/>
        <v>15099</v>
      </c>
      <c r="AE67" s="324">
        <f t="shared" si="226"/>
        <v>338.43</v>
      </c>
      <c r="AF67" s="261">
        <f t="shared" si="227"/>
        <v>496105</v>
      </c>
      <c r="AG67" s="311"/>
      <c r="AH67" s="311"/>
      <c r="AI67" s="325">
        <f>ROUND(AC67*0.15,2)</f>
        <v>1.55</v>
      </c>
      <c r="AJ67" s="261">
        <f>ROUND(AD67*0.15,0)</f>
        <v>2265</v>
      </c>
      <c r="AK67" s="325">
        <f>ROUND(AE67*0.15,2)</f>
        <v>50.76</v>
      </c>
      <c r="AL67" s="261">
        <f>ROUND(AF67*0.15,0)</f>
        <v>74416</v>
      </c>
      <c r="AM67" s="326">
        <f>IFERROR(AC67/K67,IFERROR(AK67/O67,""))</f>
        <v>1.00292113</v>
      </c>
      <c r="AN67" s="313"/>
    </row>
    <row r="68" ht="12.75" customHeight="1">
      <c r="A68" s="245" t="s">
        <v>523</v>
      </c>
      <c r="B68" s="246" t="s">
        <v>118</v>
      </c>
      <c r="C68" s="247" t="s">
        <v>119</v>
      </c>
      <c r="D68" s="247" t="s">
        <v>168</v>
      </c>
      <c r="E68" s="247" t="s">
        <v>169</v>
      </c>
      <c r="F68" s="248"/>
      <c r="G68" s="247" t="s">
        <v>116</v>
      </c>
      <c r="H68" s="247" t="s">
        <v>117</v>
      </c>
      <c r="I68" s="248" t="s">
        <v>105</v>
      </c>
      <c r="J68" s="300" t="s">
        <v>106</v>
      </c>
      <c r="K68" s="301">
        <v>244.04</v>
      </c>
      <c r="L68" s="302">
        <v>358787.0</v>
      </c>
      <c r="M68" s="303">
        <v>36.61</v>
      </c>
      <c r="N68" s="250">
        <v>53824.0</v>
      </c>
      <c r="O68" s="249">
        <v>0.0</v>
      </c>
      <c r="P68" s="250">
        <v>0.0</v>
      </c>
      <c r="Q68" s="251">
        <f t="shared" ref="Q68:R68" si="232">M68-O68</f>
        <v>36.61</v>
      </c>
      <c r="R68" s="252">
        <f t="shared" si="232"/>
        <v>53824</v>
      </c>
      <c r="S68" s="253">
        <v>1470.2</v>
      </c>
      <c r="T68" s="254">
        <v>15.0</v>
      </c>
      <c r="U68" s="255" t="s">
        <v>107</v>
      </c>
      <c r="V68" s="255"/>
      <c r="W68" s="304">
        <v>0.544737</v>
      </c>
      <c r="X68" s="304">
        <v>0.544737</v>
      </c>
      <c r="Y68" s="304">
        <v>0.0</v>
      </c>
      <c r="Z68" s="305">
        <f>IFERROR(ROUND(K68/W68,0),0)</f>
        <v>448</v>
      </c>
      <c r="AA68" s="306">
        <f t="shared" ref="AA68:AA69" si="234">Z68*W68</f>
        <v>244.042176</v>
      </c>
      <c r="AB68" s="307">
        <f t="shared" ref="AB68:AB69" si="235">ROUND(AA68*S68,0)</f>
        <v>358791</v>
      </c>
      <c r="AC68" s="308">
        <f t="shared" ref="AC68:AC69" si="236">AA68</f>
        <v>244.042176</v>
      </c>
      <c r="AD68" s="309">
        <f t="shared" si="225"/>
        <v>358791</v>
      </c>
      <c r="AE68" s="310">
        <f t="shared" si="226"/>
        <v>0</v>
      </c>
      <c r="AF68" s="252">
        <f t="shared" si="227"/>
        <v>0</v>
      </c>
      <c r="AG68" s="306">
        <f t="shared" ref="AG68:AG69" si="237">ROUND(AC68*0.15,2)</f>
        <v>36.61</v>
      </c>
      <c r="AH68" s="252">
        <f t="shared" ref="AH68:AH69" si="238">ROUND(AD68*0.15,0)</f>
        <v>53819</v>
      </c>
      <c r="AI68" s="311"/>
      <c r="AJ68" s="311"/>
      <c r="AK68" s="311"/>
      <c r="AL68" s="311"/>
      <c r="AM68" s="312"/>
      <c r="AN68" s="313"/>
    </row>
    <row r="69" ht="12.75" customHeight="1">
      <c r="A69" s="245" t="s">
        <v>524</v>
      </c>
      <c r="B69" s="246" t="s">
        <v>118</v>
      </c>
      <c r="C69" s="247" t="s">
        <v>119</v>
      </c>
      <c r="D69" s="247" t="s">
        <v>168</v>
      </c>
      <c r="E69" s="247" t="s">
        <v>169</v>
      </c>
      <c r="F69" s="248"/>
      <c r="G69" s="247" t="s">
        <v>116</v>
      </c>
      <c r="H69" s="247" t="s">
        <v>117</v>
      </c>
      <c r="I69" s="248" t="s">
        <v>105</v>
      </c>
      <c r="J69" s="300" t="s">
        <v>106</v>
      </c>
      <c r="K69" s="314">
        <f t="shared" ref="K69:R69" si="233">-K68</f>
        <v>-244.04</v>
      </c>
      <c r="L69" s="309">
        <f t="shared" si="233"/>
        <v>-358787</v>
      </c>
      <c r="M69" s="315">
        <f t="shared" si="233"/>
        <v>-36.61</v>
      </c>
      <c r="N69" s="252">
        <f t="shared" si="233"/>
        <v>-53824</v>
      </c>
      <c r="O69" s="251">
        <f t="shared" si="233"/>
        <v>0</v>
      </c>
      <c r="P69" s="252">
        <f t="shared" si="233"/>
        <v>0</v>
      </c>
      <c r="Q69" s="251">
        <f t="shared" si="233"/>
        <v>-36.61</v>
      </c>
      <c r="R69" s="252">
        <f t="shared" si="233"/>
        <v>-53824</v>
      </c>
      <c r="S69" s="253">
        <v>1470.2</v>
      </c>
      <c r="T69" s="254">
        <v>15.0</v>
      </c>
      <c r="U69" s="255" t="s">
        <v>107</v>
      </c>
      <c r="V69" s="255"/>
      <c r="W69" s="304">
        <v>0.544737</v>
      </c>
      <c r="X69" s="304">
        <v>0.544737</v>
      </c>
      <c r="Y69" s="304">
        <v>0.0</v>
      </c>
      <c r="Z69" s="305">
        <f>-Z68</f>
        <v>-448</v>
      </c>
      <c r="AA69" s="306">
        <f t="shared" si="234"/>
        <v>-244.042176</v>
      </c>
      <c r="AB69" s="307">
        <f t="shared" si="235"/>
        <v>-358791</v>
      </c>
      <c r="AC69" s="308">
        <f t="shared" si="236"/>
        <v>-244.042176</v>
      </c>
      <c r="AD69" s="309">
        <f t="shared" si="225"/>
        <v>-358791</v>
      </c>
      <c r="AE69" s="310">
        <f t="shared" si="226"/>
        <v>0</v>
      </c>
      <c r="AF69" s="252">
        <f t="shared" si="227"/>
        <v>0</v>
      </c>
      <c r="AG69" s="306">
        <f t="shared" si="237"/>
        <v>-36.61</v>
      </c>
      <c r="AH69" s="252">
        <f t="shared" si="238"/>
        <v>-53819</v>
      </c>
      <c r="AI69" s="311"/>
      <c r="AJ69" s="311"/>
      <c r="AK69" s="311"/>
      <c r="AL69" s="311"/>
      <c r="AM69" s="312"/>
      <c r="AN69" s="313"/>
    </row>
    <row r="70" ht="12.75" customHeight="1">
      <c r="A70" s="327" t="s">
        <v>525</v>
      </c>
      <c r="B70" s="328" t="s">
        <v>118</v>
      </c>
      <c r="C70" s="329" t="s">
        <v>119</v>
      </c>
      <c r="D70" s="329" t="s">
        <v>168</v>
      </c>
      <c r="E70" s="329" t="s">
        <v>169</v>
      </c>
      <c r="F70" s="330"/>
      <c r="G70" s="329" t="s">
        <v>116</v>
      </c>
      <c r="H70" s="329" t="s">
        <v>117</v>
      </c>
      <c r="I70" s="330" t="s">
        <v>105</v>
      </c>
      <c r="J70" s="331" t="s">
        <v>106</v>
      </c>
      <c r="K70" s="332">
        <f>ROUND(M70/0.15,2)</f>
        <v>190.13</v>
      </c>
      <c r="L70" s="333">
        <f>ROUND(N70/0.15,0)</f>
        <v>279533</v>
      </c>
      <c r="M70" s="334">
        <f t="shared" ref="M70:N70" si="239">Q70</f>
        <v>28.52</v>
      </c>
      <c r="N70" s="335">
        <f t="shared" si="239"/>
        <v>41930</v>
      </c>
      <c r="O70" s="336">
        <v>8.09</v>
      </c>
      <c r="P70" s="337">
        <v>11894.0</v>
      </c>
      <c r="Q70" s="338">
        <f t="shared" ref="Q70:R70" si="240">M68-O70</f>
        <v>28.52</v>
      </c>
      <c r="R70" s="335">
        <f t="shared" si="240"/>
        <v>41930</v>
      </c>
      <c r="S70" s="339">
        <v>1470.2</v>
      </c>
      <c r="T70" s="340">
        <v>15.0</v>
      </c>
      <c r="U70" s="341" t="s">
        <v>107</v>
      </c>
      <c r="V70" s="341" t="s">
        <v>1003</v>
      </c>
      <c r="W70" s="342">
        <v>0.544737</v>
      </c>
      <c r="X70" s="342">
        <v>0.544737</v>
      </c>
      <c r="Y70" s="342">
        <v>0.0</v>
      </c>
      <c r="Z70" s="343">
        <f>Z68</f>
        <v>448</v>
      </c>
      <c r="AA70" s="344"/>
      <c r="AB70" s="345"/>
      <c r="AC70" s="346">
        <f t="shared" ref="AC70:AD70" si="241">K70</f>
        <v>190.13</v>
      </c>
      <c r="AD70" s="347">
        <f t="shared" si="241"/>
        <v>279533</v>
      </c>
      <c r="AE70" s="348">
        <f t="shared" ref="AE70:AF70" si="242">round(AK70/0.15,2)</f>
        <v>53.93</v>
      </c>
      <c r="AF70" s="348">
        <f t="shared" si="242"/>
        <v>79293.33</v>
      </c>
      <c r="AG70" s="349"/>
      <c r="AH70" s="349"/>
      <c r="AI70" s="350">
        <f>ROUND(AC70*0.15,2)</f>
        <v>28.52</v>
      </c>
      <c r="AJ70" s="351">
        <f>ROUND(AD70*0.15,0)</f>
        <v>41930</v>
      </c>
      <c r="AK70" s="350">
        <f t="shared" ref="AK70:AL70" si="243">O70</f>
        <v>8.09</v>
      </c>
      <c r="AL70" s="350">
        <f t="shared" si="243"/>
        <v>11894</v>
      </c>
      <c r="AM70" s="352">
        <f>IFERROR(AC70/K70,IFERROR(AK70/O70,""))</f>
        <v>1</v>
      </c>
      <c r="AN70" s="353" t="s">
        <v>983</v>
      </c>
    </row>
    <row r="71" ht="12.75" customHeight="1">
      <c r="A71" s="245" t="s">
        <v>527</v>
      </c>
      <c r="B71" s="246" t="s">
        <v>118</v>
      </c>
      <c r="C71" s="247" t="s">
        <v>119</v>
      </c>
      <c r="D71" s="247" t="s">
        <v>170</v>
      </c>
      <c r="E71" s="247" t="s">
        <v>171</v>
      </c>
      <c r="F71" s="248"/>
      <c r="G71" s="247" t="s">
        <v>135</v>
      </c>
      <c r="H71" s="247" t="s">
        <v>172</v>
      </c>
      <c r="I71" s="248" t="s">
        <v>105</v>
      </c>
      <c r="J71" s="300" t="s">
        <v>106</v>
      </c>
      <c r="K71" s="301">
        <v>790.67</v>
      </c>
      <c r="L71" s="302">
        <v>1128602.0</v>
      </c>
      <c r="M71" s="303">
        <v>118.6</v>
      </c>
      <c r="N71" s="250">
        <v>169289.0</v>
      </c>
      <c r="O71" s="249">
        <v>0.0</v>
      </c>
      <c r="P71" s="250">
        <v>0.0</v>
      </c>
      <c r="Q71" s="251">
        <f t="shared" ref="Q71:R71" si="244">M71-O71</f>
        <v>118.6</v>
      </c>
      <c r="R71" s="252">
        <f t="shared" si="244"/>
        <v>169289</v>
      </c>
      <c r="S71" s="253">
        <v>1427.4</v>
      </c>
      <c r="T71" s="254">
        <v>15.0</v>
      </c>
      <c r="U71" s="255" t="s">
        <v>107</v>
      </c>
      <c r="V71" s="255"/>
      <c r="W71" s="304">
        <v>1.3356</v>
      </c>
      <c r="X71" s="304">
        <v>0.0</v>
      </c>
      <c r="Y71" s="304">
        <v>1.3356</v>
      </c>
      <c r="Z71" s="305">
        <f>IFERROR(ROUND(K71/W71,0),0)</f>
        <v>592</v>
      </c>
      <c r="AA71" s="306">
        <f t="shared" ref="AA71:AA72" si="246">Z71*W71</f>
        <v>790.6752</v>
      </c>
      <c r="AB71" s="307">
        <f t="shared" ref="AB71:AB72" si="247">ROUND(AA71*S71,0)</f>
        <v>1128610</v>
      </c>
      <c r="AC71" s="308">
        <f t="shared" ref="AC71:AC72" si="248">AA71</f>
        <v>790.6752</v>
      </c>
      <c r="AD71" s="309">
        <f t="shared" ref="AD71:AD73" si="249">ROUND(AC71*S71,0)</f>
        <v>1128610</v>
      </c>
      <c r="AE71" s="310">
        <f t="shared" ref="AE71:AE73" si="250">IFERROR(ROUND(Z71*Y71,2),0)</f>
        <v>790.68</v>
      </c>
      <c r="AF71" s="252">
        <f t="shared" ref="AF71:AF73" si="251">ROUND(AE71*S71,0)</f>
        <v>1128617</v>
      </c>
      <c r="AG71" s="306">
        <f t="shared" ref="AG71:AG72" si="252">ROUND(AC71*0.15,2)</f>
        <v>118.6</v>
      </c>
      <c r="AH71" s="252">
        <f t="shared" ref="AH71:AH72" si="253">ROUND(AD71*0.15,0)</f>
        <v>169292</v>
      </c>
      <c r="AI71" s="311"/>
      <c r="AJ71" s="311"/>
      <c r="AK71" s="311"/>
      <c r="AL71" s="311"/>
      <c r="AM71" s="312"/>
      <c r="AN71" s="313"/>
    </row>
    <row r="72" ht="12.75" customHeight="1">
      <c r="A72" s="245" t="s">
        <v>528</v>
      </c>
      <c r="B72" s="246" t="s">
        <v>118</v>
      </c>
      <c r="C72" s="247" t="s">
        <v>119</v>
      </c>
      <c r="D72" s="247" t="s">
        <v>170</v>
      </c>
      <c r="E72" s="247" t="s">
        <v>171</v>
      </c>
      <c r="F72" s="248"/>
      <c r="G72" s="247" t="s">
        <v>135</v>
      </c>
      <c r="H72" s="247" t="s">
        <v>172</v>
      </c>
      <c r="I72" s="248" t="s">
        <v>105</v>
      </c>
      <c r="J72" s="300" t="s">
        <v>106</v>
      </c>
      <c r="K72" s="314">
        <f t="shared" ref="K72:R72" si="245">-K71</f>
        <v>-790.67</v>
      </c>
      <c r="L72" s="309">
        <f t="shared" si="245"/>
        <v>-1128602</v>
      </c>
      <c r="M72" s="315">
        <f t="shared" si="245"/>
        <v>-118.6</v>
      </c>
      <c r="N72" s="252">
        <f t="shared" si="245"/>
        <v>-169289</v>
      </c>
      <c r="O72" s="251">
        <f t="shared" si="245"/>
        <v>0</v>
      </c>
      <c r="P72" s="252">
        <f t="shared" si="245"/>
        <v>0</v>
      </c>
      <c r="Q72" s="251">
        <f t="shared" si="245"/>
        <v>-118.6</v>
      </c>
      <c r="R72" s="252">
        <f t="shared" si="245"/>
        <v>-169289</v>
      </c>
      <c r="S72" s="253">
        <v>1427.4</v>
      </c>
      <c r="T72" s="254">
        <v>15.0</v>
      </c>
      <c r="U72" s="255" t="s">
        <v>107</v>
      </c>
      <c r="V72" s="255"/>
      <c r="W72" s="304">
        <v>1.3356</v>
      </c>
      <c r="X72" s="304">
        <v>0.0</v>
      </c>
      <c r="Y72" s="304">
        <v>1.3356</v>
      </c>
      <c r="Z72" s="305">
        <f>-Z71</f>
        <v>-592</v>
      </c>
      <c r="AA72" s="306">
        <f t="shared" si="246"/>
        <v>-790.6752</v>
      </c>
      <c r="AB72" s="307">
        <f t="shared" si="247"/>
        <v>-1128610</v>
      </c>
      <c r="AC72" s="308">
        <f t="shared" si="248"/>
        <v>-790.6752</v>
      </c>
      <c r="AD72" s="309">
        <f t="shared" si="249"/>
        <v>-1128610</v>
      </c>
      <c r="AE72" s="310">
        <f t="shared" si="250"/>
        <v>-790.68</v>
      </c>
      <c r="AF72" s="252">
        <f t="shared" si="251"/>
        <v>-1128617</v>
      </c>
      <c r="AG72" s="306">
        <f t="shared" si="252"/>
        <v>-118.6</v>
      </c>
      <c r="AH72" s="252">
        <f t="shared" si="253"/>
        <v>-169292</v>
      </c>
      <c r="AI72" s="311"/>
      <c r="AJ72" s="311"/>
      <c r="AK72" s="311"/>
      <c r="AL72" s="311"/>
      <c r="AM72" s="312"/>
      <c r="AN72" s="313"/>
    </row>
    <row r="73" ht="12.75" customHeight="1">
      <c r="A73" s="256" t="s">
        <v>529</v>
      </c>
      <c r="B73" s="257" t="s">
        <v>118</v>
      </c>
      <c r="C73" s="258" t="s">
        <v>119</v>
      </c>
      <c r="D73" s="258" t="s">
        <v>170</v>
      </c>
      <c r="E73" s="258" t="s">
        <v>171</v>
      </c>
      <c r="F73" s="259"/>
      <c r="G73" s="258" t="s">
        <v>135</v>
      </c>
      <c r="H73" s="258" t="s">
        <v>172</v>
      </c>
      <c r="I73" s="259" t="s">
        <v>105</v>
      </c>
      <c r="J73" s="316" t="s">
        <v>106</v>
      </c>
      <c r="K73" s="317">
        <f>ROUND(M73/0.15,2)</f>
        <v>0</v>
      </c>
      <c r="L73" s="318">
        <f>ROUND(N73/0.15,0)</f>
        <v>-7</v>
      </c>
      <c r="M73" s="319">
        <f t="shared" ref="M73:N73" si="254">Q73</f>
        <v>0</v>
      </c>
      <c r="N73" s="261">
        <f t="shared" si="254"/>
        <v>-1</v>
      </c>
      <c r="O73" s="262">
        <v>118.6</v>
      </c>
      <c r="P73" s="263">
        <v>169290.0</v>
      </c>
      <c r="Q73" s="260">
        <f t="shared" ref="Q73:R73" si="255">M71-O73</f>
        <v>0</v>
      </c>
      <c r="R73" s="261">
        <f t="shared" si="255"/>
        <v>-1</v>
      </c>
      <c r="S73" s="264">
        <v>1427.4</v>
      </c>
      <c r="T73" s="265">
        <v>15.0</v>
      </c>
      <c r="U73" s="266" t="s">
        <v>107</v>
      </c>
      <c r="V73" s="266" t="s">
        <v>1004</v>
      </c>
      <c r="W73" s="320">
        <v>1.3356</v>
      </c>
      <c r="X73" s="320">
        <v>0.0</v>
      </c>
      <c r="Y73" s="320">
        <v>1.3356</v>
      </c>
      <c r="Z73" s="321">
        <f>Z71</f>
        <v>592</v>
      </c>
      <c r="AA73" s="311"/>
      <c r="AB73" s="322"/>
      <c r="AC73" s="323">
        <f>IFERROR(ROUND(Z73*X73,2),0)</f>
        <v>0</v>
      </c>
      <c r="AD73" s="318">
        <f t="shared" si="249"/>
        <v>0</v>
      </c>
      <c r="AE73" s="324">
        <f t="shared" si="250"/>
        <v>790.68</v>
      </c>
      <c r="AF73" s="261">
        <f t="shared" si="251"/>
        <v>1128617</v>
      </c>
      <c r="AG73" s="311"/>
      <c r="AH73" s="311"/>
      <c r="AI73" s="325">
        <f>ROUND(AC73*0.15,2)</f>
        <v>0</v>
      </c>
      <c r="AJ73" s="261">
        <f>ROUND(AD73*0.15,0)</f>
        <v>0</v>
      </c>
      <c r="AK73" s="325">
        <f>ROUND(AE73*0.15,2)</f>
        <v>118.6</v>
      </c>
      <c r="AL73" s="261">
        <f>ROUND(AF73*0.15,0)</f>
        <v>169293</v>
      </c>
      <c r="AM73" s="326">
        <f>IFERROR(AC73/K73,IFERROR(AK73/O73,""))</f>
        <v>1</v>
      </c>
      <c r="AN73" s="313"/>
    </row>
    <row r="74" ht="12.75" customHeight="1">
      <c r="A74" s="267" t="s">
        <v>531</v>
      </c>
      <c r="B74" s="268" t="s">
        <v>118</v>
      </c>
      <c r="C74" s="269" t="s">
        <v>119</v>
      </c>
      <c r="D74" s="269" t="s">
        <v>170</v>
      </c>
      <c r="E74" s="269" t="s">
        <v>170</v>
      </c>
      <c r="F74" s="270"/>
      <c r="G74" s="269" t="s">
        <v>173</v>
      </c>
      <c r="H74" s="270" t="s">
        <v>174</v>
      </c>
      <c r="I74" s="270" t="s">
        <v>105</v>
      </c>
      <c r="J74" s="354" t="s">
        <v>106</v>
      </c>
      <c r="K74" s="355">
        <v>0.5</v>
      </c>
      <c r="L74" s="356">
        <v>713.0</v>
      </c>
      <c r="M74" s="357">
        <v>0.08</v>
      </c>
      <c r="N74" s="272">
        <v>114.0</v>
      </c>
      <c r="O74" s="271">
        <v>0.0</v>
      </c>
      <c r="P74" s="272">
        <v>0.0</v>
      </c>
      <c r="Q74" s="273">
        <f t="shared" ref="Q74:R74" si="256">M74-O74</f>
        <v>0.08</v>
      </c>
      <c r="R74" s="274">
        <f t="shared" si="256"/>
        <v>114</v>
      </c>
      <c r="S74" s="275">
        <v>1427.4</v>
      </c>
      <c r="T74" s="276">
        <v>15.0</v>
      </c>
      <c r="U74" s="277" t="s">
        <v>107</v>
      </c>
      <c r="V74" s="277"/>
      <c r="W74" s="358"/>
      <c r="X74" s="358"/>
      <c r="Y74" s="358"/>
      <c r="Z74" s="358"/>
      <c r="AA74" s="358"/>
      <c r="AB74" s="359"/>
      <c r="AC74" s="360">
        <f t="shared" ref="AC74:AD74" si="257">K74</f>
        <v>0.5</v>
      </c>
      <c r="AD74" s="361">
        <f t="shared" si="257"/>
        <v>713</v>
      </c>
      <c r="AE74" s="362"/>
      <c r="AF74" s="358"/>
      <c r="AG74" s="358"/>
      <c r="AH74" s="358"/>
      <c r="AI74" s="363">
        <f t="shared" ref="AI74:AJ74" si="258">Q74</f>
        <v>0.08</v>
      </c>
      <c r="AJ74" s="364">
        <f t="shared" si="258"/>
        <v>114</v>
      </c>
      <c r="AK74" s="358"/>
      <c r="AL74" s="358"/>
      <c r="AM74" s="365"/>
      <c r="AN74" s="366"/>
    </row>
    <row r="75" ht="12.75" customHeight="1">
      <c r="A75" s="267" t="s">
        <v>532</v>
      </c>
      <c r="B75" s="268" t="s">
        <v>118</v>
      </c>
      <c r="C75" s="269" t="s">
        <v>119</v>
      </c>
      <c r="D75" s="269" t="s">
        <v>175</v>
      </c>
      <c r="E75" s="270"/>
      <c r="F75" s="270"/>
      <c r="G75" s="269" t="s">
        <v>148</v>
      </c>
      <c r="H75" s="269" t="s">
        <v>1005</v>
      </c>
      <c r="I75" s="270" t="s">
        <v>105</v>
      </c>
      <c r="J75" s="354" t="s">
        <v>150</v>
      </c>
      <c r="K75" s="355">
        <v>0.0</v>
      </c>
      <c r="L75" s="356">
        <v>0.0</v>
      </c>
      <c r="M75" s="357">
        <v>0.0</v>
      </c>
      <c r="N75" s="272">
        <v>8.0</v>
      </c>
      <c r="O75" s="271">
        <v>0.0</v>
      </c>
      <c r="P75" s="272">
        <v>0.0</v>
      </c>
      <c r="Q75" s="273">
        <f t="shared" ref="Q75:R75" si="259">M75-O75</f>
        <v>0</v>
      </c>
      <c r="R75" s="274">
        <f t="shared" si="259"/>
        <v>8</v>
      </c>
      <c r="S75" s="275">
        <v>1.0</v>
      </c>
      <c r="T75" s="276">
        <v>0.0</v>
      </c>
      <c r="U75" s="277" t="s">
        <v>151</v>
      </c>
      <c r="V75" s="277"/>
      <c r="W75" s="358"/>
      <c r="X75" s="358"/>
      <c r="Y75" s="358"/>
      <c r="Z75" s="358"/>
      <c r="AA75" s="358"/>
      <c r="AB75" s="359"/>
      <c r="AC75" s="360">
        <f t="shared" ref="AC75:AD75" si="260">K75</f>
        <v>0</v>
      </c>
      <c r="AD75" s="361">
        <f t="shared" si="260"/>
        <v>0</v>
      </c>
      <c r="AE75" s="362"/>
      <c r="AF75" s="358"/>
      <c r="AG75" s="358"/>
      <c r="AH75" s="358"/>
      <c r="AI75" s="363">
        <f t="shared" ref="AI75:AJ75" si="261">Q75</f>
        <v>0</v>
      </c>
      <c r="AJ75" s="364">
        <f t="shared" si="261"/>
        <v>8</v>
      </c>
      <c r="AK75" s="358"/>
      <c r="AL75" s="358"/>
      <c r="AM75" s="365"/>
      <c r="AN75" s="366"/>
    </row>
    <row r="76" ht="12.75" customHeight="1">
      <c r="A76" s="245" t="s">
        <v>534</v>
      </c>
      <c r="B76" s="246" t="s">
        <v>118</v>
      </c>
      <c r="C76" s="247" t="s">
        <v>119</v>
      </c>
      <c r="D76" s="247" t="s">
        <v>178</v>
      </c>
      <c r="E76" s="247" t="s">
        <v>179</v>
      </c>
      <c r="F76" s="248"/>
      <c r="G76" s="247" t="s">
        <v>139</v>
      </c>
      <c r="H76" s="247" t="s">
        <v>180</v>
      </c>
      <c r="I76" s="248" t="s">
        <v>105</v>
      </c>
      <c r="J76" s="300" t="s">
        <v>106</v>
      </c>
      <c r="K76" s="301">
        <v>533.78</v>
      </c>
      <c r="L76" s="302">
        <v>759355.0</v>
      </c>
      <c r="M76" s="303">
        <v>80.07</v>
      </c>
      <c r="N76" s="250">
        <v>113907.0</v>
      </c>
      <c r="O76" s="249">
        <v>0.0</v>
      </c>
      <c r="P76" s="250">
        <v>0.0</v>
      </c>
      <c r="Q76" s="251">
        <f t="shared" ref="Q76:R76" si="262">M76-O76</f>
        <v>80.07</v>
      </c>
      <c r="R76" s="252">
        <f t="shared" si="262"/>
        <v>113907</v>
      </c>
      <c r="S76" s="253">
        <v>1422.6</v>
      </c>
      <c r="T76" s="254">
        <v>15.0</v>
      </c>
      <c r="U76" s="255" t="s">
        <v>107</v>
      </c>
      <c r="V76" s="255"/>
      <c r="W76" s="304">
        <v>0.6598</v>
      </c>
      <c r="X76" s="304">
        <v>0.178349</v>
      </c>
      <c r="Y76" s="304">
        <v>0.481451</v>
      </c>
      <c r="Z76" s="305">
        <f>IFERROR(ROUND(K76/W76,0),0)</f>
        <v>809</v>
      </c>
      <c r="AA76" s="306">
        <f t="shared" ref="AA76:AA77" si="264">Z76*W76</f>
        <v>533.7782</v>
      </c>
      <c r="AB76" s="307">
        <f t="shared" ref="AB76:AB77" si="265">ROUND(AA76*S76,0)</f>
        <v>759353</v>
      </c>
      <c r="AC76" s="308">
        <f t="shared" ref="AC76:AC77" si="266">AA76</f>
        <v>533.7782</v>
      </c>
      <c r="AD76" s="309">
        <f t="shared" ref="AD76:AD78" si="267">ROUND(AC76*S76,0)</f>
        <v>759353</v>
      </c>
      <c r="AE76" s="310">
        <f t="shared" ref="AE76:AE78" si="268">IFERROR(ROUND(Z76*Y76,2),0)</f>
        <v>389.49</v>
      </c>
      <c r="AF76" s="252">
        <f t="shared" ref="AF76:AF78" si="269">ROUND(AE76*S76,0)</f>
        <v>554088</v>
      </c>
      <c r="AG76" s="306">
        <f t="shared" ref="AG76:AG77" si="270">ROUND(AC76*0.15,2)</f>
        <v>80.07</v>
      </c>
      <c r="AH76" s="252">
        <f t="shared" ref="AH76:AH77" si="271">ROUND(AD76*0.15,0)</f>
        <v>113903</v>
      </c>
      <c r="AI76" s="311"/>
      <c r="AJ76" s="311"/>
      <c r="AK76" s="311"/>
      <c r="AL76" s="311"/>
      <c r="AM76" s="312"/>
      <c r="AN76" s="313"/>
    </row>
    <row r="77" ht="12.75" customHeight="1">
      <c r="A77" s="245" t="s">
        <v>535</v>
      </c>
      <c r="B77" s="246" t="s">
        <v>118</v>
      </c>
      <c r="C77" s="247" t="s">
        <v>119</v>
      </c>
      <c r="D77" s="247" t="s">
        <v>178</v>
      </c>
      <c r="E77" s="247" t="s">
        <v>179</v>
      </c>
      <c r="F77" s="248"/>
      <c r="G77" s="247" t="s">
        <v>139</v>
      </c>
      <c r="H77" s="247" t="s">
        <v>180</v>
      </c>
      <c r="I77" s="248" t="s">
        <v>105</v>
      </c>
      <c r="J77" s="300" t="s">
        <v>106</v>
      </c>
      <c r="K77" s="314">
        <f t="shared" ref="K77:R77" si="263">-K76</f>
        <v>-533.78</v>
      </c>
      <c r="L77" s="309">
        <f t="shared" si="263"/>
        <v>-759355</v>
      </c>
      <c r="M77" s="315">
        <f t="shared" si="263"/>
        <v>-80.07</v>
      </c>
      <c r="N77" s="252">
        <f t="shared" si="263"/>
        <v>-113907</v>
      </c>
      <c r="O77" s="251">
        <f t="shared" si="263"/>
        <v>0</v>
      </c>
      <c r="P77" s="252">
        <f t="shared" si="263"/>
        <v>0</v>
      </c>
      <c r="Q77" s="251">
        <f t="shared" si="263"/>
        <v>-80.07</v>
      </c>
      <c r="R77" s="252">
        <f t="shared" si="263"/>
        <v>-113907</v>
      </c>
      <c r="S77" s="253">
        <v>1422.6</v>
      </c>
      <c r="T77" s="254">
        <v>15.0</v>
      </c>
      <c r="U77" s="255" t="s">
        <v>107</v>
      </c>
      <c r="V77" s="255"/>
      <c r="W77" s="304">
        <v>0.6598</v>
      </c>
      <c r="X77" s="304">
        <v>0.178349</v>
      </c>
      <c r="Y77" s="304">
        <v>0.481451</v>
      </c>
      <c r="Z77" s="305">
        <f>-Z76</f>
        <v>-809</v>
      </c>
      <c r="AA77" s="306">
        <f t="shared" si="264"/>
        <v>-533.7782</v>
      </c>
      <c r="AB77" s="307">
        <f t="shared" si="265"/>
        <v>-759353</v>
      </c>
      <c r="AC77" s="308">
        <f t="shared" si="266"/>
        <v>-533.7782</v>
      </c>
      <c r="AD77" s="309">
        <f t="shared" si="267"/>
        <v>-759353</v>
      </c>
      <c r="AE77" s="310">
        <f t="shared" si="268"/>
        <v>-389.49</v>
      </c>
      <c r="AF77" s="252">
        <f t="shared" si="269"/>
        <v>-554088</v>
      </c>
      <c r="AG77" s="306">
        <f t="shared" si="270"/>
        <v>-80.07</v>
      </c>
      <c r="AH77" s="252">
        <f t="shared" si="271"/>
        <v>-113903</v>
      </c>
      <c r="AI77" s="311"/>
      <c r="AJ77" s="311"/>
      <c r="AK77" s="311"/>
      <c r="AL77" s="311"/>
      <c r="AM77" s="312"/>
      <c r="AN77" s="313"/>
    </row>
    <row r="78" ht="12.75" customHeight="1">
      <c r="A78" s="256" t="s">
        <v>536</v>
      </c>
      <c r="B78" s="257" t="s">
        <v>118</v>
      </c>
      <c r="C78" s="258" t="s">
        <v>119</v>
      </c>
      <c r="D78" s="258" t="s">
        <v>178</v>
      </c>
      <c r="E78" s="258" t="s">
        <v>179</v>
      </c>
      <c r="F78" s="259"/>
      <c r="G78" s="258" t="s">
        <v>139</v>
      </c>
      <c r="H78" s="258" t="s">
        <v>180</v>
      </c>
      <c r="I78" s="259" t="s">
        <v>105</v>
      </c>
      <c r="J78" s="316" t="s">
        <v>106</v>
      </c>
      <c r="K78" s="317">
        <f>ROUND(M78/0.15,2)</f>
        <v>144.27</v>
      </c>
      <c r="L78" s="318">
        <f>ROUND(N78/0.15,0)</f>
        <v>205227</v>
      </c>
      <c r="M78" s="319">
        <f t="shared" ref="M78:N78" si="272">Q78</f>
        <v>21.64</v>
      </c>
      <c r="N78" s="261">
        <f t="shared" si="272"/>
        <v>30784</v>
      </c>
      <c r="O78" s="262">
        <v>58.43</v>
      </c>
      <c r="P78" s="263">
        <v>83123.0</v>
      </c>
      <c r="Q78" s="260">
        <f t="shared" ref="Q78:R78" si="273">M76-O78</f>
        <v>21.64</v>
      </c>
      <c r="R78" s="261">
        <f t="shared" si="273"/>
        <v>30784</v>
      </c>
      <c r="S78" s="264">
        <v>1422.6</v>
      </c>
      <c r="T78" s="265">
        <v>15.0</v>
      </c>
      <c r="U78" s="266" t="s">
        <v>107</v>
      </c>
      <c r="V78" s="266" t="s">
        <v>1006</v>
      </c>
      <c r="W78" s="320">
        <v>0.6598</v>
      </c>
      <c r="X78" s="320">
        <v>0.178349</v>
      </c>
      <c r="Y78" s="320">
        <v>0.481451</v>
      </c>
      <c r="Z78" s="321">
        <f>Z76</f>
        <v>809</v>
      </c>
      <c r="AA78" s="311"/>
      <c r="AB78" s="322"/>
      <c r="AC78" s="323">
        <f>IFERROR(ROUND(Z78*X78,2),0)</f>
        <v>144.28</v>
      </c>
      <c r="AD78" s="318">
        <f t="shared" si="267"/>
        <v>205253</v>
      </c>
      <c r="AE78" s="324">
        <f t="shared" si="268"/>
        <v>389.49</v>
      </c>
      <c r="AF78" s="261">
        <f t="shared" si="269"/>
        <v>554088</v>
      </c>
      <c r="AG78" s="311"/>
      <c r="AH78" s="311"/>
      <c r="AI78" s="325">
        <f>ROUND(AC78*0.15,2)</f>
        <v>21.64</v>
      </c>
      <c r="AJ78" s="261">
        <f>ROUND(AD78*0.15,0)</f>
        <v>30788</v>
      </c>
      <c r="AK78" s="325">
        <f>ROUND(AE78*0.15,2)</f>
        <v>58.42</v>
      </c>
      <c r="AL78" s="261">
        <f>ROUND(AF78*0.15,0)</f>
        <v>83113</v>
      </c>
      <c r="AM78" s="326">
        <f>IFERROR(AC78/K78,IFERROR(AK78/O78,""))</f>
        <v>1.000069314</v>
      </c>
      <c r="AN78" s="313"/>
    </row>
    <row r="79" ht="12.75" customHeight="1">
      <c r="A79" s="267" t="s">
        <v>538</v>
      </c>
      <c r="B79" s="268" t="s">
        <v>118</v>
      </c>
      <c r="C79" s="269" t="s">
        <v>119</v>
      </c>
      <c r="D79" s="269" t="s">
        <v>181</v>
      </c>
      <c r="E79" s="269" t="s">
        <v>182</v>
      </c>
      <c r="F79" s="270"/>
      <c r="G79" s="269" t="s">
        <v>183</v>
      </c>
      <c r="H79" s="270" t="s">
        <v>184</v>
      </c>
      <c r="I79" s="270" t="s">
        <v>105</v>
      </c>
      <c r="J79" s="354" t="s">
        <v>106</v>
      </c>
      <c r="K79" s="355">
        <v>0.83</v>
      </c>
      <c r="L79" s="356">
        <v>1187.0</v>
      </c>
      <c r="M79" s="357">
        <v>0.12</v>
      </c>
      <c r="N79" s="272">
        <v>171.0</v>
      </c>
      <c r="O79" s="271">
        <v>0.0</v>
      </c>
      <c r="P79" s="272">
        <v>0.0</v>
      </c>
      <c r="Q79" s="273">
        <f t="shared" ref="Q79:R79" si="274">M79-O79</f>
        <v>0.12</v>
      </c>
      <c r="R79" s="274">
        <f t="shared" si="274"/>
        <v>171</v>
      </c>
      <c r="S79" s="275">
        <v>1430.2</v>
      </c>
      <c r="T79" s="276">
        <v>15.0</v>
      </c>
      <c r="U79" s="277" t="s">
        <v>107</v>
      </c>
      <c r="V79" s="277"/>
      <c r="W79" s="358"/>
      <c r="X79" s="358"/>
      <c r="Y79" s="358"/>
      <c r="Z79" s="358"/>
      <c r="AA79" s="358"/>
      <c r="AB79" s="359"/>
      <c r="AC79" s="360">
        <f t="shared" ref="AC79:AD79" si="275">K79</f>
        <v>0.83</v>
      </c>
      <c r="AD79" s="361">
        <f t="shared" si="275"/>
        <v>1187</v>
      </c>
      <c r="AE79" s="362"/>
      <c r="AF79" s="358"/>
      <c r="AG79" s="358"/>
      <c r="AH79" s="358"/>
      <c r="AI79" s="363">
        <f t="shared" ref="AI79:AJ79" si="276">Q79</f>
        <v>0.12</v>
      </c>
      <c r="AJ79" s="364">
        <f t="shared" si="276"/>
        <v>171</v>
      </c>
      <c r="AK79" s="358"/>
      <c r="AL79" s="358"/>
      <c r="AM79" s="365"/>
      <c r="AN79" s="366"/>
    </row>
    <row r="80" ht="12.75" customHeight="1">
      <c r="A80" s="245" t="s">
        <v>539</v>
      </c>
      <c r="B80" s="246" t="s">
        <v>118</v>
      </c>
      <c r="C80" s="247" t="s">
        <v>119</v>
      </c>
      <c r="D80" s="247" t="s">
        <v>185</v>
      </c>
      <c r="E80" s="247" t="s">
        <v>181</v>
      </c>
      <c r="F80" s="248"/>
      <c r="G80" s="247" t="s">
        <v>143</v>
      </c>
      <c r="H80" s="247" t="s">
        <v>160</v>
      </c>
      <c r="I80" s="248" t="s">
        <v>105</v>
      </c>
      <c r="J80" s="300" t="s">
        <v>106</v>
      </c>
      <c r="K80" s="301">
        <v>21.91</v>
      </c>
      <c r="L80" s="302">
        <v>31535.0</v>
      </c>
      <c r="M80" s="303">
        <v>3.29</v>
      </c>
      <c r="N80" s="250">
        <v>4735.0</v>
      </c>
      <c r="O80" s="249">
        <v>0.0</v>
      </c>
      <c r="P80" s="250">
        <v>0.0</v>
      </c>
      <c r="Q80" s="251">
        <f t="shared" ref="Q80:R80" si="277">M80-O80</f>
        <v>3.29</v>
      </c>
      <c r="R80" s="252">
        <f t="shared" si="277"/>
        <v>4735</v>
      </c>
      <c r="S80" s="253">
        <v>1439.3</v>
      </c>
      <c r="T80" s="254">
        <v>15.0</v>
      </c>
      <c r="U80" s="255" t="s">
        <v>107</v>
      </c>
      <c r="V80" s="255"/>
      <c r="W80" s="304">
        <v>0.5216</v>
      </c>
      <c r="X80" s="304">
        <v>0.19221</v>
      </c>
      <c r="Y80" s="304">
        <v>0.32939</v>
      </c>
      <c r="Z80" s="305">
        <f>IFERROR(ROUND(K80/W80,0),0)</f>
        <v>42</v>
      </c>
      <c r="AA80" s="306">
        <f t="shared" ref="AA80:AA81" si="279">Z80*W80</f>
        <v>21.9072</v>
      </c>
      <c r="AB80" s="307">
        <f t="shared" ref="AB80:AB81" si="280">ROUND(AA80*S80,0)</f>
        <v>31531</v>
      </c>
      <c r="AC80" s="308">
        <f t="shared" ref="AC80:AC81" si="281">AA80</f>
        <v>21.9072</v>
      </c>
      <c r="AD80" s="309">
        <f t="shared" ref="AD80:AD87" si="282">ROUND(AC80*S80,0)</f>
        <v>31531</v>
      </c>
      <c r="AE80" s="310">
        <f t="shared" ref="AE80:AE87" si="283">IFERROR(ROUND(Z80*Y80,2),0)</f>
        <v>13.83</v>
      </c>
      <c r="AF80" s="252">
        <f t="shared" ref="AF80:AF87" si="284">ROUND(AE80*S80,0)</f>
        <v>19906</v>
      </c>
      <c r="AG80" s="306">
        <f t="shared" ref="AG80:AG81" si="285">ROUND(AC80*0.15,2)</f>
        <v>3.29</v>
      </c>
      <c r="AH80" s="252">
        <f t="shared" ref="AH80:AH81" si="286">ROUND(AD80*0.15,0)</f>
        <v>4730</v>
      </c>
      <c r="AI80" s="311"/>
      <c r="AJ80" s="311"/>
      <c r="AK80" s="311"/>
      <c r="AL80" s="311"/>
      <c r="AM80" s="312"/>
      <c r="AN80" s="313"/>
    </row>
    <row r="81" ht="12.75" customHeight="1">
      <c r="A81" s="245" t="s">
        <v>540</v>
      </c>
      <c r="B81" s="246" t="s">
        <v>118</v>
      </c>
      <c r="C81" s="247" t="s">
        <v>119</v>
      </c>
      <c r="D81" s="247" t="s">
        <v>185</v>
      </c>
      <c r="E81" s="247" t="s">
        <v>181</v>
      </c>
      <c r="F81" s="248"/>
      <c r="G81" s="247" t="s">
        <v>143</v>
      </c>
      <c r="H81" s="247" t="s">
        <v>160</v>
      </c>
      <c r="I81" s="248" t="s">
        <v>105</v>
      </c>
      <c r="J81" s="300" t="s">
        <v>106</v>
      </c>
      <c r="K81" s="314">
        <f t="shared" ref="K81:R81" si="278">-K80</f>
        <v>-21.91</v>
      </c>
      <c r="L81" s="309">
        <f t="shared" si="278"/>
        <v>-31535</v>
      </c>
      <c r="M81" s="315">
        <f t="shared" si="278"/>
        <v>-3.29</v>
      </c>
      <c r="N81" s="252">
        <f t="shared" si="278"/>
        <v>-4735</v>
      </c>
      <c r="O81" s="251">
        <f t="shared" si="278"/>
        <v>0</v>
      </c>
      <c r="P81" s="252">
        <f t="shared" si="278"/>
        <v>0</v>
      </c>
      <c r="Q81" s="251">
        <f t="shared" si="278"/>
        <v>-3.29</v>
      </c>
      <c r="R81" s="252">
        <f t="shared" si="278"/>
        <v>-4735</v>
      </c>
      <c r="S81" s="253">
        <v>1439.3</v>
      </c>
      <c r="T81" s="254">
        <v>15.0</v>
      </c>
      <c r="U81" s="255" t="s">
        <v>107</v>
      </c>
      <c r="V81" s="255"/>
      <c r="W81" s="304">
        <v>0.5216</v>
      </c>
      <c r="X81" s="304">
        <v>0.19221</v>
      </c>
      <c r="Y81" s="304">
        <v>0.32939</v>
      </c>
      <c r="Z81" s="305">
        <f>-Z80</f>
        <v>-42</v>
      </c>
      <c r="AA81" s="306">
        <f t="shared" si="279"/>
        <v>-21.9072</v>
      </c>
      <c r="AB81" s="307">
        <f t="shared" si="280"/>
        <v>-31531</v>
      </c>
      <c r="AC81" s="308">
        <f t="shared" si="281"/>
        <v>-21.9072</v>
      </c>
      <c r="AD81" s="309">
        <f t="shared" si="282"/>
        <v>-31531</v>
      </c>
      <c r="AE81" s="310">
        <f t="shared" si="283"/>
        <v>-13.83</v>
      </c>
      <c r="AF81" s="252">
        <f t="shared" si="284"/>
        <v>-19906</v>
      </c>
      <c r="AG81" s="306">
        <f t="shared" si="285"/>
        <v>-3.29</v>
      </c>
      <c r="AH81" s="252">
        <f t="shared" si="286"/>
        <v>-4730</v>
      </c>
      <c r="AI81" s="311"/>
      <c r="AJ81" s="311"/>
      <c r="AK81" s="311"/>
      <c r="AL81" s="311"/>
      <c r="AM81" s="312"/>
      <c r="AN81" s="313"/>
    </row>
    <row r="82" ht="12.75" customHeight="1">
      <c r="A82" s="256" t="s">
        <v>541</v>
      </c>
      <c r="B82" s="257" t="s">
        <v>118</v>
      </c>
      <c r="C82" s="258" t="s">
        <v>119</v>
      </c>
      <c r="D82" s="258" t="s">
        <v>185</v>
      </c>
      <c r="E82" s="258" t="s">
        <v>181</v>
      </c>
      <c r="F82" s="259"/>
      <c r="G82" s="258" t="s">
        <v>143</v>
      </c>
      <c r="H82" s="258" t="s">
        <v>160</v>
      </c>
      <c r="I82" s="259" t="s">
        <v>105</v>
      </c>
      <c r="J82" s="316" t="s">
        <v>106</v>
      </c>
      <c r="K82" s="317">
        <f>ROUND(M82/0.15,2)</f>
        <v>8.07</v>
      </c>
      <c r="L82" s="318">
        <f>ROUND(N82/0.15,0)</f>
        <v>11607</v>
      </c>
      <c r="M82" s="319">
        <f t="shared" ref="M82:N82" si="287">Q82</f>
        <v>1.21</v>
      </c>
      <c r="N82" s="261">
        <f t="shared" si="287"/>
        <v>1741</v>
      </c>
      <c r="O82" s="262">
        <v>2.08</v>
      </c>
      <c r="P82" s="263">
        <v>2994.0</v>
      </c>
      <c r="Q82" s="260">
        <f t="shared" ref="Q82:R82" si="288">M80-O82</f>
        <v>1.21</v>
      </c>
      <c r="R82" s="261">
        <f t="shared" si="288"/>
        <v>1741</v>
      </c>
      <c r="S82" s="264">
        <v>1439.3</v>
      </c>
      <c r="T82" s="265">
        <v>15.0</v>
      </c>
      <c r="U82" s="266" t="s">
        <v>107</v>
      </c>
      <c r="V82" s="266" t="s">
        <v>1007</v>
      </c>
      <c r="W82" s="320">
        <v>0.5216</v>
      </c>
      <c r="X82" s="320">
        <v>0.19221</v>
      </c>
      <c r="Y82" s="320">
        <v>0.32939</v>
      </c>
      <c r="Z82" s="321">
        <f>Z80</f>
        <v>42</v>
      </c>
      <c r="AA82" s="311"/>
      <c r="AB82" s="322"/>
      <c r="AC82" s="323">
        <f>IFERROR(ROUND(Z82*X82,2),0)</f>
        <v>8.07</v>
      </c>
      <c r="AD82" s="318">
        <f t="shared" si="282"/>
        <v>11615</v>
      </c>
      <c r="AE82" s="324">
        <f t="shared" si="283"/>
        <v>13.83</v>
      </c>
      <c r="AF82" s="261">
        <f t="shared" si="284"/>
        <v>19906</v>
      </c>
      <c r="AG82" s="311"/>
      <c r="AH82" s="311"/>
      <c r="AI82" s="325">
        <f>ROUND(AC82*0.15,2)</f>
        <v>1.21</v>
      </c>
      <c r="AJ82" s="261">
        <f>ROUND(AD82*0.15,0)</f>
        <v>1742</v>
      </c>
      <c r="AK82" s="325">
        <f>ROUND(AE82*0.15,2)</f>
        <v>2.07</v>
      </c>
      <c r="AL82" s="261">
        <f>ROUND(AF82*0.15,0)</f>
        <v>2986</v>
      </c>
      <c r="AM82" s="326">
        <f>IFERROR(AC82/K82,IFERROR(AK82/O82,""))</f>
        <v>1</v>
      </c>
      <c r="AN82" s="313"/>
    </row>
    <row r="83" ht="12.75" customHeight="1">
      <c r="A83" s="245" t="s">
        <v>543</v>
      </c>
      <c r="B83" s="246" t="s">
        <v>118</v>
      </c>
      <c r="C83" s="247" t="s">
        <v>119</v>
      </c>
      <c r="D83" s="247" t="s">
        <v>185</v>
      </c>
      <c r="E83" s="247" t="s">
        <v>181</v>
      </c>
      <c r="F83" s="248"/>
      <c r="G83" s="247" t="s">
        <v>127</v>
      </c>
      <c r="H83" s="247" t="s">
        <v>186</v>
      </c>
      <c r="I83" s="248" t="s">
        <v>105</v>
      </c>
      <c r="J83" s="300" t="s">
        <v>106</v>
      </c>
      <c r="K83" s="301">
        <v>32.32</v>
      </c>
      <c r="L83" s="302">
        <v>46518.0</v>
      </c>
      <c r="M83" s="303">
        <v>4.85</v>
      </c>
      <c r="N83" s="250">
        <v>6980.0</v>
      </c>
      <c r="O83" s="249">
        <v>0.0</v>
      </c>
      <c r="P83" s="250">
        <v>0.0</v>
      </c>
      <c r="Q83" s="251">
        <f t="shared" ref="Q83:R83" si="289">M83-O83</f>
        <v>4.85</v>
      </c>
      <c r="R83" s="252">
        <f t="shared" si="289"/>
        <v>6980</v>
      </c>
      <c r="S83" s="253">
        <v>1439.3</v>
      </c>
      <c r="T83" s="254">
        <v>15.0</v>
      </c>
      <c r="U83" s="255" t="s">
        <v>107</v>
      </c>
      <c r="V83" s="255"/>
      <c r="W83" s="304">
        <v>0.6734</v>
      </c>
      <c r="X83" s="304">
        <v>0.318871</v>
      </c>
      <c r="Y83" s="304">
        <v>0.354529</v>
      </c>
      <c r="Z83" s="305">
        <f>IFERROR(ROUND(K83/W83,0),0)</f>
        <v>48</v>
      </c>
      <c r="AA83" s="306">
        <f t="shared" ref="AA83:AA84" si="291">Z83*W83</f>
        <v>32.3232</v>
      </c>
      <c r="AB83" s="307">
        <f t="shared" ref="AB83:AB84" si="292">ROUND(AA83*S83,0)</f>
        <v>46523</v>
      </c>
      <c r="AC83" s="308">
        <f t="shared" ref="AC83:AC84" si="293">AA83</f>
        <v>32.3232</v>
      </c>
      <c r="AD83" s="309">
        <f t="shared" si="282"/>
        <v>46523</v>
      </c>
      <c r="AE83" s="310">
        <f t="shared" si="283"/>
        <v>17.02</v>
      </c>
      <c r="AF83" s="252">
        <f t="shared" si="284"/>
        <v>24497</v>
      </c>
      <c r="AG83" s="306">
        <f t="shared" ref="AG83:AG84" si="294">ROUND(AC83*0.15,2)</f>
        <v>4.85</v>
      </c>
      <c r="AH83" s="252">
        <f t="shared" ref="AH83:AH84" si="295">ROUND(AD83*0.15,0)</f>
        <v>6978</v>
      </c>
      <c r="AI83" s="311"/>
      <c r="AJ83" s="311"/>
      <c r="AK83" s="311"/>
      <c r="AL83" s="311"/>
      <c r="AM83" s="312"/>
      <c r="AN83" s="313"/>
    </row>
    <row r="84" ht="12.75" customHeight="1">
      <c r="A84" s="245" t="s">
        <v>544</v>
      </c>
      <c r="B84" s="246" t="s">
        <v>118</v>
      </c>
      <c r="C84" s="247" t="s">
        <v>119</v>
      </c>
      <c r="D84" s="247" t="s">
        <v>185</v>
      </c>
      <c r="E84" s="247" t="s">
        <v>181</v>
      </c>
      <c r="F84" s="248"/>
      <c r="G84" s="247" t="s">
        <v>127</v>
      </c>
      <c r="H84" s="247" t="s">
        <v>186</v>
      </c>
      <c r="I84" s="248" t="s">
        <v>105</v>
      </c>
      <c r="J84" s="300" t="s">
        <v>106</v>
      </c>
      <c r="K84" s="314">
        <f t="shared" ref="K84:R84" si="290">-K83</f>
        <v>-32.32</v>
      </c>
      <c r="L84" s="309">
        <f t="shared" si="290"/>
        <v>-46518</v>
      </c>
      <c r="M84" s="315">
        <f t="shared" si="290"/>
        <v>-4.85</v>
      </c>
      <c r="N84" s="252">
        <f t="shared" si="290"/>
        <v>-6980</v>
      </c>
      <c r="O84" s="251">
        <f t="shared" si="290"/>
        <v>0</v>
      </c>
      <c r="P84" s="252">
        <f t="shared" si="290"/>
        <v>0</v>
      </c>
      <c r="Q84" s="251">
        <f t="shared" si="290"/>
        <v>-4.85</v>
      </c>
      <c r="R84" s="252">
        <f t="shared" si="290"/>
        <v>-6980</v>
      </c>
      <c r="S84" s="253">
        <v>1439.3</v>
      </c>
      <c r="T84" s="254">
        <v>15.0</v>
      </c>
      <c r="U84" s="255" t="s">
        <v>107</v>
      </c>
      <c r="V84" s="255"/>
      <c r="W84" s="304">
        <v>0.6734</v>
      </c>
      <c r="X84" s="304">
        <v>0.318871</v>
      </c>
      <c r="Y84" s="304">
        <v>0.354529</v>
      </c>
      <c r="Z84" s="305">
        <f>-Z83</f>
        <v>-48</v>
      </c>
      <c r="AA84" s="306">
        <f t="shared" si="291"/>
        <v>-32.3232</v>
      </c>
      <c r="AB84" s="307">
        <f t="shared" si="292"/>
        <v>-46523</v>
      </c>
      <c r="AC84" s="308">
        <f t="shared" si="293"/>
        <v>-32.3232</v>
      </c>
      <c r="AD84" s="309">
        <f t="shared" si="282"/>
        <v>-46523</v>
      </c>
      <c r="AE84" s="310">
        <f t="shared" si="283"/>
        <v>-17.02</v>
      </c>
      <c r="AF84" s="252">
        <f t="shared" si="284"/>
        <v>-24497</v>
      </c>
      <c r="AG84" s="306">
        <f t="shared" si="294"/>
        <v>-4.85</v>
      </c>
      <c r="AH84" s="252">
        <f t="shared" si="295"/>
        <v>-6978</v>
      </c>
      <c r="AI84" s="311"/>
      <c r="AJ84" s="311"/>
      <c r="AK84" s="311"/>
      <c r="AL84" s="311"/>
      <c r="AM84" s="312"/>
      <c r="AN84" s="313"/>
    </row>
    <row r="85" ht="12.75" customHeight="1">
      <c r="A85" s="256" t="s">
        <v>545</v>
      </c>
      <c r="B85" s="257" t="s">
        <v>118</v>
      </c>
      <c r="C85" s="258" t="s">
        <v>119</v>
      </c>
      <c r="D85" s="258" t="s">
        <v>185</v>
      </c>
      <c r="E85" s="258" t="s">
        <v>181</v>
      </c>
      <c r="F85" s="259"/>
      <c r="G85" s="258" t="s">
        <v>127</v>
      </c>
      <c r="H85" s="258" t="s">
        <v>186</v>
      </c>
      <c r="I85" s="259" t="s">
        <v>105</v>
      </c>
      <c r="J85" s="316" t="s">
        <v>106</v>
      </c>
      <c r="K85" s="317">
        <f>ROUND(M85/0.15,2)</f>
        <v>15.33</v>
      </c>
      <c r="L85" s="318">
        <f>ROUND(N85/0.15,0)</f>
        <v>22067</v>
      </c>
      <c r="M85" s="319">
        <f t="shared" ref="M85:N85" si="296">Q85</f>
        <v>2.3</v>
      </c>
      <c r="N85" s="261">
        <f t="shared" si="296"/>
        <v>3310</v>
      </c>
      <c r="O85" s="262">
        <v>2.55</v>
      </c>
      <c r="P85" s="263">
        <v>3670.0</v>
      </c>
      <c r="Q85" s="260">
        <f t="shared" ref="Q85:R85" si="297">M83-O85</f>
        <v>2.3</v>
      </c>
      <c r="R85" s="261">
        <f t="shared" si="297"/>
        <v>3310</v>
      </c>
      <c r="S85" s="264">
        <v>1439.3</v>
      </c>
      <c r="T85" s="265">
        <v>15.0</v>
      </c>
      <c r="U85" s="266" t="s">
        <v>107</v>
      </c>
      <c r="V85" s="266" t="s">
        <v>1008</v>
      </c>
      <c r="W85" s="320">
        <v>0.6734</v>
      </c>
      <c r="X85" s="320">
        <v>0.318871</v>
      </c>
      <c r="Y85" s="320">
        <v>0.354529</v>
      </c>
      <c r="Z85" s="321">
        <f>Z83</f>
        <v>48</v>
      </c>
      <c r="AA85" s="311"/>
      <c r="AB85" s="322"/>
      <c r="AC85" s="323">
        <f>IFERROR(ROUND(Z85*X85,2),0)</f>
        <v>15.31</v>
      </c>
      <c r="AD85" s="318">
        <f t="shared" si="282"/>
        <v>22036</v>
      </c>
      <c r="AE85" s="324">
        <f t="shared" si="283"/>
        <v>17.02</v>
      </c>
      <c r="AF85" s="261">
        <f t="shared" si="284"/>
        <v>24497</v>
      </c>
      <c r="AG85" s="311"/>
      <c r="AH85" s="311"/>
      <c r="AI85" s="325">
        <f>ROUND(AC85*0.15,2)</f>
        <v>2.3</v>
      </c>
      <c r="AJ85" s="261">
        <f>ROUND(AD85*0.15,0)</f>
        <v>3305</v>
      </c>
      <c r="AK85" s="325">
        <f>ROUND(AE85*0.15,2)</f>
        <v>2.55</v>
      </c>
      <c r="AL85" s="261">
        <f>ROUND(AF85*0.15,0)</f>
        <v>3675</v>
      </c>
      <c r="AM85" s="326">
        <f>IFERROR(AC85/K85,IFERROR(AK85/O85,""))</f>
        <v>0.9986953686</v>
      </c>
      <c r="AN85" s="313"/>
    </row>
    <row r="86" ht="12.75" customHeight="1">
      <c r="A86" s="245" t="s">
        <v>547</v>
      </c>
      <c r="B86" s="246" t="s">
        <v>118</v>
      </c>
      <c r="C86" s="247" t="s">
        <v>119</v>
      </c>
      <c r="D86" s="247" t="s">
        <v>187</v>
      </c>
      <c r="E86" s="247" t="s">
        <v>187</v>
      </c>
      <c r="F86" s="248"/>
      <c r="G86" s="247" t="s">
        <v>116</v>
      </c>
      <c r="H86" s="247" t="s">
        <v>117</v>
      </c>
      <c r="I86" s="248" t="s">
        <v>105</v>
      </c>
      <c r="J86" s="300" t="s">
        <v>106</v>
      </c>
      <c r="K86" s="301">
        <v>368.25</v>
      </c>
      <c r="L86" s="302">
        <v>525345.0</v>
      </c>
      <c r="M86" s="303">
        <v>55.24</v>
      </c>
      <c r="N86" s="250">
        <v>78805.0</v>
      </c>
      <c r="O86" s="249">
        <v>0.0</v>
      </c>
      <c r="P86" s="250">
        <v>0.0</v>
      </c>
      <c r="Q86" s="251">
        <f t="shared" ref="Q86:R86" si="298">M86-O86</f>
        <v>55.24</v>
      </c>
      <c r="R86" s="252">
        <f t="shared" si="298"/>
        <v>78805</v>
      </c>
      <c r="S86" s="253">
        <v>1426.6</v>
      </c>
      <c r="T86" s="254">
        <v>15.0</v>
      </c>
      <c r="U86" s="255" t="s">
        <v>107</v>
      </c>
      <c r="V86" s="255"/>
      <c r="W86" s="304">
        <v>0.743154</v>
      </c>
      <c r="X86" s="304">
        <v>0.743154</v>
      </c>
      <c r="Y86" s="304">
        <v>0.0</v>
      </c>
      <c r="Z86" s="305">
        <f>IFERROR(ROUND(K86/W86,0),0)</f>
        <v>496</v>
      </c>
      <c r="AA86" s="306">
        <f t="shared" ref="AA86:AA87" si="300">Z86*W86</f>
        <v>368.604384</v>
      </c>
      <c r="AB86" s="307">
        <f t="shared" ref="AB86:AB87" si="301">ROUND(AA86*S86,0)</f>
        <v>525851</v>
      </c>
      <c r="AC86" s="308">
        <f t="shared" ref="AC86:AC87" si="302">AA86</f>
        <v>368.604384</v>
      </c>
      <c r="AD86" s="309">
        <f t="shared" si="282"/>
        <v>525851</v>
      </c>
      <c r="AE86" s="310">
        <f t="shared" si="283"/>
        <v>0</v>
      </c>
      <c r="AF86" s="252">
        <f t="shared" si="284"/>
        <v>0</v>
      </c>
      <c r="AG86" s="306">
        <f t="shared" ref="AG86:AG87" si="303">ROUND(AC86*0.15,2)</f>
        <v>55.29</v>
      </c>
      <c r="AH86" s="252">
        <f t="shared" ref="AH86:AH87" si="304">ROUND(AD86*0.15,0)</f>
        <v>78878</v>
      </c>
      <c r="AI86" s="311"/>
      <c r="AJ86" s="311"/>
      <c r="AK86" s="311"/>
      <c r="AL86" s="311"/>
      <c r="AM86" s="312"/>
      <c r="AN86" s="313"/>
    </row>
    <row r="87" ht="12.75" customHeight="1">
      <c r="A87" s="245" t="s">
        <v>548</v>
      </c>
      <c r="B87" s="246" t="s">
        <v>118</v>
      </c>
      <c r="C87" s="247" t="s">
        <v>119</v>
      </c>
      <c r="D87" s="247" t="s">
        <v>187</v>
      </c>
      <c r="E87" s="247" t="s">
        <v>187</v>
      </c>
      <c r="F87" s="248"/>
      <c r="G87" s="247" t="s">
        <v>116</v>
      </c>
      <c r="H87" s="247" t="s">
        <v>117</v>
      </c>
      <c r="I87" s="248" t="s">
        <v>105</v>
      </c>
      <c r="J87" s="300" t="s">
        <v>106</v>
      </c>
      <c r="K87" s="314">
        <f t="shared" ref="K87:R87" si="299">-K86</f>
        <v>-368.25</v>
      </c>
      <c r="L87" s="309">
        <f t="shared" si="299"/>
        <v>-525345</v>
      </c>
      <c r="M87" s="315">
        <f t="shared" si="299"/>
        <v>-55.24</v>
      </c>
      <c r="N87" s="252">
        <f t="shared" si="299"/>
        <v>-78805</v>
      </c>
      <c r="O87" s="251">
        <f t="shared" si="299"/>
        <v>0</v>
      </c>
      <c r="P87" s="252">
        <f t="shared" si="299"/>
        <v>0</v>
      </c>
      <c r="Q87" s="251">
        <f t="shared" si="299"/>
        <v>-55.24</v>
      </c>
      <c r="R87" s="252">
        <f t="shared" si="299"/>
        <v>-78805</v>
      </c>
      <c r="S87" s="253">
        <v>1426.6</v>
      </c>
      <c r="T87" s="254">
        <v>15.0</v>
      </c>
      <c r="U87" s="255" t="s">
        <v>107</v>
      </c>
      <c r="V87" s="255"/>
      <c r="W87" s="304">
        <v>0.743154</v>
      </c>
      <c r="X87" s="304">
        <v>0.743154</v>
      </c>
      <c r="Y87" s="304">
        <v>0.0</v>
      </c>
      <c r="Z87" s="305">
        <f>-Z86</f>
        <v>-496</v>
      </c>
      <c r="AA87" s="306">
        <f t="shared" si="300"/>
        <v>-368.604384</v>
      </c>
      <c r="AB87" s="307">
        <f t="shared" si="301"/>
        <v>-525851</v>
      </c>
      <c r="AC87" s="308">
        <f t="shared" si="302"/>
        <v>-368.604384</v>
      </c>
      <c r="AD87" s="309">
        <f t="shared" si="282"/>
        <v>-525851</v>
      </c>
      <c r="AE87" s="310">
        <f t="shared" si="283"/>
        <v>0</v>
      </c>
      <c r="AF87" s="252">
        <f t="shared" si="284"/>
        <v>0</v>
      </c>
      <c r="AG87" s="306">
        <f t="shared" si="303"/>
        <v>-55.29</v>
      </c>
      <c r="AH87" s="252">
        <f t="shared" si="304"/>
        <v>-78878</v>
      </c>
      <c r="AI87" s="311"/>
      <c r="AJ87" s="311"/>
      <c r="AK87" s="311"/>
      <c r="AL87" s="311"/>
      <c r="AM87" s="312"/>
      <c r="AN87" s="313"/>
    </row>
    <row r="88" ht="12.75" customHeight="1">
      <c r="A88" s="327" t="s">
        <v>549</v>
      </c>
      <c r="B88" s="328" t="s">
        <v>118</v>
      </c>
      <c r="C88" s="329" t="s">
        <v>119</v>
      </c>
      <c r="D88" s="329" t="s">
        <v>187</v>
      </c>
      <c r="E88" s="329" t="s">
        <v>187</v>
      </c>
      <c r="F88" s="330"/>
      <c r="G88" s="329" t="s">
        <v>116</v>
      </c>
      <c r="H88" s="329" t="s">
        <v>117</v>
      </c>
      <c r="I88" s="330" t="s">
        <v>105</v>
      </c>
      <c r="J88" s="331" t="s">
        <v>106</v>
      </c>
      <c r="K88" s="332">
        <f>ROUND(M88/0.15,2)</f>
        <v>346.33</v>
      </c>
      <c r="L88" s="333">
        <f>ROUND(N88/0.15,0)</f>
        <v>494073</v>
      </c>
      <c r="M88" s="334">
        <f t="shared" ref="M88:N88" si="305">Q88</f>
        <v>51.95</v>
      </c>
      <c r="N88" s="335">
        <f t="shared" si="305"/>
        <v>74111</v>
      </c>
      <c r="O88" s="336">
        <v>3.29</v>
      </c>
      <c r="P88" s="337">
        <v>4694.0</v>
      </c>
      <c r="Q88" s="338">
        <f t="shared" ref="Q88:R88" si="306">M86-O88</f>
        <v>51.95</v>
      </c>
      <c r="R88" s="335">
        <f t="shared" si="306"/>
        <v>74111</v>
      </c>
      <c r="S88" s="339">
        <v>1426.6</v>
      </c>
      <c r="T88" s="340">
        <v>15.0</v>
      </c>
      <c r="U88" s="341" t="s">
        <v>107</v>
      </c>
      <c r="V88" s="341" t="s">
        <v>1009</v>
      </c>
      <c r="W88" s="342">
        <v>0.743154</v>
      </c>
      <c r="X88" s="342">
        <v>0.743154</v>
      </c>
      <c r="Y88" s="342">
        <v>0.0</v>
      </c>
      <c r="Z88" s="343">
        <f>Z86</f>
        <v>496</v>
      </c>
      <c r="AA88" s="344"/>
      <c r="AB88" s="345"/>
      <c r="AC88" s="346">
        <f t="shared" ref="AC88:AD88" si="307">K88</f>
        <v>346.33</v>
      </c>
      <c r="AD88" s="347">
        <f t="shared" si="307"/>
        <v>494073</v>
      </c>
      <c r="AE88" s="348">
        <f t="shared" ref="AE88:AF88" si="308">round(AK88/0.15,2)</f>
        <v>21.93</v>
      </c>
      <c r="AF88" s="348">
        <f t="shared" si="308"/>
        <v>31293.33</v>
      </c>
      <c r="AG88" s="349"/>
      <c r="AH88" s="349"/>
      <c r="AI88" s="350">
        <f>ROUND(AC88*0.15,2)</f>
        <v>51.95</v>
      </c>
      <c r="AJ88" s="351">
        <f>ROUND(AD88*0.15,0)</f>
        <v>74111</v>
      </c>
      <c r="AK88" s="350">
        <f t="shared" ref="AK88:AL88" si="309">O88</f>
        <v>3.29</v>
      </c>
      <c r="AL88" s="350">
        <f t="shared" si="309"/>
        <v>4694</v>
      </c>
      <c r="AM88" s="352">
        <f>IFERROR(AC88/K88,IFERROR(AK88/O88,""))</f>
        <v>1</v>
      </c>
      <c r="AN88" s="353" t="s">
        <v>983</v>
      </c>
    </row>
    <row r="89" ht="12.75" customHeight="1">
      <c r="A89" s="245" t="s">
        <v>551</v>
      </c>
      <c r="B89" s="246" t="s">
        <v>118</v>
      </c>
      <c r="C89" s="247" t="s">
        <v>119</v>
      </c>
      <c r="D89" s="247" t="s">
        <v>187</v>
      </c>
      <c r="E89" s="247" t="s">
        <v>188</v>
      </c>
      <c r="F89" s="248"/>
      <c r="G89" s="247" t="s">
        <v>131</v>
      </c>
      <c r="H89" s="247" t="s">
        <v>167</v>
      </c>
      <c r="I89" s="248" t="s">
        <v>105</v>
      </c>
      <c r="J89" s="300" t="s">
        <v>106</v>
      </c>
      <c r="K89" s="301">
        <v>518.2</v>
      </c>
      <c r="L89" s="302">
        <v>739264.0</v>
      </c>
      <c r="M89" s="303">
        <v>77.73</v>
      </c>
      <c r="N89" s="250">
        <v>110889.0</v>
      </c>
      <c r="O89" s="249">
        <v>0.0</v>
      </c>
      <c r="P89" s="250">
        <v>0.0</v>
      </c>
      <c r="Q89" s="251">
        <f t="shared" ref="Q89:R89" si="310">M89-O89</f>
        <v>77.73</v>
      </c>
      <c r="R89" s="252">
        <f t="shared" si="310"/>
        <v>110889</v>
      </c>
      <c r="S89" s="253">
        <v>1426.6</v>
      </c>
      <c r="T89" s="254">
        <v>15.0</v>
      </c>
      <c r="U89" s="255" t="s">
        <v>107</v>
      </c>
      <c r="V89" s="255"/>
      <c r="W89" s="304">
        <v>0.651</v>
      </c>
      <c r="X89" s="304">
        <v>0.019227</v>
      </c>
      <c r="Y89" s="304">
        <v>0.631773</v>
      </c>
      <c r="Z89" s="305">
        <f>IFERROR(ROUND(K89/W89,0),0)</f>
        <v>796</v>
      </c>
      <c r="AA89" s="306">
        <f t="shared" ref="AA89:AA90" si="312">Z89*W89</f>
        <v>518.196</v>
      </c>
      <c r="AB89" s="307">
        <f t="shared" ref="AB89:AB90" si="313">ROUND(AA89*S89,0)</f>
        <v>739258</v>
      </c>
      <c r="AC89" s="308">
        <f t="shared" ref="AC89:AC90" si="314">AA89</f>
        <v>518.196</v>
      </c>
      <c r="AD89" s="309">
        <f t="shared" ref="AD89:AD94" si="315">ROUND(AC89*S89,0)</f>
        <v>739258</v>
      </c>
      <c r="AE89" s="310">
        <f t="shared" ref="AE89:AE94" si="316">IFERROR(ROUND(Z89*Y89,2),0)</f>
        <v>502.89</v>
      </c>
      <c r="AF89" s="252">
        <f t="shared" ref="AF89:AF94" si="317">ROUND(AE89*S89,0)</f>
        <v>717423</v>
      </c>
      <c r="AG89" s="306">
        <f t="shared" ref="AG89:AG90" si="318">ROUND(AC89*0.15,2)</f>
        <v>77.73</v>
      </c>
      <c r="AH89" s="252">
        <f t="shared" ref="AH89:AH90" si="319">ROUND(AD89*0.15,0)</f>
        <v>110889</v>
      </c>
      <c r="AI89" s="311"/>
      <c r="AJ89" s="311"/>
      <c r="AK89" s="311"/>
      <c r="AL89" s="311"/>
      <c r="AM89" s="312"/>
      <c r="AN89" s="313"/>
    </row>
    <row r="90" ht="12.75" customHeight="1">
      <c r="A90" s="245" t="s">
        <v>552</v>
      </c>
      <c r="B90" s="246" t="s">
        <v>118</v>
      </c>
      <c r="C90" s="247" t="s">
        <v>119</v>
      </c>
      <c r="D90" s="247" t="s">
        <v>187</v>
      </c>
      <c r="E90" s="247" t="s">
        <v>188</v>
      </c>
      <c r="F90" s="248"/>
      <c r="G90" s="247" t="s">
        <v>131</v>
      </c>
      <c r="H90" s="247" t="s">
        <v>167</v>
      </c>
      <c r="I90" s="248" t="s">
        <v>105</v>
      </c>
      <c r="J90" s="300" t="s">
        <v>106</v>
      </c>
      <c r="K90" s="314">
        <f t="shared" ref="K90:R90" si="311">-K89</f>
        <v>-518.2</v>
      </c>
      <c r="L90" s="309">
        <f t="shared" si="311"/>
        <v>-739264</v>
      </c>
      <c r="M90" s="315">
        <f t="shared" si="311"/>
        <v>-77.73</v>
      </c>
      <c r="N90" s="252">
        <f t="shared" si="311"/>
        <v>-110889</v>
      </c>
      <c r="O90" s="251">
        <f t="shared" si="311"/>
        <v>0</v>
      </c>
      <c r="P90" s="252">
        <f t="shared" si="311"/>
        <v>0</v>
      </c>
      <c r="Q90" s="251">
        <f t="shared" si="311"/>
        <v>-77.73</v>
      </c>
      <c r="R90" s="252">
        <f t="shared" si="311"/>
        <v>-110889</v>
      </c>
      <c r="S90" s="253">
        <v>1426.6</v>
      </c>
      <c r="T90" s="254">
        <v>15.0</v>
      </c>
      <c r="U90" s="255" t="s">
        <v>107</v>
      </c>
      <c r="V90" s="255"/>
      <c r="W90" s="304">
        <v>0.651</v>
      </c>
      <c r="X90" s="304">
        <v>0.019227</v>
      </c>
      <c r="Y90" s="304">
        <v>0.631773</v>
      </c>
      <c r="Z90" s="305">
        <f>-Z89</f>
        <v>-796</v>
      </c>
      <c r="AA90" s="306">
        <f t="shared" si="312"/>
        <v>-518.196</v>
      </c>
      <c r="AB90" s="307">
        <f t="shared" si="313"/>
        <v>-739258</v>
      </c>
      <c r="AC90" s="308">
        <f t="shared" si="314"/>
        <v>-518.196</v>
      </c>
      <c r="AD90" s="309">
        <f t="shared" si="315"/>
        <v>-739258</v>
      </c>
      <c r="AE90" s="310">
        <f t="shared" si="316"/>
        <v>-502.89</v>
      </c>
      <c r="AF90" s="252">
        <f t="shared" si="317"/>
        <v>-717423</v>
      </c>
      <c r="AG90" s="306">
        <f t="shared" si="318"/>
        <v>-77.73</v>
      </c>
      <c r="AH90" s="252">
        <f t="shared" si="319"/>
        <v>-110889</v>
      </c>
      <c r="AI90" s="311"/>
      <c r="AJ90" s="311"/>
      <c r="AK90" s="311"/>
      <c r="AL90" s="311"/>
      <c r="AM90" s="312"/>
      <c r="AN90" s="313"/>
    </row>
    <row r="91" ht="12.75" customHeight="1">
      <c r="A91" s="256" t="s">
        <v>553</v>
      </c>
      <c r="B91" s="257" t="s">
        <v>118</v>
      </c>
      <c r="C91" s="258" t="s">
        <v>119</v>
      </c>
      <c r="D91" s="258" t="s">
        <v>187</v>
      </c>
      <c r="E91" s="258" t="s">
        <v>188</v>
      </c>
      <c r="F91" s="259"/>
      <c r="G91" s="258" t="s">
        <v>131</v>
      </c>
      <c r="H91" s="258" t="s">
        <v>167</v>
      </c>
      <c r="I91" s="259" t="s">
        <v>105</v>
      </c>
      <c r="J91" s="316" t="s">
        <v>106</v>
      </c>
      <c r="K91" s="317">
        <f>ROUND(M91/0.15,2)</f>
        <v>15.27</v>
      </c>
      <c r="L91" s="318">
        <f>ROUND(N91/0.15,0)</f>
        <v>21773</v>
      </c>
      <c r="M91" s="319">
        <f t="shared" ref="M91:N91" si="320">Q91</f>
        <v>2.29</v>
      </c>
      <c r="N91" s="261">
        <f t="shared" si="320"/>
        <v>3266</v>
      </c>
      <c r="O91" s="262">
        <v>75.44</v>
      </c>
      <c r="P91" s="263">
        <v>107623.0</v>
      </c>
      <c r="Q91" s="260">
        <f t="shared" ref="Q91:R91" si="321">M89-O91</f>
        <v>2.29</v>
      </c>
      <c r="R91" s="261">
        <f t="shared" si="321"/>
        <v>3266</v>
      </c>
      <c r="S91" s="264">
        <v>1426.6</v>
      </c>
      <c r="T91" s="265">
        <v>15.0</v>
      </c>
      <c r="U91" s="266" t="s">
        <v>107</v>
      </c>
      <c r="V91" s="266" t="s">
        <v>1010</v>
      </c>
      <c r="W91" s="320">
        <v>0.651</v>
      </c>
      <c r="X91" s="320">
        <v>0.019227</v>
      </c>
      <c r="Y91" s="320">
        <v>0.631773</v>
      </c>
      <c r="Z91" s="321">
        <f>Z89</f>
        <v>796</v>
      </c>
      <c r="AA91" s="311"/>
      <c r="AB91" s="322"/>
      <c r="AC91" s="323">
        <f>IFERROR(ROUND(Z91*X91,2),0)</f>
        <v>15.3</v>
      </c>
      <c r="AD91" s="318">
        <f t="shared" si="315"/>
        <v>21827</v>
      </c>
      <c r="AE91" s="324">
        <f t="shared" si="316"/>
        <v>502.89</v>
      </c>
      <c r="AF91" s="261">
        <f t="shared" si="317"/>
        <v>717423</v>
      </c>
      <c r="AG91" s="311"/>
      <c r="AH91" s="311"/>
      <c r="AI91" s="325">
        <f>ROUND(AC91*0.15,2)</f>
        <v>2.3</v>
      </c>
      <c r="AJ91" s="261">
        <f>ROUND(AD91*0.15,0)</f>
        <v>3274</v>
      </c>
      <c r="AK91" s="325">
        <f>ROUND(AE91*0.15,2)</f>
        <v>75.43</v>
      </c>
      <c r="AL91" s="261">
        <f>ROUND(AF91*0.15,0)</f>
        <v>107613</v>
      </c>
      <c r="AM91" s="326">
        <f>IFERROR(AC91/K91,IFERROR(AK91/O91,""))</f>
        <v>1.001964637</v>
      </c>
      <c r="AN91" s="313"/>
    </row>
    <row r="92" ht="12.75" customHeight="1">
      <c r="A92" s="245" t="s">
        <v>555</v>
      </c>
      <c r="B92" s="246" t="s">
        <v>118</v>
      </c>
      <c r="C92" s="247" t="s">
        <v>119</v>
      </c>
      <c r="D92" s="247" t="s">
        <v>189</v>
      </c>
      <c r="E92" s="247" t="s">
        <v>190</v>
      </c>
      <c r="F92" s="248"/>
      <c r="G92" s="247" t="s">
        <v>135</v>
      </c>
      <c r="H92" s="247" t="s">
        <v>172</v>
      </c>
      <c r="I92" s="248" t="s">
        <v>105</v>
      </c>
      <c r="J92" s="300" t="s">
        <v>106</v>
      </c>
      <c r="K92" s="301">
        <v>1405.05</v>
      </c>
      <c r="L92" s="302">
        <v>1974938.0</v>
      </c>
      <c r="M92" s="303">
        <v>210.76</v>
      </c>
      <c r="N92" s="250">
        <v>296244.0</v>
      </c>
      <c r="O92" s="249">
        <v>0.0</v>
      </c>
      <c r="P92" s="250">
        <v>0.0</v>
      </c>
      <c r="Q92" s="251">
        <f t="shared" ref="Q92:R92" si="322">M92-O92</f>
        <v>210.76</v>
      </c>
      <c r="R92" s="252">
        <f t="shared" si="322"/>
        <v>296244</v>
      </c>
      <c r="S92" s="253">
        <v>1405.6</v>
      </c>
      <c r="T92" s="254">
        <v>15.0</v>
      </c>
      <c r="U92" s="255" t="s">
        <v>107</v>
      </c>
      <c r="V92" s="255"/>
      <c r="W92" s="304">
        <v>2.3734</v>
      </c>
      <c r="X92" s="304">
        <v>0.0</v>
      </c>
      <c r="Y92" s="304">
        <v>2.3734</v>
      </c>
      <c r="Z92" s="305">
        <f>IFERROR(ROUND(K92/W92,0),0)</f>
        <v>592</v>
      </c>
      <c r="AA92" s="306">
        <f t="shared" ref="AA92:AA93" si="324">Z92*W92</f>
        <v>1405.0528</v>
      </c>
      <c r="AB92" s="307">
        <f t="shared" ref="AB92:AB93" si="325">ROUND(AA92*S92,0)</f>
        <v>1974942</v>
      </c>
      <c r="AC92" s="308">
        <f t="shared" ref="AC92:AC93" si="326">AA92</f>
        <v>1405.0528</v>
      </c>
      <c r="AD92" s="309">
        <f t="shared" si="315"/>
        <v>1974942</v>
      </c>
      <c r="AE92" s="310">
        <f t="shared" si="316"/>
        <v>1405.05</v>
      </c>
      <c r="AF92" s="252">
        <f t="shared" si="317"/>
        <v>1974938</v>
      </c>
      <c r="AG92" s="306">
        <f t="shared" ref="AG92:AG93" si="327">ROUND(AC92*0.15,2)</f>
        <v>210.76</v>
      </c>
      <c r="AH92" s="252">
        <f t="shared" ref="AH92:AH93" si="328">ROUND(AD92*0.15,0)</f>
        <v>296241</v>
      </c>
      <c r="AI92" s="311"/>
      <c r="AJ92" s="311"/>
      <c r="AK92" s="311"/>
      <c r="AL92" s="311"/>
      <c r="AM92" s="312"/>
      <c r="AN92" s="313"/>
    </row>
    <row r="93" ht="12.75" customHeight="1">
      <c r="A93" s="245" t="s">
        <v>556</v>
      </c>
      <c r="B93" s="246" t="s">
        <v>118</v>
      </c>
      <c r="C93" s="247" t="s">
        <v>119</v>
      </c>
      <c r="D93" s="247" t="s">
        <v>189</v>
      </c>
      <c r="E93" s="247" t="s">
        <v>190</v>
      </c>
      <c r="F93" s="248"/>
      <c r="G93" s="247" t="s">
        <v>135</v>
      </c>
      <c r="H93" s="247" t="s">
        <v>172</v>
      </c>
      <c r="I93" s="248" t="s">
        <v>105</v>
      </c>
      <c r="J93" s="300" t="s">
        <v>106</v>
      </c>
      <c r="K93" s="314">
        <f t="shared" ref="K93:R93" si="323">-K92</f>
        <v>-1405.05</v>
      </c>
      <c r="L93" s="309">
        <f t="shared" si="323"/>
        <v>-1974938</v>
      </c>
      <c r="M93" s="315">
        <f t="shared" si="323"/>
        <v>-210.76</v>
      </c>
      <c r="N93" s="252">
        <f t="shared" si="323"/>
        <v>-296244</v>
      </c>
      <c r="O93" s="251">
        <f t="shared" si="323"/>
        <v>0</v>
      </c>
      <c r="P93" s="252">
        <f t="shared" si="323"/>
        <v>0</v>
      </c>
      <c r="Q93" s="251">
        <f t="shared" si="323"/>
        <v>-210.76</v>
      </c>
      <c r="R93" s="252">
        <f t="shared" si="323"/>
        <v>-296244</v>
      </c>
      <c r="S93" s="253">
        <v>1405.6</v>
      </c>
      <c r="T93" s="254">
        <v>15.0</v>
      </c>
      <c r="U93" s="255" t="s">
        <v>107</v>
      </c>
      <c r="V93" s="255"/>
      <c r="W93" s="304">
        <v>2.3734</v>
      </c>
      <c r="X93" s="304">
        <v>0.0</v>
      </c>
      <c r="Y93" s="304">
        <v>2.3734</v>
      </c>
      <c r="Z93" s="305">
        <f>-Z92</f>
        <v>-592</v>
      </c>
      <c r="AA93" s="306">
        <f t="shared" si="324"/>
        <v>-1405.0528</v>
      </c>
      <c r="AB93" s="307">
        <f t="shared" si="325"/>
        <v>-1974942</v>
      </c>
      <c r="AC93" s="308">
        <f t="shared" si="326"/>
        <v>-1405.0528</v>
      </c>
      <c r="AD93" s="309">
        <f t="shared" si="315"/>
        <v>-1974942</v>
      </c>
      <c r="AE93" s="310">
        <f t="shared" si="316"/>
        <v>-1405.05</v>
      </c>
      <c r="AF93" s="252">
        <f t="shared" si="317"/>
        <v>-1974938</v>
      </c>
      <c r="AG93" s="306">
        <f t="shared" si="327"/>
        <v>-210.76</v>
      </c>
      <c r="AH93" s="252">
        <f t="shared" si="328"/>
        <v>-296241</v>
      </c>
      <c r="AI93" s="311"/>
      <c r="AJ93" s="311"/>
      <c r="AK93" s="311"/>
      <c r="AL93" s="311"/>
      <c r="AM93" s="312"/>
      <c r="AN93" s="313"/>
    </row>
    <row r="94" ht="12.75" customHeight="1">
      <c r="A94" s="256" t="s">
        <v>557</v>
      </c>
      <c r="B94" s="257" t="s">
        <v>118</v>
      </c>
      <c r="C94" s="258" t="s">
        <v>119</v>
      </c>
      <c r="D94" s="258" t="s">
        <v>189</v>
      </c>
      <c r="E94" s="258" t="s">
        <v>190</v>
      </c>
      <c r="F94" s="259"/>
      <c r="G94" s="258" t="s">
        <v>135</v>
      </c>
      <c r="H94" s="258" t="s">
        <v>172</v>
      </c>
      <c r="I94" s="259" t="s">
        <v>105</v>
      </c>
      <c r="J94" s="316" t="s">
        <v>106</v>
      </c>
      <c r="K94" s="317">
        <f>ROUND(M94/0.15,2)</f>
        <v>0</v>
      </c>
      <c r="L94" s="318">
        <f>ROUND(N94/0.15,0)</f>
        <v>0</v>
      </c>
      <c r="M94" s="319">
        <f t="shared" ref="M94:N94" si="329">Q94</f>
        <v>0</v>
      </c>
      <c r="N94" s="261">
        <f t="shared" si="329"/>
        <v>0</v>
      </c>
      <c r="O94" s="262">
        <v>210.76</v>
      </c>
      <c r="P94" s="263">
        <v>296244.0</v>
      </c>
      <c r="Q94" s="260">
        <f t="shared" ref="Q94:R94" si="330">M92-O94</f>
        <v>0</v>
      </c>
      <c r="R94" s="261">
        <f t="shared" si="330"/>
        <v>0</v>
      </c>
      <c r="S94" s="264">
        <v>1405.6</v>
      </c>
      <c r="T94" s="265">
        <v>15.0</v>
      </c>
      <c r="U94" s="266" t="s">
        <v>107</v>
      </c>
      <c r="V94" s="266" t="s">
        <v>1011</v>
      </c>
      <c r="W94" s="320">
        <v>2.3734</v>
      </c>
      <c r="X94" s="320">
        <v>0.0</v>
      </c>
      <c r="Y94" s="320">
        <v>2.3734</v>
      </c>
      <c r="Z94" s="321">
        <f>Z92</f>
        <v>592</v>
      </c>
      <c r="AA94" s="311"/>
      <c r="AB94" s="322"/>
      <c r="AC94" s="323">
        <f>IFERROR(ROUND(Z94*X94,2),0)</f>
        <v>0</v>
      </c>
      <c r="AD94" s="318">
        <f t="shared" si="315"/>
        <v>0</v>
      </c>
      <c r="AE94" s="324">
        <f t="shared" si="316"/>
        <v>1405.05</v>
      </c>
      <c r="AF94" s="261">
        <f t="shared" si="317"/>
        <v>1974938</v>
      </c>
      <c r="AG94" s="311"/>
      <c r="AH94" s="311"/>
      <c r="AI94" s="325">
        <f>ROUND(AC94*0.15,2)</f>
        <v>0</v>
      </c>
      <c r="AJ94" s="261">
        <f>ROUND(AD94*0.15,0)</f>
        <v>0</v>
      </c>
      <c r="AK94" s="325">
        <f>ROUND(AE94*0.15,2)</f>
        <v>210.76</v>
      </c>
      <c r="AL94" s="261">
        <f>ROUND(AF94*0.15,0)</f>
        <v>296241</v>
      </c>
      <c r="AM94" s="326">
        <f>IFERROR(AC94/K94,IFERROR(AK94/O94,""))</f>
        <v>1</v>
      </c>
      <c r="AN94" s="313"/>
    </row>
    <row r="95" ht="12.75" customHeight="1">
      <c r="A95" s="267" t="s">
        <v>559</v>
      </c>
      <c r="B95" s="268" t="s">
        <v>118</v>
      </c>
      <c r="C95" s="269" t="s">
        <v>119</v>
      </c>
      <c r="D95" s="269" t="s">
        <v>191</v>
      </c>
      <c r="E95" s="270"/>
      <c r="F95" s="270"/>
      <c r="G95" s="269" t="s">
        <v>148</v>
      </c>
      <c r="H95" s="269" t="s">
        <v>1012</v>
      </c>
      <c r="I95" s="270" t="s">
        <v>105</v>
      </c>
      <c r="J95" s="354" t="s">
        <v>150</v>
      </c>
      <c r="K95" s="355">
        <v>0.0</v>
      </c>
      <c r="L95" s="356">
        <v>0.0</v>
      </c>
      <c r="M95" s="357">
        <v>0.0</v>
      </c>
      <c r="N95" s="272">
        <v>27.0</v>
      </c>
      <c r="O95" s="271">
        <v>0.0</v>
      </c>
      <c r="P95" s="272">
        <v>0.0</v>
      </c>
      <c r="Q95" s="273">
        <f t="shared" ref="Q95:R95" si="331">M95-O95</f>
        <v>0</v>
      </c>
      <c r="R95" s="274">
        <f t="shared" si="331"/>
        <v>27</v>
      </c>
      <c r="S95" s="275">
        <v>1.0</v>
      </c>
      <c r="T95" s="276">
        <v>0.0</v>
      </c>
      <c r="U95" s="277" t="s">
        <v>151</v>
      </c>
      <c r="V95" s="277"/>
      <c r="W95" s="358"/>
      <c r="X95" s="358"/>
      <c r="Y95" s="358"/>
      <c r="Z95" s="358"/>
      <c r="AA95" s="358"/>
      <c r="AB95" s="359"/>
      <c r="AC95" s="360">
        <f t="shared" ref="AC95:AD95" si="332">K95</f>
        <v>0</v>
      </c>
      <c r="AD95" s="361">
        <f t="shared" si="332"/>
        <v>0</v>
      </c>
      <c r="AE95" s="362"/>
      <c r="AF95" s="358"/>
      <c r="AG95" s="358"/>
      <c r="AH95" s="358"/>
      <c r="AI95" s="363">
        <f t="shared" ref="AI95:AJ95" si="333">Q95</f>
        <v>0</v>
      </c>
      <c r="AJ95" s="364">
        <f t="shared" si="333"/>
        <v>27</v>
      </c>
      <c r="AK95" s="358"/>
      <c r="AL95" s="358"/>
      <c r="AM95" s="365"/>
      <c r="AN95" s="366"/>
    </row>
    <row r="96" ht="12.75" customHeight="1">
      <c r="A96" s="267" t="s">
        <v>561</v>
      </c>
      <c r="B96" s="268" t="s">
        <v>118</v>
      </c>
      <c r="C96" s="269" t="s">
        <v>119</v>
      </c>
      <c r="D96" s="269" t="s">
        <v>193</v>
      </c>
      <c r="E96" s="270"/>
      <c r="F96" s="270"/>
      <c r="G96" s="269" t="s">
        <v>148</v>
      </c>
      <c r="H96" s="269" t="s">
        <v>1013</v>
      </c>
      <c r="I96" s="270" t="s">
        <v>105</v>
      </c>
      <c r="J96" s="354" t="s">
        <v>150</v>
      </c>
      <c r="K96" s="355">
        <v>0.0</v>
      </c>
      <c r="L96" s="356">
        <v>0.0</v>
      </c>
      <c r="M96" s="357">
        <v>0.0</v>
      </c>
      <c r="N96" s="272">
        <v>20.0</v>
      </c>
      <c r="O96" s="271">
        <v>0.0</v>
      </c>
      <c r="P96" s="272">
        <v>0.0</v>
      </c>
      <c r="Q96" s="273">
        <f t="shared" ref="Q96:R96" si="334">M96-O96</f>
        <v>0</v>
      </c>
      <c r="R96" s="274">
        <f t="shared" si="334"/>
        <v>20</v>
      </c>
      <c r="S96" s="275">
        <v>1.0</v>
      </c>
      <c r="T96" s="276">
        <v>0.0</v>
      </c>
      <c r="U96" s="277" t="s">
        <v>151</v>
      </c>
      <c r="V96" s="277"/>
      <c r="W96" s="358"/>
      <c r="X96" s="358"/>
      <c r="Y96" s="358"/>
      <c r="Z96" s="358"/>
      <c r="AA96" s="358"/>
      <c r="AB96" s="359"/>
      <c r="AC96" s="360">
        <f t="shared" ref="AC96:AD96" si="335">K96</f>
        <v>0</v>
      </c>
      <c r="AD96" s="361">
        <f t="shared" si="335"/>
        <v>0</v>
      </c>
      <c r="AE96" s="362"/>
      <c r="AF96" s="358"/>
      <c r="AG96" s="358"/>
      <c r="AH96" s="358"/>
      <c r="AI96" s="363">
        <f t="shared" ref="AI96:AJ96" si="336">Q96</f>
        <v>0</v>
      </c>
      <c r="AJ96" s="364">
        <f t="shared" si="336"/>
        <v>20</v>
      </c>
      <c r="AK96" s="358"/>
      <c r="AL96" s="358"/>
      <c r="AM96" s="365"/>
      <c r="AN96" s="366"/>
    </row>
    <row r="97" ht="12.75" customHeight="1">
      <c r="A97" s="245" t="s">
        <v>563</v>
      </c>
      <c r="B97" s="246" t="s">
        <v>118</v>
      </c>
      <c r="C97" s="247" t="s">
        <v>119</v>
      </c>
      <c r="D97" s="247" t="s">
        <v>195</v>
      </c>
      <c r="E97" s="247" t="s">
        <v>196</v>
      </c>
      <c r="F97" s="248"/>
      <c r="G97" s="247" t="s">
        <v>139</v>
      </c>
      <c r="H97" s="247" t="s">
        <v>180</v>
      </c>
      <c r="I97" s="248" t="s">
        <v>105</v>
      </c>
      <c r="J97" s="300" t="s">
        <v>106</v>
      </c>
      <c r="K97" s="301">
        <v>614.84</v>
      </c>
      <c r="L97" s="302">
        <v>859546.0</v>
      </c>
      <c r="M97" s="303">
        <v>92.23</v>
      </c>
      <c r="N97" s="250">
        <v>128937.0</v>
      </c>
      <c r="O97" s="249">
        <v>0.0</v>
      </c>
      <c r="P97" s="250">
        <v>0.0</v>
      </c>
      <c r="Q97" s="251">
        <f t="shared" ref="Q97:R97" si="337">M97-O97</f>
        <v>92.23</v>
      </c>
      <c r="R97" s="252">
        <f t="shared" si="337"/>
        <v>128937</v>
      </c>
      <c r="S97" s="253">
        <v>1398.0</v>
      </c>
      <c r="T97" s="254">
        <v>15.0</v>
      </c>
      <c r="U97" s="255" t="s">
        <v>107</v>
      </c>
      <c r="V97" s="255"/>
      <c r="W97" s="304">
        <v>0.76</v>
      </c>
      <c r="X97" s="304">
        <v>0.205434</v>
      </c>
      <c r="Y97" s="304">
        <v>0.554566</v>
      </c>
      <c r="Z97" s="305">
        <f>IFERROR(ROUND(K97/W97,0),0)</f>
        <v>809</v>
      </c>
      <c r="AA97" s="306">
        <f t="shared" ref="AA97:AA98" si="339">Z97*W97</f>
        <v>614.84</v>
      </c>
      <c r="AB97" s="307">
        <f t="shared" ref="AB97:AB98" si="340">ROUND(AA97*S97,0)</f>
        <v>859546</v>
      </c>
      <c r="AC97" s="308">
        <f t="shared" ref="AC97:AC98" si="341">AA97</f>
        <v>614.84</v>
      </c>
      <c r="AD97" s="309">
        <f t="shared" ref="AD97:AD113" si="342">ROUND(AC97*S97,0)</f>
        <v>859546</v>
      </c>
      <c r="AE97" s="310">
        <f t="shared" ref="AE97:AE113" si="343">IFERROR(ROUND(Z97*Y97,2),0)</f>
        <v>448.64</v>
      </c>
      <c r="AF97" s="252">
        <f t="shared" ref="AF97:AF113" si="344">ROUND(AE97*S97,0)</f>
        <v>627199</v>
      </c>
      <c r="AG97" s="306">
        <f t="shared" ref="AG97:AG98" si="345">ROUND(AC97*0.15,2)</f>
        <v>92.23</v>
      </c>
      <c r="AH97" s="252">
        <f t="shared" ref="AH97:AH98" si="346">ROUND(AD97*0.15,0)</f>
        <v>128932</v>
      </c>
      <c r="AI97" s="311"/>
      <c r="AJ97" s="311"/>
      <c r="AK97" s="311"/>
      <c r="AL97" s="311"/>
      <c r="AM97" s="312"/>
      <c r="AN97" s="313"/>
    </row>
    <row r="98" ht="12.75" customHeight="1">
      <c r="A98" s="245" t="s">
        <v>564</v>
      </c>
      <c r="B98" s="246" t="s">
        <v>118</v>
      </c>
      <c r="C98" s="247" t="s">
        <v>119</v>
      </c>
      <c r="D98" s="247" t="s">
        <v>195</v>
      </c>
      <c r="E98" s="247" t="s">
        <v>196</v>
      </c>
      <c r="F98" s="248"/>
      <c r="G98" s="247" t="s">
        <v>139</v>
      </c>
      <c r="H98" s="247" t="s">
        <v>180</v>
      </c>
      <c r="I98" s="248" t="s">
        <v>105</v>
      </c>
      <c r="J98" s="300" t="s">
        <v>106</v>
      </c>
      <c r="K98" s="314">
        <f t="shared" ref="K98:R98" si="338">-K97</f>
        <v>-614.84</v>
      </c>
      <c r="L98" s="309">
        <f t="shared" si="338"/>
        <v>-859546</v>
      </c>
      <c r="M98" s="315">
        <f t="shared" si="338"/>
        <v>-92.23</v>
      </c>
      <c r="N98" s="252">
        <f t="shared" si="338"/>
        <v>-128937</v>
      </c>
      <c r="O98" s="251">
        <f t="shared" si="338"/>
        <v>0</v>
      </c>
      <c r="P98" s="252">
        <f t="shared" si="338"/>
        <v>0</v>
      </c>
      <c r="Q98" s="251">
        <f t="shared" si="338"/>
        <v>-92.23</v>
      </c>
      <c r="R98" s="252">
        <f t="shared" si="338"/>
        <v>-128937</v>
      </c>
      <c r="S98" s="253">
        <v>1398.0</v>
      </c>
      <c r="T98" s="254">
        <v>15.0</v>
      </c>
      <c r="U98" s="255" t="s">
        <v>107</v>
      </c>
      <c r="V98" s="255"/>
      <c r="W98" s="304">
        <v>0.76</v>
      </c>
      <c r="X98" s="304">
        <v>0.205434</v>
      </c>
      <c r="Y98" s="304">
        <v>0.554566</v>
      </c>
      <c r="Z98" s="305">
        <f>-Z97</f>
        <v>-809</v>
      </c>
      <c r="AA98" s="306">
        <f t="shared" si="339"/>
        <v>-614.84</v>
      </c>
      <c r="AB98" s="307">
        <f t="shared" si="340"/>
        <v>-859546</v>
      </c>
      <c r="AC98" s="308">
        <f t="shared" si="341"/>
        <v>-614.84</v>
      </c>
      <c r="AD98" s="309">
        <f t="shared" si="342"/>
        <v>-859546</v>
      </c>
      <c r="AE98" s="310">
        <f t="shared" si="343"/>
        <v>-448.64</v>
      </c>
      <c r="AF98" s="252">
        <f t="shared" si="344"/>
        <v>-627199</v>
      </c>
      <c r="AG98" s="306">
        <f t="shared" si="345"/>
        <v>-92.23</v>
      </c>
      <c r="AH98" s="252">
        <f t="shared" si="346"/>
        <v>-128932</v>
      </c>
      <c r="AI98" s="311"/>
      <c r="AJ98" s="311"/>
      <c r="AK98" s="311"/>
      <c r="AL98" s="311"/>
      <c r="AM98" s="312"/>
      <c r="AN98" s="313"/>
    </row>
    <row r="99" ht="12.75" customHeight="1">
      <c r="A99" s="256" t="s">
        <v>565</v>
      </c>
      <c r="B99" s="257" t="s">
        <v>118</v>
      </c>
      <c r="C99" s="258" t="s">
        <v>119</v>
      </c>
      <c r="D99" s="258" t="s">
        <v>195</v>
      </c>
      <c r="E99" s="258" t="s">
        <v>196</v>
      </c>
      <c r="F99" s="259"/>
      <c r="G99" s="258" t="s">
        <v>139</v>
      </c>
      <c r="H99" s="258" t="s">
        <v>180</v>
      </c>
      <c r="I99" s="259" t="s">
        <v>105</v>
      </c>
      <c r="J99" s="316" t="s">
        <v>106</v>
      </c>
      <c r="K99" s="317">
        <f>ROUND(M99/0.15,2)</f>
        <v>166.2</v>
      </c>
      <c r="L99" s="318">
        <f>ROUND(N99/0.15,0)</f>
        <v>232347</v>
      </c>
      <c r="M99" s="319">
        <f t="shared" ref="M99:N99" si="347">Q99</f>
        <v>24.93</v>
      </c>
      <c r="N99" s="261">
        <f t="shared" si="347"/>
        <v>34852</v>
      </c>
      <c r="O99" s="262">
        <v>67.3</v>
      </c>
      <c r="P99" s="263">
        <v>94085.0</v>
      </c>
      <c r="Q99" s="260">
        <f t="shared" ref="Q99:R99" si="348">M97-O99</f>
        <v>24.93</v>
      </c>
      <c r="R99" s="261">
        <f t="shared" si="348"/>
        <v>34852</v>
      </c>
      <c r="S99" s="264">
        <v>1398.0</v>
      </c>
      <c r="T99" s="265">
        <v>15.0</v>
      </c>
      <c r="U99" s="266" t="s">
        <v>107</v>
      </c>
      <c r="V99" s="266" t="s">
        <v>1014</v>
      </c>
      <c r="W99" s="320">
        <v>0.76</v>
      </c>
      <c r="X99" s="320">
        <v>0.205434</v>
      </c>
      <c r="Y99" s="320">
        <v>0.554566</v>
      </c>
      <c r="Z99" s="321">
        <f>Z97</f>
        <v>809</v>
      </c>
      <c r="AA99" s="311"/>
      <c r="AB99" s="322"/>
      <c r="AC99" s="323">
        <f>IFERROR(ROUND(Z99*X99,2),0)</f>
        <v>166.2</v>
      </c>
      <c r="AD99" s="318">
        <f t="shared" si="342"/>
        <v>232348</v>
      </c>
      <c r="AE99" s="324">
        <f t="shared" si="343"/>
        <v>448.64</v>
      </c>
      <c r="AF99" s="261">
        <f t="shared" si="344"/>
        <v>627199</v>
      </c>
      <c r="AG99" s="311"/>
      <c r="AH99" s="311"/>
      <c r="AI99" s="325">
        <f>ROUND(AC99*0.15,2)</f>
        <v>24.93</v>
      </c>
      <c r="AJ99" s="261">
        <f>ROUND(AD99*0.15,0)</f>
        <v>34852</v>
      </c>
      <c r="AK99" s="325">
        <f>ROUND(AE99*0.15,2)</f>
        <v>67.3</v>
      </c>
      <c r="AL99" s="261">
        <f>ROUND(AF99*0.15,0)</f>
        <v>94080</v>
      </c>
      <c r="AM99" s="326">
        <f>IFERROR(AC99/K99,IFERROR(AK99/O99,""))</f>
        <v>1</v>
      </c>
      <c r="AN99" s="313"/>
    </row>
    <row r="100" ht="12.75" customHeight="1">
      <c r="A100" s="245" t="s">
        <v>567</v>
      </c>
      <c r="B100" s="246" t="s">
        <v>118</v>
      </c>
      <c r="C100" s="247" t="s">
        <v>119</v>
      </c>
      <c r="D100" s="247" t="s">
        <v>197</v>
      </c>
      <c r="E100" s="247" t="s">
        <v>197</v>
      </c>
      <c r="F100" s="248"/>
      <c r="G100" s="247" t="s">
        <v>143</v>
      </c>
      <c r="H100" s="247" t="s">
        <v>160</v>
      </c>
      <c r="I100" s="248" t="s">
        <v>105</v>
      </c>
      <c r="J100" s="300" t="s">
        <v>106</v>
      </c>
      <c r="K100" s="301">
        <v>26.75</v>
      </c>
      <c r="L100" s="302">
        <v>36872.0</v>
      </c>
      <c r="M100" s="303">
        <v>4.01</v>
      </c>
      <c r="N100" s="250">
        <v>5527.0</v>
      </c>
      <c r="O100" s="249">
        <v>0.0</v>
      </c>
      <c r="P100" s="250">
        <v>0.0</v>
      </c>
      <c r="Q100" s="251">
        <f t="shared" ref="Q100:R100" si="349">M100-O100</f>
        <v>4.01</v>
      </c>
      <c r="R100" s="252">
        <f t="shared" si="349"/>
        <v>5527</v>
      </c>
      <c r="S100" s="253">
        <v>1378.4</v>
      </c>
      <c r="T100" s="254">
        <v>15.0</v>
      </c>
      <c r="U100" s="255" t="s">
        <v>107</v>
      </c>
      <c r="V100" s="255"/>
      <c r="W100" s="304">
        <v>0.6369</v>
      </c>
      <c r="X100" s="304">
        <v>0.234698</v>
      </c>
      <c r="Y100" s="304">
        <v>0.402202</v>
      </c>
      <c r="Z100" s="305">
        <f>IFERROR(ROUND(K100/W100,0),0)</f>
        <v>42</v>
      </c>
      <c r="AA100" s="306">
        <f t="shared" ref="AA100:AA101" si="351">Z100*W100</f>
        <v>26.7498</v>
      </c>
      <c r="AB100" s="307">
        <f t="shared" ref="AB100:AB101" si="352">ROUND(AA100*S100,0)</f>
        <v>36872</v>
      </c>
      <c r="AC100" s="308">
        <f t="shared" ref="AC100:AC101" si="353">AA100</f>
        <v>26.7498</v>
      </c>
      <c r="AD100" s="309">
        <f t="shared" si="342"/>
        <v>36872</v>
      </c>
      <c r="AE100" s="310">
        <f t="shared" si="343"/>
        <v>16.89</v>
      </c>
      <c r="AF100" s="252">
        <f t="shared" si="344"/>
        <v>23281</v>
      </c>
      <c r="AG100" s="306">
        <f t="shared" ref="AG100:AG101" si="354">ROUND(AC100*0.15,2)</f>
        <v>4.01</v>
      </c>
      <c r="AH100" s="252">
        <f t="shared" ref="AH100:AH101" si="355">ROUND(AD100*0.15,0)</f>
        <v>5531</v>
      </c>
      <c r="AI100" s="311"/>
      <c r="AJ100" s="311"/>
      <c r="AK100" s="311"/>
      <c r="AL100" s="311"/>
      <c r="AM100" s="312"/>
      <c r="AN100" s="313"/>
    </row>
    <row r="101" ht="12.75" customHeight="1">
      <c r="A101" s="245" t="s">
        <v>568</v>
      </c>
      <c r="B101" s="246" t="s">
        <v>118</v>
      </c>
      <c r="C101" s="247" t="s">
        <v>119</v>
      </c>
      <c r="D101" s="247" t="s">
        <v>197</v>
      </c>
      <c r="E101" s="247" t="s">
        <v>197</v>
      </c>
      <c r="F101" s="248"/>
      <c r="G101" s="247" t="s">
        <v>143</v>
      </c>
      <c r="H101" s="247" t="s">
        <v>160</v>
      </c>
      <c r="I101" s="248" t="s">
        <v>105</v>
      </c>
      <c r="J101" s="300" t="s">
        <v>106</v>
      </c>
      <c r="K101" s="314">
        <f t="shared" ref="K101:R101" si="350">-K100</f>
        <v>-26.75</v>
      </c>
      <c r="L101" s="309">
        <f t="shared" si="350"/>
        <v>-36872</v>
      </c>
      <c r="M101" s="315">
        <f t="shared" si="350"/>
        <v>-4.01</v>
      </c>
      <c r="N101" s="252">
        <f t="shared" si="350"/>
        <v>-5527</v>
      </c>
      <c r="O101" s="251">
        <f t="shared" si="350"/>
        <v>0</v>
      </c>
      <c r="P101" s="252">
        <f t="shared" si="350"/>
        <v>0</v>
      </c>
      <c r="Q101" s="251">
        <f t="shared" si="350"/>
        <v>-4.01</v>
      </c>
      <c r="R101" s="252">
        <f t="shared" si="350"/>
        <v>-5527</v>
      </c>
      <c r="S101" s="253">
        <v>1378.4</v>
      </c>
      <c r="T101" s="254">
        <v>15.0</v>
      </c>
      <c r="U101" s="255" t="s">
        <v>107</v>
      </c>
      <c r="V101" s="255"/>
      <c r="W101" s="304">
        <v>0.6369</v>
      </c>
      <c r="X101" s="304">
        <v>0.234698</v>
      </c>
      <c r="Y101" s="304">
        <v>0.402202</v>
      </c>
      <c r="Z101" s="305">
        <f>-Z100</f>
        <v>-42</v>
      </c>
      <c r="AA101" s="306">
        <f t="shared" si="351"/>
        <v>-26.7498</v>
      </c>
      <c r="AB101" s="307">
        <f t="shared" si="352"/>
        <v>-36872</v>
      </c>
      <c r="AC101" s="308">
        <f t="shared" si="353"/>
        <v>-26.7498</v>
      </c>
      <c r="AD101" s="309">
        <f t="shared" si="342"/>
        <v>-36872</v>
      </c>
      <c r="AE101" s="310">
        <f t="shared" si="343"/>
        <v>-16.89</v>
      </c>
      <c r="AF101" s="252">
        <f t="shared" si="344"/>
        <v>-23281</v>
      </c>
      <c r="AG101" s="306">
        <f t="shared" si="354"/>
        <v>-4.01</v>
      </c>
      <c r="AH101" s="252">
        <f t="shared" si="355"/>
        <v>-5531</v>
      </c>
      <c r="AI101" s="311"/>
      <c r="AJ101" s="311"/>
      <c r="AK101" s="311"/>
      <c r="AL101" s="311"/>
      <c r="AM101" s="312"/>
      <c r="AN101" s="313"/>
    </row>
    <row r="102" ht="12.75" customHeight="1">
      <c r="A102" s="256" t="s">
        <v>569</v>
      </c>
      <c r="B102" s="257" t="s">
        <v>118</v>
      </c>
      <c r="C102" s="258" t="s">
        <v>119</v>
      </c>
      <c r="D102" s="258" t="s">
        <v>197</v>
      </c>
      <c r="E102" s="258" t="s">
        <v>197</v>
      </c>
      <c r="F102" s="259"/>
      <c r="G102" s="258" t="s">
        <v>143</v>
      </c>
      <c r="H102" s="258" t="s">
        <v>160</v>
      </c>
      <c r="I102" s="259" t="s">
        <v>105</v>
      </c>
      <c r="J102" s="316" t="s">
        <v>106</v>
      </c>
      <c r="K102" s="317">
        <f>ROUND(M102/0.15,2)</f>
        <v>9.8</v>
      </c>
      <c r="L102" s="318">
        <f>ROUND(N102/0.15,0)</f>
        <v>13507</v>
      </c>
      <c r="M102" s="319">
        <f t="shared" ref="M102:N102" si="356">Q102</f>
        <v>1.47</v>
      </c>
      <c r="N102" s="261">
        <f t="shared" si="356"/>
        <v>2026</v>
      </c>
      <c r="O102" s="262">
        <v>2.54</v>
      </c>
      <c r="P102" s="263">
        <v>3501.0</v>
      </c>
      <c r="Q102" s="260">
        <f t="shared" ref="Q102:R102" si="357">M100-O102</f>
        <v>1.47</v>
      </c>
      <c r="R102" s="261">
        <f t="shared" si="357"/>
        <v>2026</v>
      </c>
      <c r="S102" s="264">
        <v>1378.4</v>
      </c>
      <c r="T102" s="265">
        <v>15.0</v>
      </c>
      <c r="U102" s="266" t="s">
        <v>107</v>
      </c>
      <c r="V102" s="266" t="s">
        <v>1015</v>
      </c>
      <c r="W102" s="320">
        <v>0.6369</v>
      </c>
      <c r="X102" s="320">
        <v>0.234698</v>
      </c>
      <c r="Y102" s="320">
        <v>0.402202</v>
      </c>
      <c r="Z102" s="321">
        <f>Z100</f>
        <v>42</v>
      </c>
      <c r="AA102" s="311"/>
      <c r="AB102" s="322"/>
      <c r="AC102" s="323">
        <f>IFERROR(ROUND(Z102*X102,2),0)</f>
        <v>9.86</v>
      </c>
      <c r="AD102" s="318">
        <f t="shared" si="342"/>
        <v>13591</v>
      </c>
      <c r="AE102" s="324">
        <f t="shared" si="343"/>
        <v>16.89</v>
      </c>
      <c r="AF102" s="261">
        <f t="shared" si="344"/>
        <v>23281</v>
      </c>
      <c r="AG102" s="311"/>
      <c r="AH102" s="311"/>
      <c r="AI102" s="325">
        <f>ROUND(AC102*0.15,2)</f>
        <v>1.48</v>
      </c>
      <c r="AJ102" s="261">
        <f>ROUND(AD102*0.15,0)</f>
        <v>2039</v>
      </c>
      <c r="AK102" s="325">
        <f>ROUND(AE102*0.15,2)</f>
        <v>2.53</v>
      </c>
      <c r="AL102" s="261">
        <f>ROUND(AF102*0.15,0)</f>
        <v>3492</v>
      </c>
      <c r="AM102" s="326">
        <f>IFERROR(AC102/K102,IFERROR(AK102/O102,""))</f>
        <v>1.006122449</v>
      </c>
      <c r="AN102" s="313"/>
    </row>
    <row r="103" ht="12.75" customHeight="1">
      <c r="A103" s="245" t="s">
        <v>571</v>
      </c>
      <c r="B103" s="246" t="s">
        <v>118</v>
      </c>
      <c r="C103" s="247" t="s">
        <v>119</v>
      </c>
      <c r="D103" s="247" t="s">
        <v>198</v>
      </c>
      <c r="E103" s="247" t="s">
        <v>197</v>
      </c>
      <c r="F103" s="248"/>
      <c r="G103" s="247" t="s">
        <v>127</v>
      </c>
      <c r="H103" s="247" t="s">
        <v>186</v>
      </c>
      <c r="I103" s="248" t="s">
        <v>105</v>
      </c>
      <c r="J103" s="300" t="s">
        <v>106</v>
      </c>
      <c r="K103" s="301">
        <v>78.13</v>
      </c>
      <c r="L103" s="302">
        <v>107577.0</v>
      </c>
      <c r="M103" s="303">
        <v>11.72</v>
      </c>
      <c r="N103" s="250">
        <v>16137.0</v>
      </c>
      <c r="O103" s="249">
        <v>0.0</v>
      </c>
      <c r="P103" s="250">
        <v>0.0</v>
      </c>
      <c r="Q103" s="251">
        <f t="shared" ref="Q103:R103" si="358">M103-O103</f>
        <v>11.72</v>
      </c>
      <c r="R103" s="252">
        <f t="shared" si="358"/>
        <v>16137</v>
      </c>
      <c r="S103" s="253">
        <v>1376.9</v>
      </c>
      <c r="T103" s="254">
        <v>15.0</v>
      </c>
      <c r="U103" s="255" t="s">
        <v>107</v>
      </c>
      <c r="V103" s="255"/>
      <c r="W103" s="304">
        <v>1.6276</v>
      </c>
      <c r="X103" s="304">
        <v>0.770708</v>
      </c>
      <c r="Y103" s="304">
        <v>0.856892</v>
      </c>
      <c r="Z103" s="305">
        <f>IFERROR(ROUND(K103/W103,0),0)</f>
        <v>48</v>
      </c>
      <c r="AA103" s="306">
        <f t="shared" ref="AA103:AA104" si="360">Z103*W103</f>
        <v>78.1248</v>
      </c>
      <c r="AB103" s="307">
        <f t="shared" ref="AB103:AB104" si="361">ROUND(AA103*S103,0)</f>
        <v>107570</v>
      </c>
      <c r="AC103" s="308">
        <f t="shared" ref="AC103:AC104" si="362">AA103</f>
        <v>78.1248</v>
      </c>
      <c r="AD103" s="309">
        <f t="shared" si="342"/>
        <v>107570</v>
      </c>
      <c r="AE103" s="310">
        <f t="shared" si="343"/>
        <v>41.13</v>
      </c>
      <c r="AF103" s="252">
        <f t="shared" si="344"/>
        <v>56632</v>
      </c>
      <c r="AG103" s="306">
        <f t="shared" ref="AG103:AG104" si="363">ROUND(AC103*0.15,2)</f>
        <v>11.72</v>
      </c>
      <c r="AH103" s="252">
        <f t="shared" ref="AH103:AH104" si="364">ROUND(AD103*0.15,0)</f>
        <v>16136</v>
      </c>
      <c r="AI103" s="311"/>
      <c r="AJ103" s="311"/>
      <c r="AK103" s="311"/>
      <c r="AL103" s="311"/>
      <c r="AM103" s="312"/>
      <c r="AN103" s="313"/>
    </row>
    <row r="104" ht="12.75" customHeight="1">
      <c r="A104" s="245" t="s">
        <v>572</v>
      </c>
      <c r="B104" s="246" t="s">
        <v>118</v>
      </c>
      <c r="C104" s="247" t="s">
        <v>119</v>
      </c>
      <c r="D104" s="247" t="s">
        <v>198</v>
      </c>
      <c r="E104" s="247" t="s">
        <v>197</v>
      </c>
      <c r="F104" s="248"/>
      <c r="G104" s="247" t="s">
        <v>127</v>
      </c>
      <c r="H104" s="247" t="s">
        <v>186</v>
      </c>
      <c r="I104" s="248" t="s">
        <v>105</v>
      </c>
      <c r="J104" s="300" t="s">
        <v>106</v>
      </c>
      <c r="K104" s="314">
        <f t="shared" ref="K104:R104" si="359">-K103</f>
        <v>-78.13</v>
      </c>
      <c r="L104" s="309">
        <f t="shared" si="359"/>
        <v>-107577</v>
      </c>
      <c r="M104" s="315">
        <f t="shared" si="359"/>
        <v>-11.72</v>
      </c>
      <c r="N104" s="252">
        <f t="shared" si="359"/>
        <v>-16137</v>
      </c>
      <c r="O104" s="251">
        <f t="shared" si="359"/>
        <v>0</v>
      </c>
      <c r="P104" s="252">
        <f t="shared" si="359"/>
        <v>0</v>
      </c>
      <c r="Q104" s="251">
        <f t="shared" si="359"/>
        <v>-11.72</v>
      </c>
      <c r="R104" s="252">
        <f t="shared" si="359"/>
        <v>-16137</v>
      </c>
      <c r="S104" s="253">
        <v>1376.9</v>
      </c>
      <c r="T104" s="254">
        <v>15.0</v>
      </c>
      <c r="U104" s="255" t="s">
        <v>107</v>
      </c>
      <c r="V104" s="255"/>
      <c r="W104" s="304">
        <v>1.6276</v>
      </c>
      <c r="X104" s="304">
        <v>0.770708</v>
      </c>
      <c r="Y104" s="304">
        <v>0.856892</v>
      </c>
      <c r="Z104" s="305">
        <f>-Z103</f>
        <v>-48</v>
      </c>
      <c r="AA104" s="306">
        <f t="shared" si="360"/>
        <v>-78.1248</v>
      </c>
      <c r="AB104" s="307">
        <f t="shared" si="361"/>
        <v>-107570</v>
      </c>
      <c r="AC104" s="308">
        <f t="shared" si="362"/>
        <v>-78.1248</v>
      </c>
      <c r="AD104" s="309">
        <f t="shared" si="342"/>
        <v>-107570</v>
      </c>
      <c r="AE104" s="310">
        <f t="shared" si="343"/>
        <v>-41.13</v>
      </c>
      <c r="AF104" s="252">
        <f t="shared" si="344"/>
        <v>-56632</v>
      </c>
      <c r="AG104" s="306">
        <f t="shared" si="363"/>
        <v>-11.72</v>
      </c>
      <c r="AH104" s="252">
        <f t="shared" si="364"/>
        <v>-16136</v>
      </c>
      <c r="AI104" s="311"/>
      <c r="AJ104" s="311"/>
      <c r="AK104" s="311"/>
      <c r="AL104" s="311"/>
      <c r="AM104" s="312"/>
      <c r="AN104" s="313"/>
    </row>
    <row r="105" ht="12.75" customHeight="1">
      <c r="A105" s="256" t="s">
        <v>573</v>
      </c>
      <c r="B105" s="257" t="s">
        <v>118</v>
      </c>
      <c r="C105" s="258" t="s">
        <v>119</v>
      </c>
      <c r="D105" s="258" t="s">
        <v>198</v>
      </c>
      <c r="E105" s="258" t="s">
        <v>197</v>
      </c>
      <c r="F105" s="259"/>
      <c r="G105" s="258" t="s">
        <v>127</v>
      </c>
      <c r="H105" s="258" t="s">
        <v>186</v>
      </c>
      <c r="I105" s="259" t="s">
        <v>105</v>
      </c>
      <c r="J105" s="316" t="s">
        <v>106</v>
      </c>
      <c r="K105" s="317">
        <f>ROUND(M105/0.15,2)</f>
        <v>37.07</v>
      </c>
      <c r="L105" s="318">
        <f>ROUND(N105/0.15,0)</f>
        <v>51033</v>
      </c>
      <c r="M105" s="319">
        <f t="shared" ref="M105:N105" si="365">Q105</f>
        <v>5.56</v>
      </c>
      <c r="N105" s="261">
        <f t="shared" si="365"/>
        <v>7655</v>
      </c>
      <c r="O105" s="262">
        <v>6.16</v>
      </c>
      <c r="P105" s="263">
        <v>8482.0</v>
      </c>
      <c r="Q105" s="260">
        <f t="shared" ref="Q105:R105" si="366">M103-O105</f>
        <v>5.56</v>
      </c>
      <c r="R105" s="261">
        <f t="shared" si="366"/>
        <v>7655</v>
      </c>
      <c r="S105" s="264">
        <v>1376.9</v>
      </c>
      <c r="T105" s="265">
        <v>15.0</v>
      </c>
      <c r="U105" s="266" t="s">
        <v>107</v>
      </c>
      <c r="V105" s="266" t="s">
        <v>1016</v>
      </c>
      <c r="W105" s="320">
        <v>1.6276</v>
      </c>
      <c r="X105" s="320">
        <v>0.770708</v>
      </c>
      <c r="Y105" s="320">
        <v>0.856892</v>
      </c>
      <c r="Z105" s="321">
        <f>Z103</f>
        <v>48</v>
      </c>
      <c r="AA105" s="311"/>
      <c r="AB105" s="322"/>
      <c r="AC105" s="323">
        <f>IFERROR(ROUND(Z105*X105,2),0)</f>
        <v>36.99</v>
      </c>
      <c r="AD105" s="318">
        <f t="shared" si="342"/>
        <v>50932</v>
      </c>
      <c r="AE105" s="324">
        <f t="shared" si="343"/>
        <v>41.13</v>
      </c>
      <c r="AF105" s="261">
        <f t="shared" si="344"/>
        <v>56632</v>
      </c>
      <c r="AG105" s="311"/>
      <c r="AH105" s="311"/>
      <c r="AI105" s="325">
        <f>ROUND(AC105*0.15,2)</f>
        <v>5.55</v>
      </c>
      <c r="AJ105" s="261">
        <f>ROUND(AD105*0.15,0)</f>
        <v>7640</v>
      </c>
      <c r="AK105" s="325">
        <f>ROUND(AE105*0.15,2)</f>
        <v>6.17</v>
      </c>
      <c r="AL105" s="261">
        <f>ROUND(AF105*0.15,0)</f>
        <v>8495</v>
      </c>
      <c r="AM105" s="326">
        <f>IFERROR(AC105/K105,IFERROR(AK105/O105,""))</f>
        <v>0.9978419207</v>
      </c>
      <c r="AN105" s="313"/>
    </row>
    <row r="106" ht="12.75" customHeight="1">
      <c r="A106" s="245" t="s">
        <v>575</v>
      </c>
      <c r="B106" s="246" t="s">
        <v>118</v>
      </c>
      <c r="C106" s="247" t="s">
        <v>119</v>
      </c>
      <c r="D106" s="247" t="s">
        <v>199</v>
      </c>
      <c r="E106" s="247" t="s">
        <v>200</v>
      </c>
      <c r="F106" s="248"/>
      <c r="G106" s="247" t="s">
        <v>131</v>
      </c>
      <c r="H106" s="247" t="s">
        <v>167</v>
      </c>
      <c r="I106" s="248" t="s">
        <v>105</v>
      </c>
      <c r="J106" s="300" t="s">
        <v>106</v>
      </c>
      <c r="K106" s="301">
        <v>585.14</v>
      </c>
      <c r="L106" s="302">
        <v>805679.0</v>
      </c>
      <c r="M106" s="303">
        <v>87.77</v>
      </c>
      <c r="N106" s="250">
        <v>120850.0</v>
      </c>
      <c r="O106" s="249">
        <v>0.0</v>
      </c>
      <c r="P106" s="250">
        <v>0.0</v>
      </c>
      <c r="Q106" s="251">
        <f t="shared" ref="Q106:R106" si="367">M106-O106</f>
        <v>87.77</v>
      </c>
      <c r="R106" s="252">
        <f t="shared" si="367"/>
        <v>120850</v>
      </c>
      <c r="S106" s="253">
        <v>1376.9</v>
      </c>
      <c r="T106" s="254">
        <v>15.0</v>
      </c>
      <c r="U106" s="255" t="s">
        <v>107</v>
      </c>
      <c r="V106" s="255"/>
      <c r="W106" s="304">
        <v>0.7351</v>
      </c>
      <c r="X106" s="304">
        <v>0.021711</v>
      </c>
      <c r="Y106" s="304">
        <v>0.713389</v>
      </c>
      <c r="Z106" s="305">
        <f>IFERROR(ROUND(K106/W106,0),0)</f>
        <v>796</v>
      </c>
      <c r="AA106" s="306">
        <f t="shared" ref="AA106:AA107" si="369">Z106*W106</f>
        <v>585.1396</v>
      </c>
      <c r="AB106" s="307">
        <f t="shared" ref="AB106:AB107" si="370">ROUND(AA106*S106,0)</f>
        <v>805679</v>
      </c>
      <c r="AC106" s="308">
        <f t="shared" ref="AC106:AC107" si="371">AA106</f>
        <v>585.1396</v>
      </c>
      <c r="AD106" s="309">
        <f t="shared" si="342"/>
        <v>805679</v>
      </c>
      <c r="AE106" s="310">
        <f t="shared" si="343"/>
        <v>567.86</v>
      </c>
      <c r="AF106" s="252">
        <f t="shared" si="344"/>
        <v>781886</v>
      </c>
      <c r="AG106" s="306">
        <f t="shared" ref="AG106:AG107" si="372">ROUND(AC106*0.15,2)</f>
        <v>87.77</v>
      </c>
      <c r="AH106" s="252">
        <f t="shared" ref="AH106:AH107" si="373">ROUND(AD106*0.15,0)</f>
        <v>120852</v>
      </c>
      <c r="AI106" s="311"/>
      <c r="AJ106" s="311"/>
      <c r="AK106" s="311"/>
      <c r="AL106" s="311"/>
      <c r="AM106" s="312"/>
      <c r="AN106" s="313"/>
    </row>
    <row r="107" ht="12.75" customHeight="1">
      <c r="A107" s="245" t="s">
        <v>576</v>
      </c>
      <c r="B107" s="246" t="s">
        <v>118</v>
      </c>
      <c r="C107" s="247" t="s">
        <v>119</v>
      </c>
      <c r="D107" s="247" t="s">
        <v>199</v>
      </c>
      <c r="E107" s="247" t="s">
        <v>200</v>
      </c>
      <c r="F107" s="248"/>
      <c r="G107" s="247" t="s">
        <v>131</v>
      </c>
      <c r="H107" s="247" t="s">
        <v>167</v>
      </c>
      <c r="I107" s="248" t="s">
        <v>105</v>
      </c>
      <c r="J107" s="300" t="s">
        <v>106</v>
      </c>
      <c r="K107" s="314">
        <f t="shared" ref="K107:R107" si="368">-K106</f>
        <v>-585.14</v>
      </c>
      <c r="L107" s="309">
        <f t="shared" si="368"/>
        <v>-805679</v>
      </c>
      <c r="M107" s="315">
        <f t="shared" si="368"/>
        <v>-87.77</v>
      </c>
      <c r="N107" s="252">
        <f t="shared" si="368"/>
        <v>-120850</v>
      </c>
      <c r="O107" s="251">
        <f t="shared" si="368"/>
        <v>0</v>
      </c>
      <c r="P107" s="252">
        <f t="shared" si="368"/>
        <v>0</v>
      </c>
      <c r="Q107" s="251">
        <f t="shared" si="368"/>
        <v>-87.77</v>
      </c>
      <c r="R107" s="252">
        <f t="shared" si="368"/>
        <v>-120850</v>
      </c>
      <c r="S107" s="253">
        <v>1376.9</v>
      </c>
      <c r="T107" s="254">
        <v>15.0</v>
      </c>
      <c r="U107" s="255" t="s">
        <v>107</v>
      </c>
      <c r="V107" s="255"/>
      <c r="W107" s="304">
        <v>0.7351</v>
      </c>
      <c r="X107" s="304">
        <v>0.021711</v>
      </c>
      <c r="Y107" s="304">
        <v>0.713389</v>
      </c>
      <c r="Z107" s="305">
        <f>-Z106</f>
        <v>-796</v>
      </c>
      <c r="AA107" s="306">
        <f t="shared" si="369"/>
        <v>-585.1396</v>
      </c>
      <c r="AB107" s="307">
        <f t="shared" si="370"/>
        <v>-805679</v>
      </c>
      <c r="AC107" s="308">
        <f t="shared" si="371"/>
        <v>-585.1396</v>
      </c>
      <c r="AD107" s="309">
        <f t="shared" si="342"/>
        <v>-805679</v>
      </c>
      <c r="AE107" s="310">
        <f t="shared" si="343"/>
        <v>-567.86</v>
      </c>
      <c r="AF107" s="252">
        <f t="shared" si="344"/>
        <v>-781886</v>
      </c>
      <c r="AG107" s="306">
        <f t="shared" si="372"/>
        <v>-87.77</v>
      </c>
      <c r="AH107" s="252">
        <f t="shared" si="373"/>
        <v>-120852</v>
      </c>
      <c r="AI107" s="311"/>
      <c r="AJ107" s="311"/>
      <c r="AK107" s="311"/>
      <c r="AL107" s="311"/>
      <c r="AM107" s="312"/>
      <c r="AN107" s="313"/>
    </row>
    <row r="108" ht="12.75" customHeight="1">
      <c r="A108" s="256" t="s">
        <v>577</v>
      </c>
      <c r="B108" s="257" t="s">
        <v>118</v>
      </c>
      <c r="C108" s="258" t="s">
        <v>119</v>
      </c>
      <c r="D108" s="258" t="s">
        <v>199</v>
      </c>
      <c r="E108" s="258" t="s">
        <v>200</v>
      </c>
      <c r="F108" s="259"/>
      <c r="G108" s="258" t="s">
        <v>131</v>
      </c>
      <c r="H108" s="258" t="s">
        <v>167</v>
      </c>
      <c r="I108" s="259" t="s">
        <v>105</v>
      </c>
      <c r="J108" s="316" t="s">
        <v>106</v>
      </c>
      <c r="K108" s="317">
        <f>ROUND(M108/0.15,2)</f>
        <v>17.27</v>
      </c>
      <c r="L108" s="318">
        <f>ROUND(N108/0.15,0)</f>
        <v>23773</v>
      </c>
      <c r="M108" s="319">
        <f t="shared" ref="M108:N108" si="374">Q108</f>
        <v>2.59</v>
      </c>
      <c r="N108" s="261">
        <f t="shared" si="374"/>
        <v>3566</v>
      </c>
      <c r="O108" s="262">
        <v>85.18</v>
      </c>
      <c r="P108" s="263">
        <v>117284.0</v>
      </c>
      <c r="Q108" s="260">
        <f t="shared" ref="Q108:R108" si="375">M106-O108</f>
        <v>2.59</v>
      </c>
      <c r="R108" s="261">
        <f t="shared" si="375"/>
        <v>3566</v>
      </c>
      <c r="S108" s="264">
        <v>1376.9</v>
      </c>
      <c r="T108" s="265">
        <v>15.0</v>
      </c>
      <c r="U108" s="266" t="s">
        <v>107</v>
      </c>
      <c r="V108" s="266" t="s">
        <v>1017</v>
      </c>
      <c r="W108" s="320">
        <v>0.7351</v>
      </c>
      <c r="X108" s="320">
        <v>0.021711</v>
      </c>
      <c r="Y108" s="320">
        <v>0.713389</v>
      </c>
      <c r="Z108" s="321">
        <f>Z106</f>
        <v>796</v>
      </c>
      <c r="AA108" s="311"/>
      <c r="AB108" s="322"/>
      <c r="AC108" s="323">
        <f>IFERROR(ROUND(Z108*X108,2),0)</f>
        <v>17.28</v>
      </c>
      <c r="AD108" s="318">
        <f t="shared" si="342"/>
        <v>23793</v>
      </c>
      <c r="AE108" s="324">
        <f t="shared" si="343"/>
        <v>567.86</v>
      </c>
      <c r="AF108" s="261">
        <f t="shared" si="344"/>
        <v>781886</v>
      </c>
      <c r="AG108" s="311"/>
      <c r="AH108" s="311"/>
      <c r="AI108" s="325">
        <f>ROUND(AC108*0.15,2)</f>
        <v>2.59</v>
      </c>
      <c r="AJ108" s="261">
        <f>ROUND(AD108*0.15,0)</f>
        <v>3569</v>
      </c>
      <c r="AK108" s="325">
        <f>ROUND(AE108*0.15,2)</f>
        <v>85.18</v>
      </c>
      <c r="AL108" s="261">
        <f>ROUND(AF108*0.15,0)</f>
        <v>117283</v>
      </c>
      <c r="AM108" s="326">
        <f>IFERROR(AC108/K108,IFERROR(AK108/O108,""))</f>
        <v>1.000579039</v>
      </c>
      <c r="AN108" s="313"/>
    </row>
    <row r="109" ht="12.75" customHeight="1">
      <c r="A109" s="245" t="s">
        <v>579</v>
      </c>
      <c r="B109" s="246" t="s">
        <v>118</v>
      </c>
      <c r="C109" s="247" t="s">
        <v>119</v>
      </c>
      <c r="D109" s="247" t="s">
        <v>201</v>
      </c>
      <c r="E109" s="247" t="s">
        <v>202</v>
      </c>
      <c r="F109" s="248"/>
      <c r="G109" s="247" t="s">
        <v>135</v>
      </c>
      <c r="H109" s="247" t="s">
        <v>172</v>
      </c>
      <c r="I109" s="248" t="s">
        <v>105</v>
      </c>
      <c r="J109" s="300" t="s">
        <v>106</v>
      </c>
      <c r="K109" s="301">
        <v>870.66</v>
      </c>
      <c r="L109" s="302">
        <v>1183139.0</v>
      </c>
      <c r="M109" s="303">
        <v>130.6</v>
      </c>
      <c r="N109" s="250">
        <v>177472.0</v>
      </c>
      <c r="O109" s="249">
        <v>0.0</v>
      </c>
      <c r="P109" s="250">
        <v>0.0</v>
      </c>
      <c r="Q109" s="251">
        <f t="shared" ref="Q109:R109" si="376">M109-O109</f>
        <v>130.6</v>
      </c>
      <c r="R109" s="252">
        <f t="shared" si="376"/>
        <v>177472</v>
      </c>
      <c r="S109" s="253">
        <v>1358.9</v>
      </c>
      <c r="T109" s="254">
        <v>15.0</v>
      </c>
      <c r="U109" s="255" t="s">
        <v>107</v>
      </c>
      <c r="V109" s="255"/>
      <c r="W109" s="304">
        <v>1.4707</v>
      </c>
      <c r="X109" s="304">
        <v>0.0</v>
      </c>
      <c r="Y109" s="304">
        <v>1.4707</v>
      </c>
      <c r="Z109" s="305">
        <f>IFERROR(ROUND(K109/W109,0),0)</f>
        <v>592</v>
      </c>
      <c r="AA109" s="306">
        <f t="shared" ref="AA109:AA110" si="378">Z109*W109</f>
        <v>870.6544</v>
      </c>
      <c r="AB109" s="307">
        <f t="shared" ref="AB109:AB110" si="379">ROUND(AA109*S109,0)</f>
        <v>1183132</v>
      </c>
      <c r="AC109" s="308">
        <f t="shared" ref="AC109:AC110" si="380">AA109</f>
        <v>870.6544</v>
      </c>
      <c r="AD109" s="309">
        <f t="shared" si="342"/>
        <v>1183132</v>
      </c>
      <c r="AE109" s="310">
        <f t="shared" si="343"/>
        <v>870.65</v>
      </c>
      <c r="AF109" s="252">
        <f t="shared" si="344"/>
        <v>1183126</v>
      </c>
      <c r="AG109" s="306">
        <f t="shared" ref="AG109:AG110" si="381">ROUND(AC109*0.15,2)</f>
        <v>130.6</v>
      </c>
      <c r="AH109" s="252">
        <f t="shared" ref="AH109:AH110" si="382">ROUND(AD109*0.15,0)</f>
        <v>177470</v>
      </c>
      <c r="AI109" s="311"/>
      <c r="AJ109" s="311"/>
      <c r="AK109" s="311"/>
      <c r="AL109" s="311"/>
      <c r="AM109" s="312"/>
      <c r="AN109" s="313"/>
    </row>
    <row r="110" ht="12.75" customHeight="1">
      <c r="A110" s="245" t="s">
        <v>580</v>
      </c>
      <c r="B110" s="246" t="s">
        <v>118</v>
      </c>
      <c r="C110" s="247" t="s">
        <v>119</v>
      </c>
      <c r="D110" s="247" t="s">
        <v>201</v>
      </c>
      <c r="E110" s="247" t="s">
        <v>202</v>
      </c>
      <c r="F110" s="248"/>
      <c r="G110" s="247" t="s">
        <v>135</v>
      </c>
      <c r="H110" s="247" t="s">
        <v>172</v>
      </c>
      <c r="I110" s="248" t="s">
        <v>105</v>
      </c>
      <c r="J110" s="300" t="s">
        <v>106</v>
      </c>
      <c r="K110" s="314">
        <f t="shared" ref="K110:R110" si="377">-K109</f>
        <v>-870.66</v>
      </c>
      <c r="L110" s="309">
        <f t="shared" si="377"/>
        <v>-1183139</v>
      </c>
      <c r="M110" s="315">
        <f t="shared" si="377"/>
        <v>-130.6</v>
      </c>
      <c r="N110" s="252">
        <f t="shared" si="377"/>
        <v>-177472</v>
      </c>
      <c r="O110" s="251">
        <f t="shared" si="377"/>
        <v>0</v>
      </c>
      <c r="P110" s="252">
        <f t="shared" si="377"/>
        <v>0</v>
      </c>
      <c r="Q110" s="251">
        <f t="shared" si="377"/>
        <v>-130.6</v>
      </c>
      <c r="R110" s="252">
        <f t="shared" si="377"/>
        <v>-177472</v>
      </c>
      <c r="S110" s="253">
        <v>1358.9</v>
      </c>
      <c r="T110" s="254">
        <v>15.0</v>
      </c>
      <c r="U110" s="255" t="s">
        <v>107</v>
      </c>
      <c r="V110" s="255"/>
      <c r="W110" s="304">
        <v>1.4707</v>
      </c>
      <c r="X110" s="304">
        <v>0.0</v>
      </c>
      <c r="Y110" s="304">
        <v>1.4707</v>
      </c>
      <c r="Z110" s="305">
        <f>-Z109</f>
        <v>-592</v>
      </c>
      <c r="AA110" s="306">
        <f t="shared" si="378"/>
        <v>-870.6544</v>
      </c>
      <c r="AB110" s="307">
        <f t="shared" si="379"/>
        <v>-1183132</v>
      </c>
      <c r="AC110" s="308">
        <f t="shared" si="380"/>
        <v>-870.6544</v>
      </c>
      <c r="AD110" s="309">
        <f t="shared" si="342"/>
        <v>-1183132</v>
      </c>
      <c r="AE110" s="310">
        <f t="shared" si="343"/>
        <v>-870.65</v>
      </c>
      <c r="AF110" s="252">
        <f t="shared" si="344"/>
        <v>-1183126</v>
      </c>
      <c r="AG110" s="306">
        <f t="shared" si="381"/>
        <v>-130.6</v>
      </c>
      <c r="AH110" s="252">
        <f t="shared" si="382"/>
        <v>-177470</v>
      </c>
      <c r="AI110" s="311"/>
      <c r="AJ110" s="311"/>
      <c r="AK110" s="311"/>
      <c r="AL110" s="311"/>
      <c r="AM110" s="312"/>
      <c r="AN110" s="313"/>
    </row>
    <row r="111" ht="12.75" customHeight="1">
      <c r="A111" s="256" t="s">
        <v>581</v>
      </c>
      <c r="B111" s="257" t="s">
        <v>118</v>
      </c>
      <c r="C111" s="258" t="s">
        <v>119</v>
      </c>
      <c r="D111" s="258" t="s">
        <v>201</v>
      </c>
      <c r="E111" s="258" t="s">
        <v>202</v>
      </c>
      <c r="F111" s="259"/>
      <c r="G111" s="258" t="s">
        <v>135</v>
      </c>
      <c r="H111" s="258" t="s">
        <v>172</v>
      </c>
      <c r="I111" s="259" t="s">
        <v>105</v>
      </c>
      <c r="J111" s="316" t="s">
        <v>106</v>
      </c>
      <c r="K111" s="317">
        <f>ROUND(M111/0.15,2)</f>
        <v>0</v>
      </c>
      <c r="L111" s="318">
        <f>ROUND(N111/0.15,0)</f>
        <v>0</v>
      </c>
      <c r="M111" s="319">
        <f t="shared" ref="M111:N111" si="383">Q111</f>
        <v>0</v>
      </c>
      <c r="N111" s="261">
        <f t="shared" si="383"/>
        <v>0</v>
      </c>
      <c r="O111" s="262">
        <v>130.6</v>
      </c>
      <c r="P111" s="263">
        <v>177472.0</v>
      </c>
      <c r="Q111" s="260">
        <f t="shared" ref="Q111:R111" si="384">M109-O111</f>
        <v>0</v>
      </c>
      <c r="R111" s="261">
        <f t="shared" si="384"/>
        <v>0</v>
      </c>
      <c r="S111" s="264">
        <v>1358.9</v>
      </c>
      <c r="T111" s="265">
        <v>15.0</v>
      </c>
      <c r="U111" s="266" t="s">
        <v>107</v>
      </c>
      <c r="V111" s="266" t="s">
        <v>1018</v>
      </c>
      <c r="W111" s="320">
        <v>1.4707</v>
      </c>
      <c r="X111" s="320">
        <v>0.0</v>
      </c>
      <c r="Y111" s="320">
        <v>1.4707</v>
      </c>
      <c r="Z111" s="321">
        <f>Z109</f>
        <v>592</v>
      </c>
      <c r="AA111" s="311"/>
      <c r="AB111" s="322"/>
      <c r="AC111" s="323">
        <f>IFERROR(ROUND(Z111*X111,2),0)</f>
        <v>0</v>
      </c>
      <c r="AD111" s="318">
        <f t="shared" si="342"/>
        <v>0</v>
      </c>
      <c r="AE111" s="324">
        <f t="shared" si="343"/>
        <v>870.65</v>
      </c>
      <c r="AF111" s="261">
        <f t="shared" si="344"/>
        <v>1183126</v>
      </c>
      <c r="AG111" s="311"/>
      <c r="AH111" s="311"/>
      <c r="AI111" s="325">
        <f>ROUND(AC111*0.15,2)</f>
        <v>0</v>
      </c>
      <c r="AJ111" s="261">
        <f>ROUND(AD111*0.15,0)</f>
        <v>0</v>
      </c>
      <c r="AK111" s="325">
        <f>ROUND(AE111*0.15,2)</f>
        <v>130.6</v>
      </c>
      <c r="AL111" s="261">
        <f>ROUND(AF111*0.15,0)</f>
        <v>177469</v>
      </c>
      <c r="AM111" s="326">
        <f>IFERROR(AC111/K111,IFERROR(AK111/O111,""))</f>
        <v>1</v>
      </c>
      <c r="AN111" s="313"/>
    </row>
    <row r="112" ht="12.75" customHeight="1">
      <c r="A112" s="245" t="s">
        <v>583</v>
      </c>
      <c r="B112" s="246" t="s">
        <v>118</v>
      </c>
      <c r="C112" s="247" t="s">
        <v>119</v>
      </c>
      <c r="D112" s="247" t="s">
        <v>201</v>
      </c>
      <c r="E112" s="247" t="s">
        <v>202</v>
      </c>
      <c r="F112" s="248"/>
      <c r="G112" s="247" t="s">
        <v>116</v>
      </c>
      <c r="H112" s="247" t="s">
        <v>117</v>
      </c>
      <c r="I112" s="248" t="s">
        <v>105</v>
      </c>
      <c r="J112" s="300" t="s">
        <v>106</v>
      </c>
      <c r="K112" s="301">
        <v>674.13</v>
      </c>
      <c r="L112" s="302">
        <v>916075.0</v>
      </c>
      <c r="M112" s="303">
        <v>101.12</v>
      </c>
      <c r="N112" s="250">
        <v>137411.0</v>
      </c>
      <c r="O112" s="249">
        <v>0.0</v>
      </c>
      <c r="P112" s="250">
        <v>0.0</v>
      </c>
      <c r="Q112" s="251">
        <f t="shared" ref="Q112:R112" si="385">M112-O112</f>
        <v>101.12</v>
      </c>
      <c r="R112" s="252">
        <f t="shared" si="385"/>
        <v>137411</v>
      </c>
      <c r="S112" s="253">
        <v>1358.9</v>
      </c>
      <c r="T112" s="254">
        <v>15.0</v>
      </c>
      <c r="U112" s="255" t="s">
        <v>107</v>
      </c>
      <c r="V112" s="255"/>
      <c r="W112" s="304">
        <v>0.544737</v>
      </c>
      <c r="X112" s="304">
        <v>0.544737</v>
      </c>
      <c r="Y112" s="304">
        <v>0.0</v>
      </c>
      <c r="Z112" s="305">
        <f>IFERROR(ROUND(K112/W112,0),0)</f>
        <v>1238</v>
      </c>
      <c r="AA112" s="306">
        <f t="shared" ref="AA112:AA113" si="387">Z112*W112</f>
        <v>674.384406</v>
      </c>
      <c r="AB112" s="307">
        <f t="shared" ref="AB112:AB113" si="388">ROUND(AA112*S112,0)</f>
        <v>916421</v>
      </c>
      <c r="AC112" s="308">
        <f t="shared" ref="AC112:AC113" si="389">AA112</f>
        <v>674.384406</v>
      </c>
      <c r="AD112" s="309">
        <f t="shared" si="342"/>
        <v>916421</v>
      </c>
      <c r="AE112" s="310">
        <f t="shared" si="343"/>
        <v>0</v>
      </c>
      <c r="AF112" s="252">
        <f t="shared" si="344"/>
        <v>0</v>
      </c>
      <c r="AG112" s="306">
        <f t="shared" ref="AG112:AG113" si="390">ROUND(AC112*0.15,2)</f>
        <v>101.16</v>
      </c>
      <c r="AH112" s="252">
        <f t="shared" ref="AH112:AH113" si="391">ROUND(AD112*0.15,0)</f>
        <v>137463</v>
      </c>
      <c r="AI112" s="311"/>
      <c r="AJ112" s="311"/>
      <c r="AK112" s="311"/>
      <c r="AL112" s="311"/>
      <c r="AM112" s="312"/>
      <c r="AN112" s="313"/>
    </row>
    <row r="113" ht="12.75" customHeight="1">
      <c r="A113" s="245" t="s">
        <v>584</v>
      </c>
      <c r="B113" s="246" t="s">
        <v>118</v>
      </c>
      <c r="C113" s="247" t="s">
        <v>119</v>
      </c>
      <c r="D113" s="247" t="s">
        <v>201</v>
      </c>
      <c r="E113" s="247" t="s">
        <v>202</v>
      </c>
      <c r="F113" s="248"/>
      <c r="G113" s="247" t="s">
        <v>116</v>
      </c>
      <c r="H113" s="247" t="s">
        <v>117</v>
      </c>
      <c r="I113" s="248" t="s">
        <v>105</v>
      </c>
      <c r="J113" s="300" t="s">
        <v>106</v>
      </c>
      <c r="K113" s="314">
        <f t="shared" ref="K113:R113" si="386">-K112</f>
        <v>-674.13</v>
      </c>
      <c r="L113" s="309">
        <f t="shared" si="386"/>
        <v>-916075</v>
      </c>
      <c r="M113" s="315">
        <f t="shared" si="386"/>
        <v>-101.12</v>
      </c>
      <c r="N113" s="252">
        <f t="shared" si="386"/>
        <v>-137411</v>
      </c>
      <c r="O113" s="251">
        <f t="shared" si="386"/>
        <v>0</v>
      </c>
      <c r="P113" s="252">
        <f t="shared" si="386"/>
        <v>0</v>
      </c>
      <c r="Q113" s="251">
        <f t="shared" si="386"/>
        <v>-101.12</v>
      </c>
      <c r="R113" s="252">
        <f t="shared" si="386"/>
        <v>-137411</v>
      </c>
      <c r="S113" s="253">
        <v>1358.9</v>
      </c>
      <c r="T113" s="254">
        <v>15.0</v>
      </c>
      <c r="U113" s="255" t="s">
        <v>107</v>
      </c>
      <c r="V113" s="255"/>
      <c r="W113" s="304">
        <v>0.544737</v>
      </c>
      <c r="X113" s="304">
        <v>0.544737</v>
      </c>
      <c r="Y113" s="304">
        <v>0.0</v>
      </c>
      <c r="Z113" s="305">
        <f>-Z112</f>
        <v>-1238</v>
      </c>
      <c r="AA113" s="306">
        <f t="shared" si="387"/>
        <v>-674.384406</v>
      </c>
      <c r="AB113" s="307">
        <f t="shared" si="388"/>
        <v>-916421</v>
      </c>
      <c r="AC113" s="308">
        <f t="shared" si="389"/>
        <v>-674.384406</v>
      </c>
      <c r="AD113" s="309">
        <f t="shared" si="342"/>
        <v>-916421</v>
      </c>
      <c r="AE113" s="310">
        <f t="shared" si="343"/>
        <v>0</v>
      </c>
      <c r="AF113" s="252">
        <f t="shared" si="344"/>
        <v>0</v>
      </c>
      <c r="AG113" s="306">
        <f t="shared" si="390"/>
        <v>-101.16</v>
      </c>
      <c r="AH113" s="252">
        <f t="shared" si="391"/>
        <v>-137463</v>
      </c>
      <c r="AI113" s="311"/>
      <c r="AJ113" s="311"/>
      <c r="AK113" s="311"/>
      <c r="AL113" s="311"/>
      <c r="AM113" s="312"/>
      <c r="AN113" s="313"/>
    </row>
    <row r="114" ht="12.75" customHeight="1">
      <c r="A114" s="327" t="s">
        <v>585</v>
      </c>
      <c r="B114" s="328" t="s">
        <v>118</v>
      </c>
      <c r="C114" s="329" t="s">
        <v>119</v>
      </c>
      <c r="D114" s="329" t="s">
        <v>201</v>
      </c>
      <c r="E114" s="329" t="s">
        <v>202</v>
      </c>
      <c r="F114" s="330"/>
      <c r="G114" s="329" t="s">
        <v>116</v>
      </c>
      <c r="H114" s="329" t="s">
        <v>117</v>
      </c>
      <c r="I114" s="330" t="s">
        <v>105</v>
      </c>
      <c r="J114" s="331" t="s">
        <v>106</v>
      </c>
      <c r="K114" s="332">
        <f>ROUND(M114/0.15,2)</f>
        <v>650.47</v>
      </c>
      <c r="L114" s="333">
        <f>ROUND(N114/0.15,0)</f>
        <v>883913</v>
      </c>
      <c r="M114" s="334">
        <f t="shared" ref="M114:N114" si="392">Q114</f>
        <v>97.57</v>
      </c>
      <c r="N114" s="335">
        <f t="shared" si="392"/>
        <v>132587</v>
      </c>
      <c r="O114" s="336">
        <v>3.55</v>
      </c>
      <c r="P114" s="337">
        <v>4824.0</v>
      </c>
      <c r="Q114" s="338">
        <f t="shared" ref="Q114:R114" si="393">M112-O114</f>
        <v>97.57</v>
      </c>
      <c r="R114" s="335">
        <f t="shared" si="393"/>
        <v>132587</v>
      </c>
      <c r="S114" s="339">
        <v>1358.9</v>
      </c>
      <c r="T114" s="340">
        <v>15.0</v>
      </c>
      <c r="U114" s="341" t="s">
        <v>107</v>
      </c>
      <c r="V114" s="341" t="s">
        <v>1019</v>
      </c>
      <c r="W114" s="342">
        <v>0.544737</v>
      </c>
      <c r="X114" s="342">
        <v>0.544737</v>
      </c>
      <c r="Y114" s="342">
        <v>0.0</v>
      </c>
      <c r="Z114" s="343">
        <f>Z112</f>
        <v>1238</v>
      </c>
      <c r="AA114" s="344"/>
      <c r="AB114" s="345"/>
      <c r="AC114" s="346">
        <f t="shared" ref="AC114:AD114" si="394">K114</f>
        <v>650.47</v>
      </c>
      <c r="AD114" s="347">
        <f t="shared" si="394"/>
        <v>883913</v>
      </c>
      <c r="AE114" s="348">
        <f t="shared" ref="AE114:AF114" si="395">round(AK114/0.15,2)</f>
        <v>23.67</v>
      </c>
      <c r="AF114" s="348">
        <f t="shared" si="395"/>
        <v>32160</v>
      </c>
      <c r="AG114" s="349"/>
      <c r="AH114" s="349"/>
      <c r="AI114" s="350">
        <f>ROUND(AC114*0.15,2)</f>
        <v>97.57</v>
      </c>
      <c r="AJ114" s="351">
        <f>ROUND(AD114*0.15,0)</f>
        <v>132587</v>
      </c>
      <c r="AK114" s="350">
        <f t="shared" ref="AK114:AL114" si="396">O114</f>
        <v>3.55</v>
      </c>
      <c r="AL114" s="350">
        <f t="shared" si="396"/>
        <v>4824</v>
      </c>
      <c r="AM114" s="352">
        <f>IFERROR(AC114/K114,IFERROR(AK114/O114,""))</f>
        <v>1</v>
      </c>
      <c r="AN114" s="353" t="s">
        <v>983</v>
      </c>
    </row>
    <row r="115" ht="12.75" customHeight="1">
      <c r="A115" s="267" t="s">
        <v>587</v>
      </c>
      <c r="B115" s="268" t="s">
        <v>118</v>
      </c>
      <c r="C115" s="269" t="s">
        <v>119</v>
      </c>
      <c r="D115" s="269" t="s">
        <v>201</v>
      </c>
      <c r="E115" s="270"/>
      <c r="F115" s="270"/>
      <c r="G115" s="269" t="s">
        <v>148</v>
      </c>
      <c r="H115" s="269" t="s">
        <v>1020</v>
      </c>
      <c r="I115" s="270" t="s">
        <v>105</v>
      </c>
      <c r="J115" s="354" t="s">
        <v>150</v>
      </c>
      <c r="K115" s="355">
        <v>0.0</v>
      </c>
      <c r="L115" s="356">
        <v>0.0</v>
      </c>
      <c r="M115" s="357">
        <v>0.0</v>
      </c>
      <c r="N115" s="272">
        <v>6.0</v>
      </c>
      <c r="O115" s="271">
        <v>0.0</v>
      </c>
      <c r="P115" s="272">
        <v>0.0</v>
      </c>
      <c r="Q115" s="273">
        <f t="shared" ref="Q115:R115" si="397">M115-O115</f>
        <v>0</v>
      </c>
      <c r="R115" s="274">
        <f t="shared" si="397"/>
        <v>6</v>
      </c>
      <c r="S115" s="275">
        <v>1.0</v>
      </c>
      <c r="T115" s="276">
        <v>0.0</v>
      </c>
      <c r="U115" s="277" t="s">
        <v>151</v>
      </c>
      <c r="V115" s="277"/>
      <c r="W115" s="358"/>
      <c r="X115" s="358"/>
      <c r="Y115" s="358"/>
      <c r="Z115" s="358"/>
      <c r="AA115" s="358"/>
      <c r="AB115" s="359"/>
      <c r="AC115" s="360">
        <f t="shared" ref="AC115:AD115" si="398">K115</f>
        <v>0</v>
      </c>
      <c r="AD115" s="361">
        <f t="shared" si="398"/>
        <v>0</v>
      </c>
      <c r="AE115" s="362"/>
      <c r="AF115" s="358"/>
      <c r="AG115" s="358"/>
      <c r="AH115" s="358"/>
      <c r="AI115" s="363">
        <f t="shared" ref="AI115:AJ115" si="399">Q115</f>
        <v>0</v>
      </c>
      <c r="AJ115" s="364">
        <f t="shared" si="399"/>
        <v>6</v>
      </c>
      <c r="AK115" s="358"/>
      <c r="AL115" s="358"/>
      <c r="AM115" s="365"/>
      <c r="AN115" s="366"/>
    </row>
    <row r="116" ht="12.75" customHeight="1">
      <c r="A116" s="267" t="s">
        <v>589</v>
      </c>
      <c r="B116" s="268" t="s">
        <v>118</v>
      </c>
      <c r="C116" s="269" t="s">
        <v>119</v>
      </c>
      <c r="D116" s="269" t="s">
        <v>204</v>
      </c>
      <c r="E116" s="270"/>
      <c r="F116" s="270"/>
      <c r="G116" s="269" t="s">
        <v>148</v>
      </c>
      <c r="H116" s="269" t="s">
        <v>1021</v>
      </c>
      <c r="I116" s="270" t="s">
        <v>105</v>
      </c>
      <c r="J116" s="354" t="s">
        <v>150</v>
      </c>
      <c r="K116" s="355">
        <v>0.0</v>
      </c>
      <c r="L116" s="356">
        <v>0.0</v>
      </c>
      <c r="M116" s="357">
        <v>0.0</v>
      </c>
      <c r="N116" s="272">
        <v>60.0</v>
      </c>
      <c r="O116" s="271">
        <v>0.0</v>
      </c>
      <c r="P116" s="272">
        <v>0.0</v>
      </c>
      <c r="Q116" s="273">
        <f t="shared" ref="Q116:R116" si="400">M116-O116</f>
        <v>0</v>
      </c>
      <c r="R116" s="274">
        <f t="shared" si="400"/>
        <v>60</v>
      </c>
      <c r="S116" s="275">
        <v>1.0</v>
      </c>
      <c r="T116" s="276">
        <v>0.0</v>
      </c>
      <c r="U116" s="277" t="s">
        <v>151</v>
      </c>
      <c r="V116" s="277"/>
      <c r="W116" s="358"/>
      <c r="X116" s="358"/>
      <c r="Y116" s="358"/>
      <c r="Z116" s="358"/>
      <c r="AA116" s="358"/>
      <c r="AB116" s="359"/>
      <c r="AC116" s="360">
        <f t="shared" ref="AC116:AD116" si="401">K116</f>
        <v>0</v>
      </c>
      <c r="AD116" s="361">
        <f t="shared" si="401"/>
        <v>0</v>
      </c>
      <c r="AE116" s="362"/>
      <c r="AF116" s="358"/>
      <c r="AG116" s="358"/>
      <c r="AH116" s="358"/>
      <c r="AI116" s="363">
        <f t="shared" ref="AI116:AJ116" si="402">Q116</f>
        <v>0</v>
      </c>
      <c r="AJ116" s="364">
        <f t="shared" si="402"/>
        <v>60</v>
      </c>
      <c r="AK116" s="358"/>
      <c r="AL116" s="358"/>
      <c r="AM116" s="365"/>
      <c r="AN116" s="366"/>
    </row>
    <row r="117" ht="12.75" customHeight="1">
      <c r="A117" s="267" t="s">
        <v>591</v>
      </c>
      <c r="B117" s="268" t="s">
        <v>118</v>
      </c>
      <c r="C117" s="269" t="s">
        <v>119</v>
      </c>
      <c r="D117" s="269" t="s">
        <v>206</v>
      </c>
      <c r="E117" s="269" t="s">
        <v>207</v>
      </c>
      <c r="F117" s="270"/>
      <c r="G117" s="269" t="s">
        <v>208</v>
      </c>
      <c r="H117" s="270" t="s">
        <v>209</v>
      </c>
      <c r="I117" s="270" t="s">
        <v>105</v>
      </c>
      <c r="J117" s="354" t="s">
        <v>106</v>
      </c>
      <c r="K117" s="355">
        <v>2.58</v>
      </c>
      <c r="L117" s="356">
        <v>3526.0</v>
      </c>
      <c r="M117" s="357">
        <v>0.39</v>
      </c>
      <c r="N117" s="272">
        <v>533.0</v>
      </c>
      <c r="O117" s="271">
        <v>0.0</v>
      </c>
      <c r="P117" s="272">
        <v>0.0</v>
      </c>
      <c r="Q117" s="273">
        <f t="shared" ref="Q117:R117" si="403">M117-O117</f>
        <v>0.39</v>
      </c>
      <c r="R117" s="274">
        <f t="shared" si="403"/>
        <v>533</v>
      </c>
      <c r="S117" s="275">
        <v>1366.8</v>
      </c>
      <c r="T117" s="276">
        <v>15.0</v>
      </c>
      <c r="U117" s="277" t="s">
        <v>107</v>
      </c>
      <c r="V117" s="277"/>
      <c r="W117" s="358"/>
      <c r="X117" s="358"/>
      <c r="Y117" s="358"/>
      <c r="Z117" s="358"/>
      <c r="AA117" s="358"/>
      <c r="AB117" s="359"/>
      <c r="AC117" s="360">
        <f t="shared" ref="AC117:AD117" si="404">K117</f>
        <v>2.58</v>
      </c>
      <c r="AD117" s="361">
        <f t="shared" si="404"/>
        <v>3526</v>
      </c>
      <c r="AE117" s="362"/>
      <c r="AF117" s="358"/>
      <c r="AG117" s="358"/>
      <c r="AH117" s="358"/>
      <c r="AI117" s="363">
        <f t="shared" ref="AI117:AJ117" si="405">Q117</f>
        <v>0.39</v>
      </c>
      <c r="AJ117" s="364">
        <f t="shared" si="405"/>
        <v>533</v>
      </c>
      <c r="AK117" s="358"/>
      <c r="AL117" s="358"/>
      <c r="AM117" s="365"/>
      <c r="AN117" s="366"/>
    </row>
    <row r="118" ht="12.75" customHeight="1">
      <c r="A118" s="267" t="s">
        <v>592</v>
      </c>
      <c r="B118" s="268" t="s">
        <v>118</v>
      </c>
      <c r="C118" s="269" t="s">
        <v>119</v>
      </c>
      <c r="D118" s="269" t="s">
        <v>206</v>
      </c>
      <c r="E118" s="269" t="s">
        <v>206</v>
      </c>
      <c r="F118" s="270"/>
      <c r="G118" s="269" t="s">
        <v>210</v>
      </c>
      <c r="H118" s="270" t="s">
        <v>211</v>
      </c>
      <c r="I118" s="270" t="s">
        <v>105</v>
      </c>
      <c r="J118" s="354" t="s">
        <v>106</v>
      </c>
      <c r="K118" s="355">
        <v>0.2</v>
      </c>
      <c r="L118" s="356">
        <v>273.0</v>
      </c>
      <c r="M118" s="357">
        <v>0.03</v>
      </c>
      <c r="N118" s="272">
        <v>41.0</v>
      </c>
      <c r="O118" s="271">
        <v>0.0</v>
      </c>
      <c r="P118" s="272">
        <v>0.0</v>
      </c>
      <c r="Q118" s="273">
        <f t="shared" ref="Q118:R118" si="406">M118-O118</f>
        <v>0.03</v>
      </c>
      <c r="R118" s="274">
        <f t="shared" si="406"/>
        <v>41</v>
      </c>
      <c r="S118" s="275">
        <v>1366.8</v>
      </c>
      <c r="T118" s="276">
        <v>15.0</v>
      </c>
      <c r="U118" s="277" t="s">
        <v>107</v>
      </c>
      <c r="V118" s="277"/>
      <c r="W118" s="358"/>
      <c r="X118" s="358"/>
      <c r="Y118" s="358"/>
      <c r="Z118" s="358"/>
      <c r="AA118" s="358"/>
      <c r="AB118" s="359"/>
      <c r="AC118" s="360">
        <f t="shared" ref="AC118:AD118" si="407">K118</f>
        <v>0.2</v>
      </c>
      <c r="AD118" s="361">
        <f t="shared" si="407"/>
        <v>273</v>
      </c>
      <c r="AE118" s="362"/>
      <c r="AF118" s="358"/>
      <c r="AG118" s="358"/>
      <c r="AH118" s="358"/>
      <c r="AI118" s="363">
        <f t="shared" ref="AI118:AJ118" si="408">Q118</f>
        <v>0.03</v>
      </c>
      <c r="AJ118" s="364">
        <f t="shared" si="408"/>
        <v>41</v>
      </c>
      <c r="AK118" s="358"/>
      <c r="AL118" s="358"/>
      <c r="AM118" s="365"/>
      <c r="AN118" s="366"/>
    </row>
    <row r="119" ht="12.75" customHeight="1">
      <c r="A119" s="245" t="s">
        <v>593</v>
      </c>
      <c r="B119" s="246" t="s">
        <v>118</v>
      </c>
      <c r="C119" s="247" t="s">
        <v>119</v>
      </c>
      <c r="D119" s="247" t="s">
        <v>212</v>
      </c>
      <c r="E119" s="247" t="s">
        <v>207</v>
      </c>
      <c r="F119" s="248"/>
      <c r="G119" s="247" t="s">
        <v>139</v>
      </c>
      <c r="H119" s="247" t="s">
        <v>180</v>
      </c>
      <c r="I119" s="248" t="s">
        <v>105</v>
      </c>
      <c r="J119" s="300" t="s">
        <v>106</v>
      </c>
      <c r="K119" s="301">
        <v>325.87</v>
      </c>
      <c r="L119" s="302">
        <v>444356.0</v>
      </c>
      <c r="M119" s="303">
        <v>48.88</v>
      </c>
      <c r="N119" s="250">
        <v>66652.0</v>
      </c>
      <c r="O119" s="249">
        <v>0.0</v>
      </c>
      <c r="P119" s="250">
        <v>0.0</v>
      </c>
      <c r="Q119" s="251">
        <f t="shared" ref="Q119:R119" si="409">M119-O119</f>
        <v>48.88</v>
      </c>
      <c r="R119" s="252">
        <f t="shared" si="409"/>
        <v>66652</v>
      </c>
      <c r="S119" s="253">
        <v>1363.6</v>
      </c>
      <c r="T119" s="254">
        <v>15.0</v>
      </c>
      <c r="U119" s="255" t="s">
        <v>107</v>
      </c>
      <c r="V119" s="255"/>
      <c r="W119" s="304">
        <v>0.4028</v>
      </c>
      <c r="X119" s="304">
        <v>0.10888</v>
      </c>
      <c r="Y119" s="304">
        <v>0.29392</v>
      </c>
      <c r="Z119" s="305">
        <f>IFERROR(ROUND(K119/W119,0),0)</f>
        <v>809</v>
      </c>
      <c r="AA119" s="306">
        <f t="shared" ref="AA119:AA120" si="411">Z119*W119</f>
        <v>325.8652</v>
      </c>
      <c r="AB119" s="307">
        <f t="shared" ref="AB119:AB120" si="412">ROUND(AA119*S119,0)</f>
        <v>444350</v>
      </c>
      <c r="AC119" s="308">
        <f t="shared" ref="AC119:AC120" si="413">AA119</f>
        <v>325.8652</v>
      </c>
      <c r="AD119" s="309">
        <f t="shared" ref="AD119:AD127" si="414">ROUND(AC119*S119,0)</f>
        <v>444350</v>
      </c>
      <c r="AE119" s="310">
        <f t="shared" ref="AE119:AE127" si="415">IFERROR(ROUND(Z119*Y119,2),0)</f>
        <v>237.78</v>
      </c>
      <c r="AF119" s="252">
        <f t="shared" ref="AF119:AF127" si="416">ROUND(AE119*S119,0)</f>
        <v>324237</v>
      </c>
      <c r="AG119" s="306">
        <f t="shared" ref="AG119:AG120" si="417">ROUND(AC119*0.15,2)</f>
        <v>48.88</v>
      </c>
      <c r="AH119" s="252">
        <f t="shared" ref="AH119:AH120" si="418">ROUND(AD119*0.15,0)</f>
        <v>66653</v>
      </c>
      <c r="AI119" s="311"/>
      <c r="AJ119" s="311"/>
      <c r="AK119" s="311"/>
      <c r="AL119" s="311"/>
      <c r="AM119" s="312"/>
      <c r="AN119" s="313"/>
    </row>
    <row r="120" ht="12.75" customHeight="1">
      <c r="A120" s="245" t="s">
        <v>594</v>
      </c>
      <c r="B120" s="246" t="s">
        <v>118</v>
      </c>
      <c r="C120" s="247" t="s">
        <v>119</v>
      </c>
      <c r="D120" s="247" t="s">
        <v>212</v>
      </c>
      <c r="E120" s="247" t="s">
        <v>207</v>
      </c>
      <c r="F120" s="248"/>
      <c r="G120" s="247" t="s">
        <v>139</v>
      </c>
      <c r="H120" s="247" t="s">
        <v>180</v>
      </c>
      <c r="I120" s="248" t="s">
        <v>105</v>
      </c>
      <c r="J120" s="300" t="s">
        <v>106</v>
      </c>
      <c r="K120" s="314">
        <f t="shared" ref="K120:R120" si="410">-K119</f>
        <v>-325.87</v>
      </c>
      <c r="L120" s="309">
        <f t="shared" si="410"/>
        <v>-444356</v>
      </c>
      <c r="M120" s="315">
        <f t="shared" si="410"/>
        <v>-48.88</v>
      </c>
      <c r="N120" s="252">
        <f t="shared" si="410"/>
        <v>-66652</v>
      </c>
      <c r="O120" s="251">
        <f t="shared" si="410"/>
        <v>0</v>
      </c>
      <c r="P120" s="252">
        <f t="shared" si="410"/>
        <v>0</v>
      </c>
      <c r="Q120" s="251">
        <f t="shared" si="410"/>
        <v>-48.88</v>
      </c>
      <c r="R120" s="252">
        <f t="shared" si="410"/>
        <v>-66652</v>
      </c>
      <c r="S120" s="253">
        <v>1363.6</v>
      </c>
      <c r="T120" s="254">
        <v>15.0</v>
      </c>
      <c r="U120" s="255" t="s">
        <v>107</v>
      </c>
      <c r="V120" s="255"/>
      <c r="W120" s="304">
        <v>0.4028</v>
      </c>
      <c r="X120" s="304">
        <v>0.10888</v>
      </c>
      <c r="Y120" s="304">
        <v>0.29392</v>
      </c>
      <c r="Z120" s="305">
        <f>-Z119</f>
        <v>-809</v>
      </c>
      <c r="AA120" s="306">
        <f t="shared" si="411"/>
        <v>-325.8652</v>
      </c>
      <c r="AB120" s="307">
        <f t="shared" si="412"/>
        <v>-444350</v>
      </c>
      <c r="AC120" s="308">
        <f t="shared" si="413"/>
        <v>-325.8652</v>
      </c>
      <c r="AD120" s="309">
        <f t="shared" si="414"/>
        <v>-444350</v>
      </c>
      <c r="AE120" s="310">
        <f t="shared" si="415"/>
        <v>-237.78</v>
      </c>
      <c r="AF120" s="252">
        <f t="shared" si="416"/>
        <v>-324237</v>
      </c>
      <c r="AG120" s="306">
        <f t="shared" si="417"/>
        <v>-48.88</v>
      </c>
      <c r="AH120" s="252">
        <f t="shared" si="418"/>
        <v>-66653</v>
      </c>
      <c r="AI120" s="311"/>
      <c r="AJ120" s="311"/>
      <c r="AK120" s="311"/>
      <c r="AL120" s="311"/>
      <c r="AM120" s="312"/>
      <c r="AN120" s="313"/>
    </row>
    <row r="121" ht="12.75" customHeight="1">
      <c r="A121" s="256" t="s">
        <v>595</v>
      </c>
      <c r="B121" s="257" t="s">
        <v>118</v>
      </c>
      <c r="C121" s="258" t="s">
        <v>119</v>
      </c>
      <c r="D121" s="258" t="s">
        <v>212</v>
      </c>
      <c r="E121" s="258" t="s">
        <v>207</v>
      </c>
      <c r="F121" s="259"/>
      <c r="G121" s="258" t="s">
        <v>139</v>
      </c>
      <c r="H121" s="258" t="s">
        <v>180</v>
      </c>
      <c r="I121" s="259" t="s">
        <v>105</v>
      </c>
      <c r="J121" s="316" t="s">
        <v>106</v>
      </c>
      <c r="K121" s="317">
        <f>ROUND(M121/0.15,2)</f>
        <v>88.07</v>
      </c>
      <c r="L121" s="318">
        <f>ROUND(N121/0.15,0)</f>
        <v>120080</v>
      </c>
      <c r="M121" s="319">
        <f t="shared" ref="M121:N121" si="419">Q121</f>
        <v>13.21</v>
      </c>
      <c r="N121" s="261">
        <f t="shared" si="419"/>
        <v>18012</v>
      </c>
      <c r="O121" s="262">
        <v>35.67</v>
      </c>
      <c r="P121" s="263">
        <v>48640.0</v>
      </c>
      <c r="Q121" s="260">
        <f t="shared" ref="Q121:R121" si="420">M119-O121</f>
        <v>13.21</v>
      </c>
      <c r="R121" s="261">
        <f t="shared" si="420"/>
        <v>18012</v>
      </c>
      <c r="S121" s="264">
        <v>1363.6</v>
      </c>
      <c r="T121" s="265">
        <v>15.0</v>
      </c>
      <c r="U121" s="266" t="s">
        <v>107</v>
      </c>
      <c r="V121" s="266" t="s">
        <v>1022</v>
      </c>
      <c r="W121" s="320">
        <v>0.4028</v>
      </c>
      <c r="X121" s="320">
        <v>0.10888</v>
      </c>
      <c r="Y121" s="320">
        <v>0.29392</v>
      </c>
      <c r="Z121" s="321">
        <f>Z119</f>
        <v>809</v>
      </c>
      <c r="AA121" s="311"/>
      <c r="AB121" s="322"/>
      <c r="AC121" s="323">
        <f>IFERROR(ROUND(Z121*X121,2),0)</f>
        <v>88.08</v>
      </c>
      <c r="AD121" s="318">
        <f t="shared" si="414"/>
        <v>120106</v>
      </c>
      <c r="AE121" s="324">
        <f t="shared" si="415"/>
        <v>237.78</v>
      </c>
      <c r="AF121" s="261">
        <f t="shared" si="416"/>
        <v>324237</v>
      </c>
      <c r="AG121" s="311"/>
      <c r="AH121" s="311"/>
      <c r="AI121" s="325">
        <f>ROUND(AC121*0.15,2)</f>
        <v>13.21</v>
      </c>
      <c r="AJ121" s="261">
        <f>ROUND(AD121*0.15,0)</f>
        <v>18016</v>
      </c>
      <c r="AK121" s="325">
        <f>ROUND(AE121*0.15,2)</f>
        <v>35.67</v>
      </c>
      <c r="AL121" s="261">
        <f>ROUND(AF121*0.15,0)</f>
        <v>48636</v>
      </c>
      <c r="AM121" s="326">
        <f>IFERROR(AC121/K121,IFERROR(AK121/O121,""))</f>
        <v>1.000113546</v>
      </c>
      <c r="AN121" s="313"/>
    </row>
    <row r="122" ht="12.75" customHeight="1">
      <c r="A122" s="245" t="s">
        <v>597</v>
      </c>
      <c r="B122" s="246" t="s">
        <v>118</v>
      </c>
      <c r="C122" s="247" t="s">
        <v>119</v>
      </c>
      <c r="D122" s="247" t="s">
        <v>213</v>
      </c>
      <c r="E122" s="247" t="s">
        <v>213</v>
      </c>
      <c r="F122" s="248"/>
      <c r="G122" s="247" t="s">
        <v>127</v>
      </c>
      <c r="H122" s="247" t="s">
        <v>186</v>
      </c>
      <c r="I122" s="248" t="s">
        <v>105</v>
      </c>
      <c r="J122" s="300" t="s">
        <v>106</v>
      </c>
      <c r="K122" s="301">
        <v>32.26</v>
      </c>
      <c r="L122" s="302">
        <v>44176.0</v>
      </c>
      <c r="M122" s="303">
        <v>4.84</v>
      </c>
      <c r="N122" s="250">
        <v>6627.0</v>
      </c>
      <c r="O122" s="249">
        <v>0.0</v>
      </c>
      <c r="P122" s="250">
        <v>0.0</v>
      </c>
      <c r="Q122" s="251">
        <f t="shared" ref="Q122:R122" si="421">M122-O122</f>
        <v>4.84</v>
      </c>
      <c r="R122" s="252">
        <f t="shared" si="421"/>
        <v>6627</v>
      </c>
      <c r="S122" s="253">
        <v>1369.4</v>
      </c>
      <c r="T122" s="254">
        <v>15.0</v>
      </c>
      <c r="U122" s="255" t="s">
        <v>107</v>
      </c>
      <c r="V122" s="255"/>
      <c r="W122" s="304">
        <v>0.6721</v>
      </c>
      <c r="X122" s="304">
        <v>0.318256</v>
      </c>
      <c r="Y122" s="304">
        <v>0.353844</v>
      </c>
      <c r="Z122" s="305">
        <f>IFERROR(ROUND(K122/W122,0),0)</f>
        <v>48</v>
      </c>
      <c r="AA122" s="306">
        <f t="shared" ref="AA122:AA123" si="423">Z122*W122</f>
        <v>32.2608</v>
      </c>
      <c r="AB122" s="307">
        <f t="shared" ref="AB122:AB123" si="424">ROUND(AA122*S122,0)</f>
        <v>44178</v>
      </c>
      <c r="AC122" s="308">
        <f t="shared" ref="AC122:AC123" si="425">AA122</f>
        <v>32.2608</v>
      </c>
      <c r="AD122" s="309">
        <f t="shared" si="414"/>
        <v>44178</v>
      </c>
      <c r="AE122" s="310">
        <f t="shared" si="415"/>
        <v>16.98</v>
      </c>
      <c r="AF122" s="252">
        <f t="shared" si="416"/>
        <v>23252</v>
      </c>
      <c r="AG122" s="306">
        <f t="shared" ref="AG122:AG123" si="426">ROUND(AC122*0.15,2)</f>
        <v>4.84</v>
      </c>
      <c r="AH122" s="252">
        <f t="shared" ref="AH122:AH123" si="427">ROUND(AD122*0.15,0)</f>
        <v>6627</v>
      </c>
      <c r="AI122" s="311"/>
      <c r="AJ122" s="311"/>
      <c r="AK122" s="311"/>
      <c r="AL122" s="311"/>
      <c r="AM122" s="312"/>
      <c r="AN122" s="313"/>
    </row>
    <row r="123" ht="12.75" customHeight="1">
      <c r="A123" s="245" t="s">
        <v>598</v>
      </c>
      <c r="B123" s="246" t="s">
        <v>118</v>
      </c>
      <c r="C123" s="247" t="s">
        <v>119</v>
      </c>
      <c r="D123" s="247" t="s">
        <v>213</v>
      </c>
      <c r="E123" s="247" t="s">
        <v>213</v>
      </c>
      <c r="F123" s="248"/>
      <c r="G123" s="247" t="s">
        <v>127</v>
      </c>
      <c r="H123" s="247" t="s">
        <v>186</v>
      </c>
      <c r="I123" s="248" t="s">
        <v>105</v>
      </c>
      <c r="J123" s="300" t="s">
        <v>106</v>
      </c>
      <c r="K123" s="314">
        <f t="shared" ref="K123:R123" si="422">-K122</f>
        <v>-32.26</v>
      </c>
      <c r="L123" s="309">
        <f t="shared" si="422"/>
        <v>-44176</v>
      </c>
      <c r="M123" s="315">
        <f t="shared" si="422"/>
        <v>-4.84</v>
      </c>
      <c r="N123" s="252">
        <f t="shared" si="422"/>
        <v>-6627</v>
      </c>
      <c r="O123" s="251">
        <f t="shared" si="422"/>
        <v>0</v>
      </c>
      <c r="P123" s="252">
        <f t="shared" si="422"/>
        <v>0</v>
      </c>
      <c r="Q123" s="251">
        <f t="shared" si="422"/>
        <v>-4.84</v>
      </c>
      <c r="R123" s="252">
        <f t="shared" si="422"/>
        <v>-6627</v>
      </c>
      <c r="S123" s="253">
        <v>1369.4</v>
      </c>
      <c r="T123" s="254">
        <v>15.0</v>
      </c>
      <c r="U123" s="255" t="s">
        <v>107</v>
      </c>
      <c r="V123" s="255"/>
      <c r="W123" s="304">
        <v>0.6721</v>
      </c>
      <c r="X123" s="304">
        <v>0.318256</v>
      </c>
      <c r="Y123" s="304">
        <v>0.353844</v>
      </c>
      <c r="Z123" s="305">
        <f>-Z122</f>
        <v>-48</v>
      </c>
      <c r="AA123" s="306">
        <f t="shared" si="423"/>
        <v>-32.2608</v>
      </c>
      <c r="AB123" s="307">
        <f t="shared" si="424"/>
        <v>-44178</v>
      </c>
      <c r="AC123" s="308">
        <f t="shared" si="425"/>
        <v>-32.2608</v>
      </c>
      <c r="AD123" s="309">
        <f t="shared" si="414"/>
        <v>-44178</v>
      </c>
      <c r="AE123" s="310">
        <f t="shared" si="415"/>
        <v>-16.98</v>
      </c>
      <c r="AF123" s="252">
        <f t="shared" si="416"/>
        <v>-23252</v>
      </c>
      <c r="AG123" s="306">
        <f t="shared" si="426"/>
        <v>-4.84</v>
      </c>
      <c r="AH123" s="252">
        <f t="shared" si="427"/>
        <v>-6627</v>
      </c>
      <c r="AI123" s="311"/>
      <c r="AJ123" s="311"/>
      <c r="AK123" s="311"/>
      <c r="AL123" s="311"/>
      <c r="AM123" s="312"/>
      <c r="AN123" s="313"/>
    </row>
    <row r="124" ht="12.75" customHeight="1">
      <c r="A124" s="256" t="s">
        <v>599</v>
      </c>
      <c r="B124" s="257" t="s">
        <v>118</v>
      </c>
      <c r="C124" s="258" t="s">
        <v>119</v>
      </c>
      <c r="D124" s="258" t="s">
        <v>213</v>
      </c>
      <c r="E124" s="258" t="s">
        <v>213</v>
      </c>
      <c r="F124" s="259"/>
      <c r="G124" s="258" t="s">
        <v>127</v>
      </c>
      <c r="H124" s="258" t="s">
        <v>186</v>
      </c>
      <c r="I124" s="259" t="s">
        <v>105</v>
      </c>
      <c r="J124" s="316" t="s">
        <v>106</v>
      </c>
      <c r="K124" s="317">
        <f>ROUND(M124/0.15,2)</f>
        <v>15.33</v>
      </c>
      <c r="L124" s="318">
        <f>ROUND(N124/0.15,0)</f>
        <v>20993</v>
      </c>
      <c r="M124" s="319">
        <f t="shared" ref="M124:N124" si="428">Q124</f>
        <v>2.3</v>
      </c>
      <c r="N124" s="261">
        <f t="shared" si="428"/>
        <v>3149</v>
      </c>
      <c r="O124" s="262">
        <v>2.54</v>
      </c>
      <c r="P124" s="263">
        <v>3478.0</v>
      </c>
      <c r="Q124" s="260">
        <f t="shared" ref="Q124:R124" si="429">M122-O124</f>
        <v>2.3</v>
      </c>
      <c r="R124" s="261">
        <f t="shared" si="429"/>
        <v>3149</v>
      </c>
      <c r="S124" s="264">
        <v>1369.4</v>
      </c>
      <c r="T124" s="265">
        <v>15.0</v>
      </c>
      <c r="U124" s="266" t="s">
        <v>107</v>
      </c>
      <c r="V124" s="266" t="s">
        <v>1023</v>
      </c>
      <c r="W124" s="320">
        <v>0.6721</v>
      </c>
      <c r="X124" s="320">
        <v>0.318256</v>
      </c>
      <c r="Y124" s="320">
        <v>0.353844</v>
      </c>
      <c r="Z124" s="321">
        <f>Z122</f>
        <v>48</v>
      </c>
      <c r="AA124" s="311"/>
      <c r="AB124" s="322"/>
      <c r="AC124" s="323">
        <f>IFERROR(ROUND(Z124*X124,2),0)</f>
        <v>15.28</v>
      </c>
      <c r="AD124" s="318">
        <f t="shared" si="414"/>
        <v>20924</v>
      </c>
      <c r="AE124" s="324">
        <f t="shared" si="415"/>
        <v>16.98</v>
      </c>
      <c r="AF124" s="261">
        <f t="shared" si="416"/>
        <v>23252</v>
      </c>
      <c r="AG124" s="311"/>
      <c r="AH124" s="311"/>
      <c r="AI124" s="325">
        <f>ROUND(AC124*0.15,2)</f>
        <v>2.29</v>
      </c>
      <c r="AJ124" s="261">
        <f>ROUND(AD124*0.15,0)</f>
        <v>3139</v>
      </c>
      <c r="AK124" s="325">
        <f>ROUND(AE124*0.15,2)</f>
        <v>2.55</v>
      </c>
      <c r="AL124" s="261">
        <f>ROUND(AF124*0.15,0)</f>
        <v>3488</v>
      </c>
      <c r="AM124" s="326">
        <f>IFERROR(AC124/K124,IFERROR(AK124/O124,""))</f>
        <v>0.9967384214</v>
      </c>
      <c r="AN124" s="313"/>
    </row>
    <row r="125" ht="12.75" customHeight="1">
      <c r="A125" s="245" t="s">
        <v>601</v>
      </c>
      <c r="B125" s="246" t="s">
        <v>118</v>
      </c>
      <c r="C125" s="247" t="s">
        <v>119</v>
      </c>
      <c r="D125" s="247" t="s">
        <v>214</v>
      </c>
      <c r="E125" s="247" t="s">
        <v>213</v>
      </c>
      <c r="F125" s="248"/>
      <c r="G125" s="247" t="s">
        <v>143</v>
      </c>
      <c r="H125" s="247" t="s">
        <v>160</v>
      </c>
      <c r="I125" s="248" t="s">
        <v>105</v>
      </c>
      <c r="J125" s="300" t="s">
        <v>106</v>
      </c>
      <c r="K125" s="301">
        <v>22.53</v>
      </c>
      <c r="L125" s="302">
        <v>30753.0</v>
      </c>
      <c r="M125" s="303">
        <v>3.38</v>
      </c>
      <c r="N125" s="250">
        <v>4613.0</v>
      </c>
      <c r="O125" s="249">
        <v>0.0</v>
      </c>
      <c r="P125" s="250">
        <v>0.0</v>
      </c>
      <c r="Q125" s="251">
        <f t="shared" ref="Q125:R125" si="430">M125-O125</f>
        <v>3.38</v>
      </c>
      <c r="R125" s="252">
        <f t="shared" si="430"/>
        <v>4613</v>
      </c>
      <c r="S125" s="253">
        <v>1365.0</v>
      </c>
      <c r="T125" s="254">
        <v>15.0</v>
      </c>
      <c r="U125" s="255" t="s">
        <v>107</v>
      </c>
      <c r="V125" s="255"/>
      <c r="W125" s="304">
        <v>0.5363</v>
      </c>
      <c r="X125" s="304">
        <v>0.197626</v>
      </c>
      <c r="Y125" s="304">
        <v>0.338674</v>
      </c>
      <c r="Z125" s="305">
        <f>IFERROR(ROUND(K125/W125,0),0)</f>
        <v>42</v>
      </c>
      <c r="AA125" s="306">
        <f t="shared" ref="AA125:AA126" si="432">Z125*W125</f>
        <v>22.5246</v>
      </c>
      <c r="AB125" s="307">
        <f t="shared" ref="AB125:AB126" si="433">ROUND(AA125*S125,0)</f>
        <v>30746</v>
      </c>
      <c r="AC125" s="308">
        <f t="shared" ref="AC125:AC126" si="434">AA125</f>
        <v>22.5246</v>
      </c>
      <c r="AD125" s="309">
        <f t="shared" si="414"/>
        <v>30746</v>
      </c>
      <c r="AE125" s="310">
        <f t="shared" si="415"/>
        <v>14.22</v>
      </c>
      <c r="AF125" s="252">
        <f t="shared" si="416"/>
        <v>19410</v>
      </c>
      <c r="AG125" s="306">
        <f t="shared" ref="AG125:AG126" si="435">ROUND(AC125*0.15,2)</f>
        <v>3.38</v>
      </c>
      <c r="AH125" s="252">
        <f t="shared" ref="AH125:AH126" si="436">ROUND(AD125*0.15,0)</f>
        <v>4612</v>
      </c>
      <c r="AI125" s="311"/>
      <c r="AJ125" s="311"/>
      <c r="AK125" s="311"/>
      <c r="AL125" s="311"/>
      <c r="AM125" s="312"/>
      <c r="AN125" s="313"/>
    </row>
    <row r="126" ht="12.75" customHeight="1">
      <c r="A126" s="245" t="s">
        <v>602</v>
      </c>
      <c r="B126" s="246" t="s">
        <v>118</v>
      </c>
      <c r="C126" s="247" t="s">
        <v>119</v>
      </c>
      <c r="D126" s="247" t="s">
        <v>214</v>
      </c>
      <c r="E126" s="247" t="s">
        <v>213</v>
      </c>
      <c r="F126" s="248"/>
      <c r="G126" s="247" t="s">
        <v>143</v>
      </c>
      <c r="H126" s="247" t="s">
        <v>160</v>
      </c>
      <c r="I126" s="248" t="s">
        <v>105</v>
      </c>
      <c r="J126" s="300" t="s">
        <v>106</v>
      </c>
      <c r="K126" s="314">
        <f t="shared" ref="K126:R126" si="431">-K125</f>
        <v>-22.53</v>
      </c>
      <c r="L126" s="309">
        <f t="shared" si="431"/>
        <v>-30753</v>
      </c>
      <c r="M126" s="315">
        <f t="shared" si="431"/>
        <v>-3.38</v>
      </c>
      <c r="N126" s="252">
        <f t="shared" si="431"/>
        <v>-4613</v>
      </c>
      <c r="O126" s="251">
        <f t="shared" si="431"/>
        <v>0</v>
      </c>
      <c r="P126" s="252">
        <f t="shared" si="431"/>
        <v>0</v>
      </c>
      <c r="Q126" s="251">
        <f t="shared" si="431"/>
        <v>-3.38</v>
      </c>
      <c r="R126" s="252">
        <f t="shared" si="431"/>
        <v>-4613</v>
      </c>
      <c r="S126" s="253">
        <v>1365.0</v>
      </c>
      <c r="T126" s="254">
        <v>15.0</v>
      </c>
      <c r="U126" s="255" t="s">
        <v>107</v>
      </c>
      <c r="V126" s="255"/>
      <c r="W126" s="304">
        <v>0.5363</v>
      </c>
      <c r="X126" s="304">
        <v>0.197626</v>
      </c>
      <c r="Y126" s="304">
        <v>0.338674</v>
      </c>
      <c r="Z126" s="305">
        <f>-Z125</f>
        <v>-42</v>
      </c>
      <c r="AA126" s="306">
        <f t="shared" si="432"/>
        <v>-22.5246</v>
      </c>
      <c r="AB126" s="307">
        <f t="shared" si="433"/>
        <v>-30746</v>
      </c>
      <c r="AC126" s="308">
        <f t="shared" si="434"/>
        <v>-22.5246</v>
      </c>
      <c r="AD126" s="309">
        <f t="shared" si="414"/>
        <v>-30746</v>
      </c>
      <c r="AE126" s="310">
        <f t="shared" si="415"/>
        <v>-14.22</v>
      </c>
      <c r="AF126" s="252">
        <f t="shared" si="416"/>
        <v>-19410</v>
      </c>
      <c r="AG126" s="306">
        <f t="shared" si="435"/>
        <v>-3.38</v>
      </c>
      <c r="AH126" s="252">
        <f t="shared" si="436"/>
        <v>-4612</v>
      </c>
      <c r="AI126" s="311"/>
      <c r="AJ126" s="311"/>
      <c r="AK126" s="311"/>
      <c r="AL126" s="311"/>
      <c r="AM126" s="312"/>
      <c r="AN126" s="313"/>
    </row>
    <row r="127" ht="12.75" customHeight="1">
      <c r="A127" s="256" t="s">
        <v>603</v>
      </c>
      <c r="B127" s="257" t="s">
        <v>118</v>
      </c>
      <c r="C127" s="258" t="s">
        <v>119</v>
      </c>
      <c r="D127" s="258" t="s">
        <v>214</v>
      </c>
      <c r="E127" s="258" t="s">
        <v>213</v>
      </c>
      <c r="F127" s="259"/>
      <c r="G127" s="258" t="s">
        <v>143</v>
      </c>
      <c r="H127" s="258" t="s">
        <v>160</v>
      </c>
      <c r="I127" s="259" t="s">
        <v>105</v>
      </c>
      <c r="J127" s="316" t="s">
        <v>106</v>
      </c>
      <c r="K127" s="317">
        <f>ROUND(M127/0.15,2)</f>
        <v>8.27</v>
      </c>
      <c r="L127" s="318">
        <f>ROUND(N127/0.15,0)</f>
        <v>11280</v>
      </c>
      <c r="M127" s="319">
        <f t="shared" ref="M127:N127" si="437">Q127</f>
        <v>1.24</v>
      </c>
      <c r="N127" s="261">
        <f t="shared" si="437"/>
        <v>1692</v>
      </c>
      <c r="O127" s="262">
        <v>2.14</v>
      </c>
      <c r="P127" s="263">
        <v>2921.0</v>
      </c>
      <c r="Q127" s="260">
        <f t="shared" ref="Q127:R127" si="438">M125-O127</f>
        <v>1.24</v>
      </c>
      <c r="R127" s="261">
        <f t="shared" si="438"/>
        <v>1692</v>
      </c>
      <c r="S127" s="264">
        <v>1365.0</v>
      </c>
      <c r="T127" s="265">
        <v>15.0</v>
      </c>
      <c r="U127" s="266" t="s">
        <v>107</v>
      </c>
      <c r="V127" s="266" t="s">
        <v>1024</v>
      </c>
      <c r="W127" s="320">
        <v>0.5363</v>
      </c>
      <c r="X127" s="320">
        <v>0.197626</v>
      </c>
      <c r="Y127" s="320">
        <v>0.338674</v>
      </c>
      <c r="Z127" s="321">
        <f>Z125</f>
        <v>42</v>
      </c>
      <c r="AA127" s="311"/>
      <c r="AB127" s="322"/>
      <c r="AC127" s="323">
        <f>IFERROR(ROUND(Z127*X127,2),0)</f>
        <v>8.3</v>
      </c>
      <c r="AD127" s="318">
        <f t="shared" si="414"/>
        <v>11330</v>
      </c>
      <c r="AE127" s="324">
        <f t="shared" si="415"/>
        <v>14.22</v>
      </c>
      <c r="AF127" s="261">
        <f t="shared" si="416"/>
        <v>19410</v>
      </c>
      <c r="AG127" s="311"/>
      <c r="AH127" s="311"/>
      <c r="AI127" s="325">
        <f>ROUND(AC127*0.15,2)</f>
        <v>1.25</v>
      </c>
      <c r="AJ127" s="261">
        <f>ROUND(AD127*0.15,0)</f>
        <v>1700</v>
      </c>
      <c r="AK127" s="325">
        <f>ROUND(AE127*0.15,2)</f>
        <v>2.13</v>
      </c>
      <c r="AL127" s="261">
        <f>ROUND(AF127*0.15,0)</f>
        <v>2912</v>
      </c>
      <c r="AM127" s="326">
        <f>IFERROR(AC127/K127,IFERROR(AK127/O127,""))</f>
        <v>1.00362757</v>
      </c>
      <c r="AN127" s="313"/>
    </row>
    <row r="128" ht="12.75" customHeight="1">
      <c r="A128" s="267" t="s">
        <v>605</v>
      </c>
      <c r="B128" s="268" t="s">
        <v>118</v>
      </c>
      <c r="C128" s="269" t="s">
        <v>119</v>
      </c>
      <c r="D128" s="269" t="s">
        <v>214</v>
      </c>
      <c r="E128" s="269" t="s">
        <v>215</v>
      </c>
      <c r="F128" s="270"/>
      <c r="G128" s="269" t="s">
        <v>216</v>
      </c>
      <c r="H128" s="270" t="s">
        <v>217</v>
      </c>
      <c r="I128" s="270" t="s">
        <v>105</v>
      </c>
      <c r="J128" s="354" t="s">
        <v>106</v>
      </c>
      <c r="K128" s="355">
        <v>8.84</v>
      </c>
      <c r="L128" s="356">
        <v>12066.0</v>
      </c>
      <c r="M128" s="357">
        <v>1.33</v>
      </c>
      <c r="N128" s="272">
        <v>1815.0</v>
      </c>
      <c r="O128" s="271">
        <v>0.0</v>
      </c>
      <c r="P128" s="272">
        <v>0.0</v>
      </c>
      <c r="Q128" s="273">
        <f t="shared" ref="Q128:R128" si="439">M128-O128</f>
        <v>1.33</v>
      </c>
      <c r="R128" s="274">
        <f t="shared" si="439"/>
        <v>1815</v>
      </c>
      <c r="S128" s="275">
        <v>1365.0</v>
      </c>
      <c r="T128" s="276">
        <v>15.0</v>
      </c>
      <c r="U128" s="277" t="s">
        <v>107</v>
      </c>
      <c r="V128" s="277"/>
      <c r="W128" s="358"/>
      <c r="X128" s="358"/>
      <c r="Y128" s="358"/>
      <c r="Z128" s="358"/>
      <c r="AA128" s="358"/>
      <c r="AB128" s="359"/>
      <c r="AC128" s="360">
        <f t="shared" ref="AC128:AD128" si="440">K128</f>
        <v>8.84</v>
      </c>
      <c r="AD128" s="361">
        <f t="shared" si="440"/>
        <v>12066</v>
      </c>
      <c r="AE128" s="362"/>
      <c r="AF128" s="358"/>
      <c r="AG128" s="358"/>
      <c r="AH128" s="358"/>
      <c r="AI128" s="363">
        <f t="shared" ref="AI128:AJ128" si="441">Q128</f>
        <v>1.33</v>
      </c>
      <c r="AJ128" s="364">
        <f t="shared" si="441"/>
        <v>1815</v>
      </c>
      <c r="AK128" s="358"/>
      <c r="AL128" s="358"/>
      <c r="AM128" s="365"/>
      <c r="AN128" s="366"/>
    </row>
    <row r="129" ht="12.75" customHeight="1">
      <c r="A129" s="245" t="s">
        <v>606</v>
      </c>
      <c r="B129" s="246" t="s">
        <v>118</v>
      </c>
      <c r="C129" s="247" t="s">
        <v>119</v>
      </c>
      <c r="D129" s="247" t="s">
        <v>218</v>
      </c>
      <c r="E129" s="247" t="s">
        <v>219</v>
      </c>
      <c r="F129" s="248"/>
      <c r="G129" s="247" t="s">
        <v>131</v>
      </c>
      <c r="H129" s="247" t="s">
        <v>167</v>
      </c>
      <c r="I129" s="248" t="s">
        <v>105</v>
      </c>
      <c r="J129" s="300" t="s">
        <v>106</v>
      </c>
      <c r="K129" s="301">
        <v>426.18</v>
      </c>
      <c r="L129" s="302">
        <v>576877.0</v>
      </c>
      <c r="M129" s="303">
        <v>63.93</v>
      </c>
      <c r="N129" s="250">
        <v>86535.0</v>
      </c>
      <c r="O129" s="249">
        <v>0.0</v>
      </c>
      <c r="P129" s="250">
        <v>0.0</v>
      </c>
      <c r="Q129" s="251">
        <f t="shared" ref="Q129:R129" si="442">M129-O129</f>
        <v>63.93</v>
      </c>
      <c r="R129" s="252">
        <f t="shared" si="442"/>
        <v>86535</v>
      </c>
      <c r="S129" s="253">
        <v>1353.6</v>
      </c>
      <c r="T129" s="254">
        <v>15.0</v>
      </c>
      <c r="U129" s="255" t="s">
        <v>107</v>
      </c>
      <c r="V129" s="255"/>
      <c r="W129" s="304">
        <v>0.5354</v>
      </c>
      <c r="X129" s="304">
        <v>0.015813</v>
      </c>
      <c r="Y129" s="304">
        <v>0.519587</v>
      </c>
      <c r="Z129" s="305">
        <f>IFERROR(ROUND(K129/W129,0),0)</f>
        <v>796</v>
      </c>
      <c r="AA129" s="306">
        <f t="shared" ref="AA129:AA130" si="444">Z129*W129</f>
        <v>426.1784</v>
      </c>
      <c r="AB129" s="307">
        <f t="shared" ref="AB129:AB130" si="445">ROUND(AA129*S129,0)</f>
        <v>576875</v>
      </c>
      <c r="AC129" s="308">
        <f t="shared" ref="AC129:AC130" si="446">AA129</f>
        <v>426.1784</v>
      </c>
      <c r="AD129" s="309">
        <f t="shared" ref="AD129:AD131" si="447">ROUND(AC129*S129,0)</f>
        <v>576875</v>
      </c>
      <c r="AE129" s="310">
        <f t="shared" ref="AE129:AE131" si="448">IFERROR(ROUND(Z129*Y129,2),0)</f>
        <v>413.59</v>
      </c>
      <c r="AF129" s="252">
        <f t="shared" ref="AF129:AF131" si="449">ROUND(AE129*S129,0)</f>
        <v>559835</v>
      </c>
      <c r="AG129" s="306">
        <f t="shared" ref="AG129:AG130" si="450">ROUND(AC129*0.15,2)</f>
        <v>63.93</v>
      </c>
      <c r="AH129" s="252">
        <f t="shared" ref="AH129:AH130" si="451">ROUND(AD129*0.15,0)</f>
        <v>86531</v>
      </c>
      <c r="AI129" s="311"/>
      <c r="AJ129" s="311"/>
      <c r="AK129" s="311"/>
      <c r="AL129" s="311"/>
      <c r="AM129" s="312"/>
      <c r="AN129" s="313"/>
    </row>
    <row r="130" ht="12.75" customHeight="1">
      <c r="A130" s="245" t="s">
        <v>607</v>
      </c>
      <c r="B130" s="246" t="s">
        <v>118</v>
      </c>
      <c r="C130" s="247" t="s">
        <v>119</v>
      </c>
      <c r="D130" s="247" t="s">
        <v>218</v>
      </c>
      <c r="E130" s="247" t="s">
        <v>219</v>
      </c>
      <c r="F130" s="248"/>
      <c r="G130" s="247" t="s">
        <v>131</v>
      </c>
      <c r="H130" s="247" t="s">
        <v>167</v>
      </c>
      <c r="I130" s="248" t="s">
        <v>105</v>
      </c>
      <c r="J130" s="300" t="s">
        <v>106</v>
      </c>
      <c r="K130" s="314">
        <f t="shared" ref="K130:R130" si="443">-K129</f>
        <v>-426.18</v>
      </c>
      <c r="L130" s="309">
        <f t="shared" si="443"/>
        <v>-576877</v>
      </c>
      <c r="M130" s="315">
        <f t="shared" si="443"/>
        <v>-63.93</v>
      </c>
      <c r="N130" s="252">
        <f t="shared" si="443"/>
        <v>-86535</v>
      </c>
      <c r="O130" s="251">
        <f t="shared" si="443"/>
        <v>0</v>
      </c>
      <c r="P130" s="252">
        <f t="shared" si="443"/>
        <v>0</v>
      </c>
      <c r="Q130" s="251">
        <f t="shared" si="443"/>
        <v>-63.93</v>
      </c>
      <c r="R130" s="252">
        <f t="shared" si="443"/>
        <v>-86535</v>
      </c>
      <c r="S130" s="253">
        <v>1353.6</v>
      </c>
      <c r="T130" s="254">
        <v>15.0</v>
      </c>
      <c r="U130" s="255" t="s">
        <v>107</v>
      </c>
      <c r="V130" s="255"/>
      <c r="W130" s="304">
        <v>0.5354</v>
      </c>
      <c r="X130" s="304">
        <v>0.015813</v>
      </c>
      <c r="Y130" s="304">
        <v>0.519587</v>
      </c>
      <c r="Z130" s="305">
        <f>-Z129</f>
        <v>-796</v>
      </c>
      <c r="AA130" s="306">
        <f t="shared" si="444"/>
        <v>-426.1784</v>
      </c>
      <c r="AB130" s="307">
        <f t="shared" si="445"/>
        <v>-576875</v>
      </c>
      <c r="AC130" s="308">
        <f t="shared" si="446"/>
        <v>-426.1784</v>
      </c>
      <c r="AD130" s="309">
        <f t="shared" si="447"/>
        <v>-576875</v>
      </c>
      <c r="AE130" s="310">
        <f t="shared" si="448"/>
        <v>-413.59</v>
      </c>
      <c r="AF130" s="252">
        <f t="shared" si="449"/>
        <v>-559835</v>
      </c>
      <c r="AG130" s="306">
        <f t="shared" si="450"/>
        <v>-63.93</v>
      </c>
      <c r="AH130" s="252">
        <f t="shared" si="451"/>
        <v>-86531</v>
      </c>
      <c r="AI130" s="311"/>
      <c r="AJ130" s="311"/>
      <c r="AK130" s="311"/>
      <c r="AL130" s="311"/>
      <c r="AM130" s="312"/>
      <c r="AN130" s="313"/>
    </row>
    <row r="131" ht="12.75" customHeight="1">
      <c r="A131" s="256" t="s">
        <v>608</v>
      </c>
      <c r="B131" s="257" t="s">
        <v>118</v>
      </c>
      <c r="C131" s="258" t="s">
        <v>119</v>
      </c>
      <c r="D131" s="258" t="s">
        <v>218</v>
      </c>
      <c r="E131" s="258" t="s">
        <v>219</v>
      </c>
      <c r="F131" s="259"/>
      <c r="G131" s="258" t="s">
        <v>131</v>
      </c>
      <c r="H131" s="258" t="s">
        <v>167</v>
      </c>
      <c r="I131" s="259" t="s">
        <v>105</v>
      </c>
      <c r="J131" s="316" t="s">
        <v>106</v>
      </c>
      <c r="K131" s="317">
        <f>ROUND(M131/0.15,2)</f>
        <v>12.6</v>
      </c>
      <c r="L131" s="318">
        <f>ROUND(N131/0.15,0)</f>
        <v>17053</v>
      </c>
      <c r="M131" s="319">
        <f t="shared" ref="M131:N131" si="452">Q131</f>
        <v>1.89</v>
      </c>
      <c r="N131" s="261">
        <f t="shared" si="452"/>
        <v>2558</v>
      </c>
      <c r="O131" s="262">
        <v>62.04</v>
      </c>
      <c r="P131" s="263">
        <v>83977.0</v>
      </c>
      <c r="Q131" s="260">
        <f t="shared" ref="Q131:R131" si="453">M129-O131</f>
        <v>1.89</v>
      </c>
      <c r="R131" s="261">
        <f t="shared" si="453"/>
        <v>2558</v>
      </c>
      <c r="S131" s="264">
        <v>1353.6</v>
      </c>
      <c r="T131" s="265">
        <v>15.0</v>
      </c>
      <c r="U131" s="266" t="s">
        <v>107</v>
      </c>
      <c r="V131" s="266" t="s">
        <v>1025</v>
      </c>
      <c r="W131" s="320">
        <v>0.5354</v>
      </c>
      <c r="X131" s="320">
        <v>0.015813</v>
      </c>
      <c r="Y131" s="320">
        <v>0.519587</v>
      </c>
      <c r="Z131" s="321">
        <f>Z129</f>
        <v>796</v>
      </c>
      <c r="AA131" s="311"/>
      <c r="AB131" s="322"/>
      <c r="AC131" s="323">
        <f>IFERROR(ROUND(Z131*X131,2),0)</f>
        <v>12.59</v>
      </c>
      <c r="AD131" s="318">
        <f t="shared" si="447"/>
        <v>17042</v>
      </c>
      <c r="AE131" s="324">
        <f t="shared" si="448"/>
        <v>413.59</v>
      </c>
      <c r="AF131" s="261">
        <f t="shared" si="449"/>
        <v>559835</v>
      </c>
      <c r="AG131" s="311"/>
      <c r="AH131" s="311"/>
      <c r="AI131" s="325">
        <f>ROUND(AC131*0.15,2)</f>
        <v>1.89</v>
      </c>
      <c r="AJ131" s="261">
        <f>ROUND(AD131*0.15,0)</f>
        <v>2556</v>
      </c>
      <c r="AK131" s="325">
        <f>ROUND(AE131*0.15,2)</f>
        <v>62.04</v>
      </c>
      <c r="AL131" s="261">
        <f>ROUND(AF131*0.15,0)</f>
        <v>83975</v>
      </c>
      <c r="AM131" s="326">
        <f>IFERROR(AC131/K131,IFERROR(AK131/O131,""))</f>
        <v>0.9992063492</v>
      </c>
      <c r="AN131" s="313"/>
    </row>
    <row r="132" ht="12.75" customHeight="1">
      <c r="A132" s="267" t="s">
        <v>610</v>
      </c>
      <c r="B132" s="268" t="s">
        <v>118</v>
      </c>
      <c r="C132" s="269" t="s">
        <v>119</v>
      </c>
      <c r="D132" s="269" t="s">
        <v>218</v>
      </c>
      <c r="E132" s="270"/>
      <c r="F132" s="270"/>
      <c r="G132" s="269" t="s">
        <v>148</v>
      </c>
      <c r="H132" s="269" t="s">
        <v>1026</v>
      </c>
      <c r="I132" s="270" t="s">
        <v>105</v>
      </c>
      <c r="J132" s="354" t="s">
        <v>150</v>
      </c>
      <c r="K132" s="355">
        <v>0.0</v>
      </c>
      <c r="L132" s="356">
        <v>693.0</v>
      </c>
      <c r="M132" s="357">
        <v>0.0</v>
      </c>
      <c r="N132" s="272">
        <v>122.0</v>
      </c>
      <c r="O132" s="271">
        <v>0.0</v>
      </c>
      <c r="P132" s="272">
        <v>0.0</v>
      </c>
      <c r="Q132" s="273">
        <f t="shared" ref="Q132:R132" si="454">M132-O132</f>
        <v>0</v>
      </c>
      <c r="R132" s="274">
        <f t="shared" si="454"/>
        <v>122</v>
      </c>
      <c r="S132" s="275">
        <v>1.0</v>
      </c>
      <c r="T132" s="276">
        <v>14.0</v>
      </c>
      <c r="U132" s="277" t="s">
        <v>151</v>
      </c>
      <c r="V132" s="277"/>
      <c r="W132" s="358"/>
      <c r="X132" s="358"/>
      <c r="Y132" s="358"/>
      <c r="Z132" s="358"/>
      <c r="AA132" s="358"/>
      <c r="AB132" s="359"/>
      <c r="AC132" s="360">
        <f t="shared" ref="AC132:AD132" si="455">K132</f>
        <v>0</v>
      </c>
      <c r="AD132" s="361">
        <f t="shared" si="455"/>
        <v>693</v>
      </c>
      <c r="AE132" s="362"/>
      <c r="AF132" s="358"/>
      <c r="AG132" s="358"/>
      <c r="AH132" s="358"/>
      <c r="AI132" s="363">
        <f t="shared" ref="AI132:AJ132" si="456">Q132</f>
        <v>0</v>
      </c>
      <c r="AJ132" s="364">
        <f t="shared" si="456"/>
        <v>122</v>
      </c>
      <c r="AK132" s="358"/>
      <c r="AL132" s="358"/>
      <c r="AM132" s="365"/>
      <c r="AN132" s="366"/>
    </row>
    <row r="133" ht="12.75" customHeight="1">
      <c r="A133" s="267" t="s">
        <v>612</v>
      </c>
      <c r="B133" s="268" t="s">
        <v>118</v>
      </c>
      <c r="C133" s="269" t="s">
        <v>119</v>
      </c>
      <c r="D133" s="269" t="s">
        <v>221</v>
      </c>
      <c r="E133" s="270"/>
      <c r="F133" s="270"/>
      <c r="G133" s="269" t="s">
        <v>148</v>
      </c>
      <c r="H133" s="269" t="s">
        <v>1027</v>
      </c>
      <c r="I133" s="270" t="s">
        <v>105</v>
      </c>
      <c r="J133" s="354" t="s">
        <v>150</v>
      </c>
      <c r="K133" s="355">
        <v>0.0</v>
      </c>
      <c r="L133" s="356">
        <v>552.0</v>
      </c>
      <c r="M133" s="357">
        <v>0.0</v>
      </c>
      <c r="N133" s="272">
        <v>97.0</v>
      </c>
      <c r="O133" s="271">
        <v>0.0</v>
      </c>
      <c r="P133" s="272">
        <v>0.0</v>
      </c>
      <c r="Q133" s="273">
        <f t="shared" ref="Q133:R133" si="457">M133-O133</f>
        <v>0</v>
      </c>
      <c r="R133" s="274">
        <f t="shared" si="457"/>
        <v>97</v>
      </c>
      <c r="S133" s="275">
        <v>1.0</v>
      </c>
      <c r="T133" s="276">
        <v>14.0</v>
      </c>
      <c r="U133" s="277" t="s">
        <v>151</v>
      </c>
      <c r="V133" s="277"/>
      <c r="W133" s="358"/>
      <c r="X133" s="358"/>
      <c r="Y133" s="358"/>
      <c r="Z133" s="358"/>
      <c r="AA133" s="358"/>
      <c r="AB133" s="359"/>
      <c r="AC133" s="360">
        <f t="shared" ref="AC133:AD133" si="458">K133</f>
        <v>0</v>
      </c>
      <c r="AD133" s="361">
        <f t="shared" si="458"/>
        <v>552</v>
      </c>
      <c r="AE133" s="362"/>
      <c r="AF133" s="358"/>
      <c r="AG133" s="358"/>
      <c r="AH133" s="358"/>
      <c r="AI133" s="363">
        <f t="shared" ref="AI133:AJ133" si="459">Q133</f>
        <v>0</v>
      </c>
      <c r="AJ133" s="364">
        <f t="shared" si="459"/>
        <v>97</v>
      </c>
      <c r="AK133" s="358"/>
      <c r="AL133" s="358"/>
      <c r="AM133" s="365"/>
      <c r="AN133" s="366"/>
    </row>
    <row r="134" ht="12.75" customHeight="1">
      <c r="A134" s="245" t="s">
        <v>614</v>
      </c>
      <c r="B134" s="246" t="s">
        <v>118</v>
      </c>
      <c r="C134" s="247" t="s">
        <v>119</v>
      </c>
      <c r="D134" s="247" t="s">
        <v>223</v>
      </c>
      <c r="E134" s="247" t="s">
        <v>223</v>
      </c>
      <c r="F134" s="248"/>
      <c r="G134" s="247" t="s">
        <v>224</v>
      </c>
      <c r="H134" s="247" t="s">
        <v>225</v>
      </c>
      <c r="I134" s="248" t="s">
        <v>105</v>
      </c>
      <c r="J134" s="300" t="s">
        <v>106</v>
      </c>
      <c r="K134" s="301">
        <v>96.61</v>
      </c>
      <c r="L134" s="302">
        <v>131795.0</v>
      </c>
      <c r="M134" s="303">
        <v>14.49</v>
      </c>
      <c r="N134" s="250">
        <v>19767.0</v>
      </c>
      <c r="O134" s="249">
        <v>0.0</v>
      </c>
      <c r="P134" s="250">
        <v>0.0</v>
      </c>
      <c r="Q134" s="251">
        <f t="shared" ref="Q134:R134" si="460">M134-O134</f>
        <v>14.49</v>
      </c>
      <c r="R134" s="252">
        <f t="shared" si="460"/>
        <v>19767</v>
      </c>
      <c r="S134" s="253">
        <v>1364.2</v>
      </c>
      <c r="T134" s="254">
        <v>15.0</v>
      </c>
      <c r="U134" s="255" t="s">
        <v>107</v>
      </c>
      <c r="V134" s="255"/>
      <c r="W134" s="304">
        <v>1.6102</v>
      </c>
      <c r="X134" s="304">
        <v>0.509392</v>
      </c>
      <c r="Y134" s="304">
        <v>1.100808</v>
      </c>
      <c r="Z134" s="305">
        <f>IFERROR(ROUND(K134/W134,0),0)</f>
        <v>60</v>
      </c>
      <c r="AA134" s="306">
        <f t="shared" ref="AA134:AA135" si="462">Z134*W134</f>
        <v>96.612</v>
      </c>
      <c r="AB134" s="307">
        <f t="shared" ref="AB134:AB135" si="463">ROUND(AA134*S134,0)</f>
        <v>131798</v>
      </c>
      <c r="AC134" s="308">
        <f t="shared" ref="AC134:AC135" si="464">AA134</f>
        <v>96.612</v>
      </c>
      <c r="AD134" s="309">
        <f t="shared" ref="AD134:AD141" si="465">ROUND(AC134*S134,0)</f>
        <v>131798</v>
      </c>
      <c r="AE134" s="310">
        <f t="shared" ref="AE134:AE141" si="466">IFERROR(ROUND(Z134*Y134,2),0)</f>
        <v>66.05</v>
      </c>
      <c r="AF134" s="252">
        <f t="shared" ref="AF134:AF141" si="467">ROUND(AE134*S134,0)</f>
        <v>90105</v>
      </c>
      <c r="AG134" s="306">
        <f t="shared" ref="AG134:AG135" si="468">ROUND(AC134*0.15,2)</f>
        <v>14.49</v>
      </c>
      <c r="AH134" s="252">
        <f t="shared" ref="AH134:AH135" si="469">ROUND(AD134*0.15,0)</f>
        <v>19770</v>
      </c>
      <c r="AI134" s="311"/>
      <c r="AJ134" s="311"/>
      <c r="AK134" s="311"/>
      <c r="AL134" s="311"/>
      <c r="AM134" s="312"/>
      <c r="AN134" s="313"/>
    </row>
    <row r="135" ht="12.75" customHeight="1">
      <c r="A135" s="245" t="s">
        <v>615</v>
      </c>
      <c r="B135" s="246" t="s">
        <v>118</v>
      </c>
      <c r="C135" s="247" t="s">
        <v>119</v>
      </c>
      <c r="D135" s="247" t="s">
        <v>223</v>
      </c>
      <c r="E135" s="247" t="s">
        <v>223</v>
      </c>
      <c r="F135" s="248"/>
      <c r="G135" s="247" t="s">
        <v>224</v>
      </c>
      <c r="H135" s="247" t="s">
        <v>225</v>
      </c>
      <c r="I135" s="248" t="s">
        <v>105</v>
      </c>
      <c r="J135" s="300" t="s">
        <v>106</v>
      </c>
      <c r="K135" s="314">
        <f t="shared" ref="K135:R135" si="461">-K134</f>
        <v>-96.61</v>
      </c>
      <c r="L135" s="309">
        <f t="shared" si="461"/>
        <v>-131795</v>
      </c>
      <c r="M135" s="315">
        <f t="shared" si="461"/>
        <v>-14.49</v>
      </c>
      <c r="N135" s="252">
        <f t="shared" si="461"/>
        <v>-19767</v>
      </c>
      <c r="O135" s="251">
        <f t="shared" si="461"/>
        <v>0</v>
      </c>
      <c r="P135" s="252">
        <f t="shared" si="461"/>
        <v>0</v>
      </c>
      <c r="Q135" s="251">
        <f t="shared" si="461"/>
        <v>-14.49</v>
      </c>
      <c r="R135" s="252">
        <f t="shared" si="461"/>
        <v>-19767</v>
      </c>
      <c r="S135" s="253">
        <v>1364.2</v>
      </c>
      <c r="T135" s="254">
        <v>15.0</v>
      </c>
      <c r="U135" s="255" t="s">
        <v>107</v>
      </c>
      <c r="V135" s="255"/>
      <c r="W135" s="304">
        <v>1.6102</v>
      </c>
      <c r="X135" s="304">
        <v>0.509392</v>
      </c>
      <c r="Y135" s="304">
        <v>1.100808</v>
      </c>
      <c r="Z135" s="305">
        <f>-Z134</f>
        <v>-60</v>
      </c>
      <c r="AA135" s="306">
        <f t="shared" si="462"/>
        <v>-96.612</v>
      </c>
      <c r="AB135" s="307">
        <f t="shared" si="463"/>
        <v>-131798</v>
      </c>
      <c r="AC135" s="308">
        <f t="shared" si="464"/>
        <v>-96.612</v>
      </c>
      <c r="AD135" s="309">
        <f t="shared" si="465"/>
        <v>-131798</v>
      </c>
      <c r="AE135" s="310">
        <f t="shared" si="466"/>
        <v>-66.05</v>
      </c>
      <c r="AF135" s="252">
        <f t="shared" si="467"/>
        <v>-90105</v>
      </c>
      <c r="AG135" s="306">
        <f t="shared" si="468"/>
        <v>-14.49</v>
      </c>
      <c r="AH135" s="252">
        <f t="shared" si="469"/>
        <v>-19770</v>
      </c>
      <c r="AI135" s="311"/>
      <c r="AJ135" s="311"/>
      <c r="AK135" s="311"/>
      <c r="AL135" s="311"/>
      <c r="AM135" s="312"/>
      <c r="AN135" s="313"/>
    </row>
    <row r="136" ht="12.75" customHeight="1">
      <c r="A136" s="256" t="s">
        <v>616</v>
      </c>
      <c r="B136" s="257" t="s">
        <v>118</v>
      </c>
      <c r="C136" s="258" t="s">
        <v>119</v>
      </c>
      <c r="D136" s="258" t="s">
        <v>223</v>
      </c>
      <c r="E136" s="258" t="s">
        <v>223</v>
      </c>
      <c r="F136" s="259"/>
      <c r="G136" s="258" t="s">
        <v>224</v>
      </c>
      <c r="H136" s="258" t="s">
        <v>225</v>
      </c>
      <c r="I136" s="259" t="s">
        <v>105</v>
      </c>
      <c r="J136" s="316" t="s">
        <v>106</v>
      </c>
      <c r="K136" s="317">
        <f>ROUND(M136/0.15,2)</f>
        <v>30.53</v>
      </c>
      <c r="L136" s="318">
        <f>ROUND(N136/0.15,0)</f>
        <v>41653</v>
      </c>
      <c r="M136" s="319">
        <f t="shared" ref="M136:N136" si="470">Q136</f>
        <v>4.58</v>
      </c>
      <c r="N136" s="261">
        <f t="shared" si="470"/>
        <v>6248</v>
      </c>
      <c r="O136" s="262">
        <v>9.91</v>
      </c>
      <c r="P136" s="263">
        <v>13519.0</v>
      </c>
      <c r="Q136" s="260">
        <f t="shared" ref="Q136:R136" si="471">M134-O136</f>
        <v>4.58</v>
      </c>
      <c r="R136" s="261">
        <f t="shared" si="471"/>
        <v>6248</v>
      </c>
      <c r="S136" s="264">
        <v>1364.2</v>
      </c>
      <c r="T136" s="265">
        <v>15.0</v>
      </c>
      <c r="U136" s="266" t="s">
        <v>107</v>
      </c>
      <c r="V136" s="266" t="s">
        <v>1028</v>
      </c>
      <c r="W136" s="320">
        <v>1.6102</v>
      </c>
      <c r="X136" s="320">
        <v>0.509392</v>
      </c>
      <c r="Y136" s="320">
        <v>1.100808</v>
      </c>
      <c r="Z136" s="321">
        <f>Z134</f>
        <v>60</v>
      </c>
      <c r="AA136" s="311"/>
      <c r="AB136" s="322"/>
      <c r="AC136" s="323">
        <f>IFERROR(ROUND(Z136*X136,2),0)</f>
        <v>30.56</v>
      </c>
      <c r="AD136" s="318">
        <f t="shared" si="465"/>
        <v>41690</v>
      </c>
      <c r="AE136" s="324">
        <f t="shared" si="466"/>
        <v>66.05</v>
      </c>
      <c r="AF136" s="261">
        <f t="shared" si="467"/>
        <v>90105</v>
      </c>
      <c r="AG136" s="311"/>
      <c r="AH136" s="311"/>
      <c r="AI136" s="325">
        <f>ROUND(AC136*0.15,2)</f>
        <v>4.58</v>
      </c>
      <c r="AJ136" s="261">
        <f>ROUND(AD136*0.15,0)</f>
        <v>6254</v>
      </c>
      <c r="AK136" s="325">
        <f>ROUND(AE136*0.15,2)</f>
        <v>9.91</v>
      </c>
      <c r="AL136" s="261">
        <f>ROUND(AF136*0.15,0)</f>
        <v>13516</v>
      </c>
      <c r="AM136" s="326">
        <f>IFERROR(AC136/K136,IFERROR(AK136/O136,""))</f>
        <v>1.00098264</v>
      </c>
      <c r="AN136" s="313"/>
    </row>
    <row r="137" ht="12.75" customHeight="1">
      <c r="A137" s="245" t="s">
        <v>618</v>
      </c>
      <c r="B137" s="246" t="s">
        <v>118</v>
      </c>
      <c r="C137" s="247" t="s">
        <v>119</v>
      </c>
      <c r="D137" s="247" t="s">
        <v>226</v>
      </c>
      <c r="E137" s="247" t="s">
        <v>223</v>
      </c>
      <c r="F137" s="248"/>
      <c r="G137" s="247" t="s">
        <v>135</v>
      </c>
      <c r="H137" s="247" t="s">
        <v>172</v>
      </c>
      <c r="I137" s="248" t="s">
        <v>105</v>
      </c>
      <c r="J137" s="300" t="s">
        <v>106</v>
      </c>
      <c r="K137" s="301">
        <v>733.01</v>
      </c>
      <c r="L137" s="302">
        <v>1001731.0</v>
      </c>
      <c r="M137" s="303">
        <v>109.95</v>
      </c>
      <c r="N137" s="250">
        <v>150257.0</v>
      </c>
      <c r="O137" s="249">
        <v>0.0</v>
      </c>
      <c r="P137" s="250">
        <v>0.0</v>
      </c>
      <c r="Q137" s="251">
        <f t="shared" ref="Q137:R137" si="472">M137-O137</f>
        <v>109.95</v>
      </c>
      <c r="R137" s="252">
        <f t="shared" si="472"/>
        <v>150257</v>
      </c>
      <c r="S137" s="253">
        <v>1366.6</v>
      </c>
      <c r="T137" s="254">
        <v>15.0</v>
      </c>
      <c r="U137" s="255" t="s">
        <v>107</v>
      </c>
      <c r="V137" s="255"/>
      <c r="W137" s="304">
        <v>1.2382</v>
      </c>
      <c r="X137" s="304">
        <v>0.0</v>
      </c>
      <c r="Y137" s="304">
        <v>1.2382</v>
      </c>
      <c r="Z137" s="305">
        <f>IFERROR(ROUND(K137/W137,0),0)</f>
        <v>592</v>
      </c>
      <c r="AA137" s="306">
        <f t="shared" ref="AA137:AA138" si="474">Z137*W137</f>
        <v>733.0144</v>
      </c>
      <c r="AB137" s="307">
        <f t="shared" ref="AB137:AB138" si="475">ROUND(AA137*S137,0)</f>
        <v>1001737</v>
      </c>
      <c r="AC137" s="308">
        <f t="shared" ref="AC137:AC138" si="476">AA137</f>
        <v>733.0144</v>
      </c>
      <c r="AD137" s="309">
        <f t="shared" si="465"/>
        <v>1001737</v>
      </c>
      <c r="AE137" s="310">
        <f t="shared" si="466"/>
        <v>733.01</v>
      </c>
      <c r="AF137" s="252">
        <f t="shared" si="467"/>
        <v>1001731</v>
      </c>
      <c r="AG137" s="306">
        <f t="shared" ref="AG137:AG138" si="477">ROUND(AC137*0.15,2)</f>
        <v>109.95</v>
      </c>
      <c r="AH137" s="252">
        <f t="shared" ref="AH137:AH138" si="478">ROUND(AD137*0.15,0)</f>
        <v>150261</v>
      </c>
      <c r="AI137" s="311"/>
      <c r="AJ137" s="311"/>
      <c r="AK137" s="311"/>
      <c r="AL137" s="311"/>
      <c r="AM137" s="312"/>
      <c r="AN137" s="313"/>
    </row>
    <row r="138" ht="12.75" customHeight="1">
      <c r="A138" s="245" t="s">
        <v>619</v>
      </c>
      <c r="B138" s="246" t="s">
        <v>118</v>
      </c>
      <c r="C138" s="247" t="s">
        <v>119</v>
      </c>
      <c r="D138" s="247" t="s">
        <v>226</v>
      </c>
      <c r="E138" s="247" t="s">
        <v>223</v>
      </c>
      <c r="F138" s="248"/>
      <c r="G138" s="247" t="s">
        <v>135</v>
      </c>
      <c r="H138" s="247" t="s">
        <v>172</v>
      </c>
      <c r="I138" s="248" t="s">
        <v>105</v>
      </c>
      <c r="J138" s="300" t="s">
        <v>106</v>
      </c>
      <c r="K138" s="314">
        <f t="shared" ref="K138:R138" si="473">-K137</f>
        <v>-733.01</v>
      </c>
      <c r="L138" s="309">
        <f t="shared" si="473"/>
        <v>-1001731</v>
      </c>
      <c r="M138" s="315">
        <f t="shared" si="473"/>
        <v>-109.95</v>
      </c>
      <c r="N138" s="252">
        <f t="shared" si="473"/>
        <v>-150257</v>
      </c>
      <c r="O138" s="251">
        <f t="shared" si="473"/>
        <v>0</v>
      </c>
      <c r="P138" s="252">
        <f t="shared" si="473"/>
        <v>0</v>
      </c>
      <c r="Q138" s="251">
        <f t="shared" si="473"/>
        <v>-109.95</v>
      </c>
      <c r="R138" s="252">
        <f t="shared" si="473"/>
        <v>-150257</v>
      </c>
      <c r="S138" s="253">
        <v>1366.6</v>
      </c>
      <c r="T138" s="254">
        <v>15.0</v>
      </c>
      <c r="U138" s="255" t="s">
        <v>107</v>
      </c>
      <c r="V138" s="255"/>
      <c r="W138" s="304">
        <v>1.2382</v>
      </c>
      <c r="X138" s="304">
        <v>0.0</v>
      </c>
      <c r="Y138" s="304">
        <v>1.2382</v>
      </c>
      <c r="Z138" s="305">
        <f>-Z137</f>
        <v>-592</v>
      </c>
      <c r="AA138" s="306">
        <f t="shared" si="474"/>
        <v>-733.0144</v>
      </c>
      <c r="AB138" s="307">
        <f t="shared" si="475"/>
        <v>-1001737</v>
      </c>
      <c r="AC138" s="308">
        <f t="shared" si="476"/>
        <v>-733.0144</v>
      </c>
      <c r="AD138" s="309">
        <f t="shared" si="465"/>
        <v>-1001737</v>
      </c>
      <c r="AE138" s="310">
        <f t="shared" si="466"/>
        <v>-733.01</v>
      </c>
      <c r="AF138" s="252">
        <f t="shared" si="467"/>
        <v>-1001731</v>
      </c>
      <c r="AG138" s="306">
        <f t="shared" si="477"/>
        <v>-109.95</v>
      </c>
      <c r="AH138" s="252">
        <f t="shared" si="478"/>
        <v>-150261</v>
      </c>
      <c r="AI138" s="311"/>
      <c r="AJ138" s="311"/>
      <c r="AK138" s="311"/>
      <c r="AL138" s="311"/>
      <c r="AM138" s="312"/>
      <c r="AN138" s="313"/>
    </row>
    <row r="139" ht="12.75" customHeight="1">
      <c r="A139" s="256" t="s">
        <v>620</v>
      </c>
      <c r="B139" s="257" t="s">
        <v>118</v>
      </c>
      <c r="C139" s="258" t="s">
        <v>119</v>
      </c>
      <c r="D139" s="258" t="s">
        <v>226</v>
      </c>
      <c r="E139" s="258" t="s">
        <v>223</v>
      </c>
      <c r="F139" s="259"/>
      <c r="G139" s="258" t="s">
        <v>135</v>
      </c>
      <c r="H139" s="258" t="s">
        <v>172</v>
      </c>
      <c r="I139" s="259" t="s">
        <v>105</v>
      </c>
      <c r="J139" s="316" t="s">
        <v>106</v>
      </c>
      <c r="K139" s="317">
        <f>ROUND(M139/0.15,2)</f>
        <v>0</v>
      </c>
      <c r="L139" s="318">
        <f>ROUND(N139/0.15,0)</f>
        <v>-7</v>
      </c>
      <c r="M139" s="319">
        <f t="shared" ref="M139:N139" si="479">Q139</f>
        <v>0</v>
      </c>
      <c r="N139" s="261">
        <f t="shared" si="479"/>
        <v>-1</v>
      </c>
      <c r="O139" s="262">
        <v>109.95</v>
      </c>
      <c r="P139" s="263">
        <v>150258.0</v>
      </c>
      <c r="Q139" s="260">
        <f t="shared" ref="Q139:R139" si="480">M137-O139</f>
        <v>0</v>
      </c>
      <c r="R139" s="261">
        <f t="shared" si="480"/>
        <v>-1</v>
      </c>
      <c r="S139" s="264">
        <v>1366.6</v>
      </c>
      <c r="T139" s="265">
        <v>15.0</v>
      </c>
      <c r="U139" s="266" t="s">
        <v>107</v>
      </c>
      <c r="V139" s="266" t="s">
        <v>1029</v>
      </c>
      <c r="W139" s="320">
        <v>1.2382</v>
      </c>
      <c r="X139" s="320">
        <v>0.0</v>
      </c>
      <c r="Y139" s="320">
        <v>1.2382</v>
      </c>
      <c r="Z139" s="321">
        <f>Z137</f>
        <v>592</v>
      </c>
      <c r="AA139" s="311"/>
      <c r="AB139" s="322"/>
      <c r="AC139" s="323">
        <f>IFERROR(ROUND(Z139*X139,2),0)</f>
        <v>0</v>
      </c>
      <c r="AD139" s="318">
        <f t="shared" si="465"/>
        <v>0</v>
      </c>
      <c r="AE139" s="324">
        <f t="shared" si="466"/>
        <v>733.01</v>
      </c>
      <c r="AF139" s="261">
        <f t="shared" si="467"/>
        <v>1001731</v>
      </c>
      <c r="AG139" s="311"/>
      <c r="AH139" s="311"/>
      <c r="AI139" s="325">
        <f>ROUND(AC139*0.15,2)</f>
        <v>0</v>
      </c>
      <c r="AJ139" s="261">
        <f>ROUND(AD139*0.15,0)</f>
        <v>0</v>
      </c>
      <c r="AK139" s="325">
        <f>ROUND(AE139*0.15,2)</f>
        <v>109.95</v>
      </c>
      <c r="AL139" s="261">
        <f>ROUND(AF139*0.15,0)</f>
        <v>150260</v>
      </c>
      <c r="AM139" s="326">
        <f>IFERROR(AC139/K139,IFERROR(AK139/O139,""))</f>
        <v>1</v>
      </c>
      <c r="AN139" s="313"/>
    </row>
    <row r="140" ht="12.75" customHeight="1">
      <c r="A140" s="245" t="s">
        <v>622</v>
      </c>
      <c r="B140" s="246" t="s">
        <v>118</v>
      </c>
      <c r="C140" s="247" t="s">
        <v>119</v>
      </c>
      <c r="D140" s="247" t="s">
        <v>227</v>
      </c>
      <c r="E140" s="247" t="s">
        <v>226</v>
      </c>
      <c r="F140" s="248"/>
      <c r="G140" s="247" t="s">
        <v>116</v>
      </c>
      <c r="H140" s="247" t="s">
        <v>117</v>
      </c>
      <c r="I140" s="248" t="s">
        <v>105</v>
      </c>
      <c r="J140" s="300" t="s">
        <v>106</v>
      </c>
      <c r="K140" s="301">
        <v>524.97</v>
      </c>
      <c r="L140" s="302">
        <v>718158.0</v>
      </c>
      <c r="M140" s="303">
        <v>78.74</v>
      </c>
      <c r="N140" s="250">
        <v>107716.0</v>
      </c>
      <c r="O140" s="249">
        <v>0.0</v>
      </c>
      <c r="P140" s="250">
        <v>0.0</v>
      </c>
      <c r="Q140" s="251">
        <f t="shared" ref="Q140:R140" si="481">M140-O140</f>
        <v>78.74</v>
      </c>
      <c r="R140" s="252">
        <f t="shared" si="481"/>
        <v>107716</v>
      </c>
      <c r="S140" s="253">
        <v>1368.0</v>
      </c>
      <c r="T140" s="254">
        <v>15.0</v>
      </c>
      <c r="U140" s="255" t="s">
        <v>107</v>
      </c>
      <c r="V140" s="255"/>
      <c r="W140" s="304">
        <v>0.861112</v>
      </c>
      <c r="X140" s="304">
        <v>0.861112</v>
      </c>
      <c r="Y140" s="304">
        <v>0.0</v>
      </c>
      <c r="Z140" s="305">
        <f>IFERROR(ROUND(K140/W140,0),0)</f>
        <v>610</v>
      </c>
      <c r="AA140" s="306">
        <f t="shared" ref="AA140:AA141" si="483">Z140*W140</f>
        <v>525.27832</v>
      </c>
      <c r="AB140" s="307">
        <f t="shared" ref="AB140:AB141" si="484">ROUND(AA140*S140,0)</f>
        <v>718581</v>
      </c>
      <c r="AC140" s="308">
        <f t="shared" ref="AC140:AC141" si="485">AA140</f>
        <v>525.27832</v>
      </c>
      <c r="AD140" s="309">
        <f t="shared" si="465"/>
        <v>718581</v>
      </c>
      <c r="AE140" s="310">
        <f t="shared" si="466"/>
        <v>0</v>
      </c>
      <c r="AF140" s="252">
        <f t="shared" si="467"/>
        <v>0</v>
      </c>
      <c r="AG140" s="306">
        <f t="shared" ref="AG140:AG141" si="486">ROUND(AC140*0.15,2)</f>
        <v>78.79</v>
      </c>
      <c r="AH140" s="252">
        <f t="shared" ref="AH140:AH141" si="487">ROUND(AD140*0.15,0)</f>
        <v>107787</v>
      </c>
      <c r="AI140" s="311"/>
      <c r="AJ140" s="311"/>
      <c r="AK140" s="311"/>
      <c r="AL140" s="311"/>
      <c r="AM140" s="312"/>
      <c r="AN140" s="313"/>
    </row>
    <row r="141" ht="12.75" customHeight="1">
      <c r="A141" s="245" t="s">
        <v>623</v>
      </c>
      <c r="B141" s="246" t="s">
        <v>118</v>
      </c>
      <c r="C141" s="247" t="s">
        <v>119</v>
      </c>
      <c r="D141" s="247" t="s">
        <v>227</v>
      </c>
      <c r="E141" s="247" t="s">
        <v>226</v>
      </c>
      <c r="F141" s="248"/>
      <c r="G141" s="247" t="s">
        <v>116</v>
      </c>
      <c r="H141" s="247" t="s">
        <v>117</v>
      </c>
      <c r="I141" s="248" t="s">
        <v>105</v>
      </c>
      <c r="J141" s="300" t="s">
        <v>106</v>
      </c>
      <c r="K141" s="314">
        <f t="shared" ref="K141:R141" si="482">-K140</f>
        <v>-524.97</v>
      </c>
      <c r="L141" s="309">
        <f t="shared" si="482"/>
        <v>-718158</v>
      </c>
      <c r="M141" s="315">
        <f t="shared" si="482"/>
        <v>-78.74</v>
      </c>
      <c r="N141" s="252">
        <f t="shared" si="482"/>
        <v>-107716</v>
      </c>
      <c r="O141" s="251">
        <f t="shared" si="482"/>
        <v>0</v>
      </c>
      <c r="P141" s="252">
        <f t="shared" si="482"/>
        <v>0</v>
      </c>
      <c r="Q141" s="251">
        <f t="shared" si="482"/>
        <v>-78.74</v>
      </c>
      <c r="R141" s="252">
        <f t="shared" si="482"/>
        <v>-107716</v>
      </c>
      <c r="S141" s="253">
        <v>1368.0</v>
      </c>
      <c r="T141" s="254">
        <v>15.0</v>
      </c>
      <c r="U141" s="255" t="s">
        <v>107</v>
      </c>
      <c r="V141" s="255"/>
      <c r="W141" s="304">
        <v>0.861112</v>
      </c>
      <c r="X141" s="304">
        <v>0.861112</v>
      </c>
      <c r="Y141" s="304">
        <v>0.0</v>
      </c>
      <c r="Z141" s="305">
        <f>-Z140</f>
        <v>-610</v>
      </c>
      <c r="AA141" s="306">
        <f t="shared" si="483"/>
        <v>-525.27832</v>
      </c>
      <c r="AB141" s="307">
        <f t="shared" si="484"/>
        <v>-718581</v>
      </c>
      <c r="AC141" s="308">
        <f t="shared" si="485"/>
        <v>-525.27832</v>
      </c>
      <c r="AD141" s="309">
        <f t="shared" si="465"/>
        <v>-718581</v>
      </c>
      <c r="AE141" s="310">
        <f t="shared" si="466"/>
        <v>0</v>
      </c>
      <c r="AF141" s="252">
        <f t="shared" si="467"/>
        <v>0</v>
      </c>
      <c r="AG141" s="306">
        <f t="shared" si="486"/>
        <v>-78.79</v>
      </c>
      <c r="AH141" s="252">
        <f t="shared" si="487"/>
        <v>-107787</v>
      </c>
      <c r="AI141" s="311"/>
      <c r="AJ141" s="311"/>
      <c r="AK141" s="311"/>
      <c r="AL141" s="311"/>
      <c r="AM141" s="312"/>
      <c r="AN141" s="313"/>
    </row>
    <row r="142" ht="12.75" customHeight="1">
      <c r="A142" s="327" t="s">
        <v>624</v>
      </c>
      <c r="B142" s="328" t="s">
        <v>118</v>
      </c>
      <c r="C142" s="329" t="s">
        <v>119</v>
      </c>
      <c r="D142" s="329" t="s">
        <v>227</v>
      </c>
      <c r="E142" s="329" t="s">
        <v>226</v>
      </c>
      <c r="F142" s="330"/>
      <c r="G142" s="329" t="s">
        <v>116</v>
      </c>
      <c r="H142" s="329" t="s">
        <v>117</v>
      </c>
      <c r="I142" s="330" t="s">
        <v>105</v>
      </c>
      <c r="J142" s="331" t="s">
        <v>106</v>
      </c>
      <c r="K142" s="332">
        <f>ROUND(M142/0.15,2)</f>
        <v>503.07</v>
      </c>
      <c r="L142" s="333">
        <f>ROUND(N142/0.15,0)</f>
        <v>688193</v>
      </c>
      <c r="M142" s="334">
        <f t="shared" ref="M142:N142" si="488">Q142</f>
        <v>75.46</v>
      </c>
      <c r="N142" s="335">
        <f t="shared" si="488"/>
        <v>103229</v>
      </c>
      <c r="O142" s="336">
        <v>3.28</v>
      </c>
      <c r="P142" s="337">
        <v>4487.0</v>
      </c>
      <c r="Q142" s="338">
        <f t="shared" ref="Q142:R142" si="489">M140-O142</f>
        <v>75.46</v>
      </c>
      <c r="R142" s="335">
        <f t="shared" si="489"/>
        <v>103229</v>
      </c>
      <c r="S142" s="339">
        <v>1368.0</v>
      </c>
      <c r="T142" s="340">
        <v>15.0</v>
      </c>
      <c r="U142" s="341" t="s">
        <v>107</v>
      </c>
      <c r="V142" s="341" t="s">
        <v>1030</v>
      </c>
      <c r="W142" s="342">
        <v>0.861112</v>
      </c>
      <c r="X142" s="342">
        <v>0.861112</v>
      </c>
      <c r="Y142" s="342">
        <v>0.0</v>
      </c>
      <c r="Z142" s="343">
        <f>Z140</f>
        <v>610</v>
      </c>
      <c r="AA142" s="344"/>
      <c r="AB142" s="345"/>
      <c r="AC142" s="346">
        <f t="shared" ref="AC142:AD142" si="490">K142</f>
        <v>503.07</v>
      </c>
      <c r="AD142" s="347">
        <f t="shared" si="490"/>
        <v>688193</v>
      </c>
      <c r="AE142" s="348">
        <f t="shared" ref="AE142:AF142" si="491">round(AK142/0.15,2)</f>
        <v>21.87</v>
      </c>
      <c r="AF142" s="348">
        <f t="shared" si="491"/>
        <v>29913.33</v>
      </c>
      <c r="AG142" s="349"/>
      <c r="AH142" s="349"/>
      <c r="AI142" s="350">
        <f>ROUND(AC142*0.15,2)</f>
        <v>75.46</v>
      </c>
      <c r="AJ142" s="351">
        <f>ROUND(AD142*0.15,0)</f>
        <v>103229</v>
      </c>
      <c r="AK142" s="350">
        <f t="shared" ref="AK142:AL142" si="492">O142</f>
        <v>3.28</v>
      </c>
      <c r="AL142" s="350">
        <f t="shared" si="492"/>
        <v>4487</v>
      </c>
      <c r="AM142" s="352">
        <f>IFERROR(AC142/K142,IFERROR(AK142/O142,""))</f>
        <v>1</v>
      </c>
      <c r="AN142" s="353" t="s">
        <v>983</v>
      </c>
    </row>
    <row r="143" ht="12.75" customHeight="1">
      <c r="A143" s="267" t="s">
        <v>626</v>
      </c>
      <c r="B143" s="268" t="s">
        <v>118</v>
      </c>
      <c r="C143" s="269" t="s">
        <v>119</v>
      </c>
      <c r="D143" s="269" t="s">
        <v>227</v>
      </c>
      <c r="E143" s="269" t="s">
        <v>226</v>
      </c>
      <c r="F143" s="270"/>
      <c r="G143" s="269" t="s">
        <v>228</v>
      </c>
      <c r="H143" s="270" t="s">
        <v>229</v>
      </c>
      <c r="I143" s="270" t="s">
        <v>105</v>
      </c>
      <c r="J143" s="354" t="s">
        <v>106</v>
      </c>
      <c r="K143" s="355">
        <v>8.91</v>
      </c>
      <c r="L143" s="356">
        <v>12188.0</v>
      </c>
      <c r="M143" s="357">
        <v>1.34</v>
      </c>
      <c r="N143" s="272">
        <v>1833.0</v>
      </c>
      <c r="O143" s="271">
        <v>0.0</v>
      </c>
      <c r="P143" s="272">
        <v>0.0</v>
      </c>
      <c r="Q143" s="273">
        <f t="shared" ref="Q143:R143" si="493">M143-O143</f>
        <v>1.34</v>
      </c>
      <c r="R143" s="274">
        <f t="shared" si="493"/>
        <v>1833</v>
      </c>
      <c r="S143" s="275">
        <v>1368.0</v>
      </c>
      <c r="T143" s="276">
        <v>15.0</v>
      </c>
      <c r="U143" s="277" t="s">
        <v>107</v>
      </c>
      <c r="V143" s="277"/>
      <c r="W143" s="358"/>
      <c r="X143" s="358"/>
      <c r="Y143" s="358"/>
      <c r="Z143" s="358"/>
      <c r="AA143" s="358"/>
      <c r="AB143" s="359"/>
      <c r="AC143" s="360">
        <f t="shared" ref="AC143:AD143" si="494">K143</f>
        <v>8.91</v>
      </c>
      <c r="AD143" s="361">
        <f t="shared" si="494"/>
        <v>12188</v>
      </c>
      <c r="AE143" s="362"/>
      <c r="AF143" s="358"/>
      <c r="AG143" s="358"/>
      <c r="AH143" s="358"/>
      <c r="AI143" s="363">
        <f t="shared" ref="AI143:AJ143" si="495">Q143</f>
        <v>1.34</v>
      </c>
      <c r="AJ143" s="364">
        <f t="shared" si="495"/>
        <v>1833</v>
      </c>
      <c r="AK143" s="358"/>
      <c r="AL143" s="358"/>
      <c r="AM143" s="365"/>
      <c r="AN143" s="366"/>
    </row>
    <row r="144" ht="12.75" customHeight="1">
      <c r="A144" s="267" t="s">
        <v>627</v>
      </c>
      <c r="B144" s="268" t="s">
        <v>118</v>
      </c>
      <c r="C144" s="269" t="s">
        <v>119</v>
      </c>
      <c r="D144" s="269" t="s">
        <v>230</v>
      </c>
      <c r="E144" s="269" t="s">
        <v>231</v>
      </c>
      <c r="F144" s="270"/>
      <c r="G144" s="269" t="s">
        <v>183</v>
      </c>
      <c r="H144" s="270" t="s">
        <v>184</v>
      </c>
      <c r="I144" s="270" t="s">
        <v>105</v>
      </c>
      <c r="J144" s="354" t="s">
        <v>106</v>
      </c>
      <c r="K144" s="355">
        <v>0.83</v>
      </c>
      <c r="L144" s="356">
        <v>1139.0</v>
      </c>
      <c r="M144" s="357">
        <v>0.12</v>
      </c>
      <c r="N144" s="272">
        <v>164.0</v>
      </c>
      <c r="O144" s="271">
        <v>0.0</v>
      </c>
      <c r="P144" s="272">
        <v>0.0</v>
      </c>
      <c r="Q144" s="273">
        <f t="shared" ref="Q144:R144" si="496">M144-O144</f>
        <v>0.12</v>
      </c>
      <c r="R144" s="274">
        <f t="shared" si="496"/>
        <v>164</v>
      </c>
      <c r="S144" s="275">
        <v>1373.0</v>
      </c>
      <c r="T144" s="276">
        <v>15.0</v>
      </c>
      <c r="U144" s="277" t="s">
        <v>107</v>
      </c>
      <c r="V144" s="277"/>
      <c r="W144" s="358"/>
      <c r="X144" s="358"/>
      <c r="Y144" s="358"/>
      <c r="Z144" s="358"/>
      <c r="AA144" s="358"/>
      <c r="AB144" s="359"/>
      <c r="AC144" s="360">
        <f t="shared" ref="AC144:AD144" si="497">K144</f>
        <v>0.83</v>
      </c>
      <c r="AD144" s="361">
        <f t="shared" si="497"/>
        <v>1139</v>
      </c>
      <c r="AE144" s="362"/>
      <c r="AF144" s="358"/>
      <c r="AG144" s="358"/>
      <c r="AH144" s="358"/>
      <c r="AI144" s="363">
        <f t="shared" ref="AI144:AJ144" si="498">Q144</f>
        <v>0.12</v>
      </c>
      <c r="AJ144" s="364">
        <f t="shared" si="498"/>
        <v>164</v>
      </c>
      <c r="AK144" s="358"/>
      <c r="AL144" s="358"/>
      <c r="AM144" s="365"/>
      <c r="AN144" s="366"/>
    </row>
    <row r="145" ht="12.75" customHeight="1">
      <c r="A145" s="245" t="s">
        <v>628</v>
      </c>
      <c r="B145" s="246" t="s">
        <v>118</v>
      </c>
      <c r="C145" s="247" t="s">
        <v>119</v>
      </c>
      <c r="D145" s="247" t="s">
        <v>232</v>
      </c>
      <c r="E145" s="247" t="s">
        <v>230</v>
      </c>
      <c r="F145" s="248"/>
      <c r="G145" s="247" t="s">
        <v>139</v>
      </c>
      <c r="H145" s="247" t="s">
        <v>180</v>
      </c>
      <c r="I145" s="248" t="s">
        <v>105</v>
      </c>
      <c r="J145" s="300" t="s">
        <v>106</v>
      </c>
      <c r="K145" s="301">
        <v>387.3</v>
      </c>
      <c r="L145" s="302">
        <v>532421.0</v>
      </c>
      <c r="M145" s="303">
        <v>58.1</v>
      </c>
      <c r="N145" s="250">
        <v>79870.0</v>
      </c>
      <c r="O145" s="249">
        <v>0.0</v>
      </c>
      <c r="P145" s="250">
        <v>0.0</v>
      </c>
      <c r="Q145" s="251">
        <f t="shared" ref="Q145:R145" si="499">M145-O145</f>
        <v>58.1</v>
      </c>
      <c r="R145" s="252">
        <f t="shared" si="499"/>
        <v>79870</v>
      </c>
      <c r="S145" s="253">
        <v>1374.7</v>
      </c>
      <c r="T145" s="254">
        <v>15.0</v>
      </c>
      <c r="U145" s="255" t="s">
        <v>107</v>
      </c>
      <c r="V145" s="255"/>
      <c r="W145" s="304">
        <v>0.3873</v>
      </c>
      <c r="X145" s="304">
        <v>0.10469</v>
      </c>
      <c r="Y145" s="304">
        <v>0.28261</v>
      </c>
      <c r="Z145" s="305">
        <f>IFERROR(ROUND(K145/W145,0),0)</f>
        <v>1000</v>
      </c>
      <c r="AA145" s="306">
        <f t="shared" ref="AA145:AA146" si="501">Z145*W145</f>
        <v>387.3</v>
      </c>
      <c r="AB145" s="307">
        <f t="shared" ref="AB145:AB146" si="502">ROUND(AA145*S145,0)</f>
        <v>532421</v>
      </c>
      <c r="AC145" s="308">
        <f t="shared" ref="AC145:AC146" si="503">AA145</f>
        <v>387.3</v>
      </c>
      <c r="AD145" s="309">
        <f t="shared" ref="AD145:AD147" si="504">ROUND(AC145*S145,0)</f>
        <v>532421</v>
      </c>
      <c r="AE145" s="310">
        <f t="shared" ref="AE145:AE147" si="505">IFERROR(ROUND(Z145*Y145,2),0)</f>
        <v>282.61</v>
      </c>
      <c r="AF145" s="252">
        <f t="shared" ref="AF145:AF147" si="506">ROUND(AE145*S145,0)</f>
        <v>388504</v>
      </c>
      <c r="AG145" s="306">
        <f t="shared" ref="AG145:AG146" si="507">ROUND(AC145*0.15,2)</f>
        <v>58.1</v>
      </c>
      <c r="AH145" s="252">
        <f t="shared" ref="AH145:AH146" si="508">ROUND(AD145*0.15,0)</f>
        <v>79863</v>
      </c>
      <c r="AI145" s="311"/>
      <c r="AJ145" s="311"/>
      <c r="AK145" s="311"/>
      <c r="AL145" s="311"/>
      <c r="AM145" s="312"/>
      <c r="AN145" s="313"/>
    </row>
    <row r="146" ht="12.75" customHeight="1">
      <c r="A146" s="245" t="s">
        <v>629</v>
      </c>
      <c r="B146" s="246" t="s">
        <v>118</v>
      </c>
      <c r="C146" s="247" t="s">
        <v>119</v>
      </c>
      <c r="D146" s="247" t="s">
        <v>232</v>
      </c>
      <c r="E146" s="247" t="s">
        <v>230</v>
      </c>
      <c r="F146" s="248"/>
      <c r="G146" s="247" t="s">
        <v>139</v>
      </c>
      <c r="H146" s="247" t="s">
        <v>180</v>
      </c>
      <c r="I146" s="248" t="s">
        <v>105</v>
      </c>
      <c r="J146" s="300" t="s">
        <v>106</v>
      </c>
      <c r="K146" s="314">
        <f t="shared" ref="K146:R146" si="500">-K145</f>
        <v>-387.3</v>
      </c>
      <c r="L146" s="309">
        <f t="shared" si="500"/>
        <v>-532421</v>
      </c>
      <c r="M146" s="315">
        <f t="shared" si="500"/>
        <v>-58.1</v>
      </c>
      <c r="N146" s="252">
        <f t="shared" si="500"/>
        <v>-79870</v>
      </c>
      <c r="O146" s="251">
        <f t="shared" si="500"/>
        <v>0</v>
      </c>
      <c r="P146" s="252">
        <f t="shared" si="500"/>
        <v>0</v>
      </c>
      <c r="Q146" s="251">
        <f t="shared" si="500"/>
        <v>-58.1</v>
      </c>
      <c r="R146" s="252">
        <f t="shared" si="500"/>
        <v>-79870</v>
      </c>
      <c r="S146" s="253">
        <v>1374.7</v>
      </c>
      <c r="T146" s="254">
        <v>15.0</v>
      </c>
      <c r="U146" s="255" t="s">
        <v>107</v>
      </c>
      <c r="V146" s="255"/>
      <c r="W146" s="304">
        <v>0.3873</v>
      </c>
      <c r="X146" s="304">
        <v>0.10469</v>
      </c>
      <c r="Y146" s="304">
        <v>0.28261</v>
      </c>
      <c r="Z146" s="305">
        <f>-Z145</f>
        <v>-1000</v>
      </c>
      <c r="AA146" s="306">
        <f t="shared" si="501"/>
        <v>-387.3</v>
      </c>
      <c r="AB146" s="307">
        <f t="shared" si="502"/>
        <v>-532421</v>
      </c>
      <c r="AC146" s="308">
        <f t="shared" si="503"/>
        <v>-387.3</v>
      </c>
      <c r="AD146" s="309">
        <f t="shared" si="504"/>
        <v>-532421</v>
      </c>
      <c r="AE146" s="310">
        <f t="shared" si="505"/>
        <v>-282.61</v>
      </c>
      <c r="AF146" s="252">
        <f t="shared" si="506"/>
        <v>-388504</v>
      </c>
      <c r="AG146" s="306">
        <f t="shared" si="507"/>
        <v>-58.1</v>
      </c>
      <c r="AH146" s="252">
        <f t="shared" si="508"/>
        <v>-79863</v>
      </c>
      <c r="AI146" s="311"/>
      <c r="AJ146" s="311"/>
      <c r="AK146" s="311"/>
      <c r="AL146" s="311"/>
      <c r="AM146" s="312"/>
      <c r="AN146" s="313"/>
    </row>
    <row r="147" ht="12.75" customHeight="1">
      <c r="A147" s="256" t="s">
        <v>630</v>
      </c>
      <c r="B147" s="257" t="s">
        <v>118</v>
      </c>
      <c r="C147" s="258" t="s">
        <v>119</v>
      </c>
      <c r="D147" s="258" t="s">
        <v>232</v>
      </c>
      <c r="E147" s="258" t="s">
        <v>230</v>
      </c>
      <c r="F147" s="259"/>
      <c r="G147" s="258" t="s">
        <v>139</v>
      </c>
      <c r="H147" s="258" t="s">
        <v>180</v>
      </c>
      <c r="I147" s="259" t="s">
        <v>105</v>
      </c>
      <c r="J147" s="316" t="s">
        <v>106</v>
      </c>
      <c r="K147" s="317">
        <f>ROUND(M147/0.15,2)</f>
        <v>104.67</v>
      </c>
      <c r="L147" s="318">
        <f>ROUND(N147/0.15,0)</f>
        <v>143887</v>
      </c>
      <c r="M147" s="319">
        <f t="shared" ref="M147:N147" si="509">Q147</f>
        <v>15.7</v>
      </c>
      <c r="N147" s="261">
        <f t="shared" si="509"/>
        <v>21583</v>
      </c>
      <c r="O147" s="262">
        <v>42.4</v>
      </c>
      <c r="P147" s="263">
        <v>58287.0</v>
      </c>
      <c r="Q147" s="260">
        <f t="shared" ref="Q147:R147" si="510">M145-O147</f>
        <v>15.7</v>
      </c>
      <c r="R147" s="261">
        <f t="shared" si="510"/>
        <v>21583</v>
      </c>
      <c r="S147" s="264">
        <v>1374.7</v>
      </c>
      <c r="T147" s="265">
        <v>15.0</v>
      </c>
      <c r="U147" s="266" t="s">
        <v>107</v>
      </c>
      <c r="V147" s="266" t="s">
        <v>1031</v>
      </c>
      <c r="W147" s="320">
        <v>0.3873</v>
      </c>
      <c r="X147" s="320">
        <v>0.10469</v>
      </c>
      <c r="Y147" s="320">
        <v>0.28261</v>
      </c>
      <c r="Z147" s="321">
        <f>Z145</f>
        <v>1000</v>
      </c>
      <c r="AA147" s="311"/>
      <c r="AB147" s="322"/>
      <c r="AC147" s="323">
        <f>IFERROR(ROUND(Z147*X147,2),0)</f>
        <v>104.69</v>
      </c>
      <c r="AD147" s="318">
        <f t="shared" si="504"/>
        <v>143917</v>
      </c>
      <c r="AE147" s="324">
        <f t="shared" si="505"/>
        <v>282.61</v>
      </c>
      <c r="AF147" s="261">
        <f t="shared" si="506"/>
        <v>388504</v>
      </c>
      <c r="AG147" s="311"/>
      <c r="AH147" s="311"/>
      <c r="AI147" s="325">
        <f>ROUND(AC147*0.15,2)</f>
        <v>15.7</v>
      </c>
      <c r="AJ147" s="261">
        <f>ROUND(AD147*0.15,0)</f>
        <v>21588</v>
      </c>
      <c r="AK147" s="325">
        <f>ROUND(AE147*0.15,2)</f>
        <v>42.39</v>
      </c>
      <c r="AL147" s="261">
        <f>ROUND(AF147*0.15,0)</f>
        <v>58276</v>
      </c>
      <c r="AM147" s="326">
        <f>IFERROR(AC147/K147,IFERROR(AK147/O147,""))</f>
        <v>1.000191077</v>
      </c>
      <c r="AN147" s="313"/>
    </row>
    <row r="148" ht="12.75" customHeight="1">
      <c r="A148" s="267" t="s">
        <v>632</v>
      </c>
      <c r="B148" s="268" t="s">
        <v>118</v>
      </c>
      <c r="C148" s="269" t="s">
        <v>119</v>
      </c>
      <c r="D148" s="269" t="s">
        <v>233</v>
      </c>
      <c r="E148" s="269" t="s">
        <v>234</v>
      </c>
      <c r="F148" s="270"/>
      <c r="G148" s="269" t="s">
        <v>173</v>
      </c>
      <c r="H148" s="270" t="s">
        <v>174</v>
      </c>
      <c r="I148" s="270" t="s">
        <v>105</v>
      </c>
      <c r="J148" s="354" t="s">
        <v>106</v>
      </c>
      <c r="K148" s="355">
        <v>0.5</v>
      </c>
      <c r="L148" s="356">
        <v>691.0</v>
      </c>
      <c r="M148" s="357">
        <v>0.08</v>
      </c>
      <c r="N148" s="272">
        <v>110.0</v>
      </c>
      <c r="O148" s="271">
        <v>0.0</v>
      </c>
      <c r="P148" s="272">
        <v>0.0</v>
      </c>
      <c r="Q148" s="273">
        <f t="shared" ref="Q148:R148" si="511">M148-O148</f>
        <v>0.08</v>
      </c>
      <c r="R148" s="274">
        <f t="shared" si="511"/>
        <v>110</v>
      </c>
      <c r="S148" s="275">
        <v>1382.7</v>
      </c>
      <c r="T148" s="276">
        <v>15.0</v>
      </c>
      <c r="U148" s="277" t="s">
        <v>107</v>
      </c>
      <c r="V148" s="277"/>
      <c r="W148" s="358"/>
      <c r="X148" s="358"/>
      <c r="Y148" s="358"/>
      <c r="Z148" s="358"/>
      <c r="AA148" s="358"/>
      <c r="AB148" s="359"/>
      <c r="AC148" s="360">
        <f t="shared" ref="AC148:AD148" si="512">K148</f>
        <v>0.5</v>
      </c>
      <c r="AD148" s="361">
        <f t="shared" si="512"/>
        <v>691</v>
      </c>
      <c r="AE148" s="362"/>
      <c r="AF148" s="358"/>
      <c r="AG148" s="358"/>
      <c r="AH148" s="358"/>
      <c r="AI148" s="363">
        <f t="shared" ref="AI148:AJ148" si="513">Q148</f>
        <v>0.08</v>
      </c>
      <c r="AJ148" s="364">
        <f t="shared" si="513"/>
        <v>110</v>
      </c>
      <c r="AK148" s="358"/>
      <c r="AL148" s="358"/>
      <c r="AM148" s="365"/>
      <c r="AN148" s="366"/>
    </row>
    <row r="149" ht="12.75" customHeight="1">
      <c r="A149" s="267" t="s">
        <v>633</v>
      </c>
      <c r="B149" s="268" t="s">
        <v>118</v>
      </c>
      <c r="C149" s="269" t="s">
        <v>119</v>
      </c>
      <c r="D149" s="269" t="s">
        <v>235</v>
      </c>
      <c r="E149" s="270"/>
      <c r="F149" s="270"/>
      <c r="G149" s="269" t="s">
        <v>148</v>
      </c>
      <c r="H149" s="269" t="s">
        <v>1032</v>
      </c>
      <c r="I149" s="270" t="s">
        <v>105</v>
      </c>
      <c r="J149" s="354" t="s">
        <v>150</v>
      </c>
      <c r="K149" s="355">
        <v>0.0</v>
      </c>
      <c r="L149" s="356">
        <v>193.0</v>
      </c>
      <c r="M149" s="357">
        <v>0.0</v>
      </c>
      <c r="N149" s="272">
        <v>34.0</v>
      </c>
      <c r="O149" s="271">
        <v>0.0</v>
      </c>
      <c r="P149" s="272">
        <v>0.0</v>
      </c>
      <c r="Q149" s="273">
        <f t="shared" ref="Q149:R149" si="514">M149-O149</f>
        <v>0</v>
      </c>
      <c r="R149" s="274">
        <f t="shared" si="514"/>
        <v>34</v>
      </c>
      <c r="S149" s="275">
        <v>1.0</v>
      </c>
      <c r="T149" s="276">
        <v>14.0</v>
      </c>
      <c r="U149" s="277" t="s">
        <v>151</v>
      </c>
      <c r="V149" s="277"/>
      <c r="W149" s="358"/>
      <c r="X149" s="358"/>
      <c r="Y149" s="358"/>
      <c r="Z149" s="358"/>
      <c r="AA149" s="358"/>
      <c r="AB149" s="359"/>
      <c r="AC149" s="360">
        <f t="shared" ref="AC149:AD149" si="515">K149</f>
        <v>0</v>
      </c>
      <c r="AD149" s="361">
        <f t="shared" si="515"/>
        <v>193</v>
      </c>
      <c r="AE149" s="362"/>
      <c r="AF149" s="358"/>
      <c r="AG149" s="358"/>
      <c r="AH149" s="358"/>
      <c r="AI149" s="363">
        <f t="shared" ref="AI149:AJ149" si="516">Q149</f>
        <v>0</v>
      </c>
      <c r="AJ149" s="364">
        <f t="shared" si="516"/>
        <v>34</v>
      </c>
      <c r="AK149" s="358"/>
      <c r="AL149" s="358"/>
      <c r="AM149" s="365"/>
      <c r="AN149" s="366"/>
    </row>
    <row r="150" ht="12.75" customHeight="1">
      <c r="A150" s="245" t="s">
        <v>635</v>
      </c>
      <c r="B150" s="246" t="s">
        <v>118</v>
      </c>
      <c r="C150" s="247" t="s">
        <v>119</v>
      </c>
      <c r="D150" s="247" t="s">
        <v>237</v>
      </c>
      <c r="E150" s="247" t="s">
        <v>238</v>
      </c>
      <c r="F150" s="248"/>
      <c r="G150" s="247" t="s">
        <v>103</v>
      </c>
      <c r="H150" s="247" t="s">
        <v>239</v>
      </c>
      <c r="I150" s="248" t="s">
        <v>105</v>
      </c>
      <c r="J150" s="300" t="s">
        <v>106</v>
      </c>
      <c r="K150" s="301">
        <v>103.5</v>
      </c>
      <c r="L150" s="302">
        <v>144061.0</v>
      </c>
      <c r="M150" s="303">
        <v>15.52</v>
      </c>
      <c r="N150" s="250">
        <v>21602.0</v>
      </c>
      <c r="O150" s="249">
        <v>0.0</v>
      </c>
      <c r="P150" s="250">
        <v>0.0</v>
      </c>
      <c r="Q150" s="251">
        <f t="shared" ref="Q150:R150" si="517">M150-O150</f>
        <v>15.52</v>
      </c>
      <c r="R150" s="252">
        <f t="shared" si="517"/>
        <v>21602</v>
      </c>
      <c r="S150" s="253">
        <v>1391.9</v>
      </c>
      <c r="T150" s="254">
        <v>15.0</v>
      </c>
      <c r="U150" s="255" t="s">
        <v>107</v>
      </c>
      <c r="V150" s="255"/>
      <c r="W150" s="304">
        <v>0.1029</v>
      </c>
      <c r="X150" s="304">
        <v>0.03313</v>
      </c>
      <c r="Y150" s="304">
        <v>0.06977</v>
      </c>
      <c r="Z150" s="305">
        <f>IFERROR(ROUND(K150/W150,0),0)</f>
        <v>1006</v>
      </c>
      <c r="AA150" s="306">
        <f t="shared" ref="AA150:AA151" si="519">Z150*W150</f>
        <v>103.5174</v>
      </c>
      <c r="AB150" s="307">
        <f t="shared" ref="AB150:AB151" si="520">ROUND(AA150*S150,0)</f>
        <v>144086</v>
      </c>
      <c r="AC150" s="308">
        <f t="shared" ref="AC150:AC151" si="521">AA150</f>
        <v>103.5174</v>
      </c>
      <c r="AD150" s="309">
        <f t="shared" ref="AD150:AD190" si="522">ROUND(AC150*S150,0)</f>
        <v>144086</v>
      </c>
      <c r="AE150" s="310">
        <f t="shared" ref="AE150:AE190" si="523">IFERROR(ROUND(Z150*Y150,2),0)</f>
        <v>70.19</v>
      </c>
      <c r="AF150" s="252">
        <f t="shared" ref="AF150:AF190" si="524">ROUND(AE150*S150,0)</f>
        <v>97697</v>
      </c>
      <c r="AG150" s="306">
        <f t="shared" ref="AG150:AG151" si="525">ROUND(AC150*0.15,2)</f>
        <v>15.53</v>
      </c>
      <c r="AH150" s="252">
        <f t="shared" ref="AH150:AH151" si="526">ROUND(AD150*0.15,0)</f>
        <v>21613</v>
      </c>
      <c r="AI150" s="311"/>
      <c r="AJ150" s="311"/>
      <c r="AK150" s="311"/>
      <c r="AL150" s="311"/>
      <c r="AM150" s="312"/>
      <c r="AN150" s="313"/>
    </row>
    <row r="151" ht="12.75" customHeight="1">
      <c r="A151" s="245" t="s">
        <v>636</v>
      </c>
      <c r="B151" s="246" t="s">
        <v>118</v>
      </c>
      <c r="C151" s="247" t="s">
        <v>119</v>
      </c>
      <c r="D151" s="247" t="s">
        <v>237</v>
      </c>
      <c r="E151" s="247" t="s">
        <v>238</v>
      </c>
      <c r="F151" s="248"/>
      <c r="G151" s="247" t="s">
        <v>103</v>
      </c>
      <c r="H151" s="247" t="s">
        <v>239</v>
      </c>
      <c r="I151" s="248" t="s">
        <v>105</v>
      </c>
      <c r="J151" s="300" t="s">
        <v>106</v>
      </c>
      <c r="K151" s="314">
        <f t="shared" ref="K151:R151" si="518">-K150</f>
        <v>-103.5</v>
      </c>
      <c r="L151" s="309">
        <f t="shared" si="518"/>
        <v>-144061</v>
      </c>
      <c r="M151" s="315">
        <f t="shared" si="518"/>
        <v>-15.52</v>
      </c>
      <c r="N151" s="252">
        <f t="shared" si="518"/>
        <v>-21602</v>
      </c>
      <c r="O151" s="251">
        <f t="shared" si="518"/>
        <v>0</v>
      </c>
      <c r="P151" s="252">
        <f t="shared" si="518"/>
        <v>0</v>
      </c>
      <c r="Q151" s="251">
        <f t="shared" si="518"/>
        <v>-15.52</v>
      </c>
      <c r="R151" s="252">
        <f t="shared" si="518"/>
        <v>-21602</v>
      </c>
      <c r="S151" s="253">
        <v>1391.9</v>
      </c>
      <c r="T151" s="254">
        <v>15.0</v>
      </c>
      <c r="U151" s="255" t="s">
        <v>107</v>
      </c>
      <c r="V151" s="255"/>
      <c r="W151" s="304">
        <v>0.1029</v>
      </c>
      <c r="X151" s="304">
        <v>0.03313</v>
      </c>
      <c r="Y151" s="304">
        <v>0.06977</v>
      </c>
      <c r="Z151" s="305">
        <f>-Z150</f>
        <v>-1006</v>
      </c>
      <c r="AA151" s="306">
        <f t="shared" si="519"/>
        <v>-103.5174</v>
      </c>
      <c r="AB151" s="307">
        <f t="shared" si="520"/>
        <v>-144086</v>
      </c>
      <c r="AC151" s="308">
        <f t="shared" si="521"/>
        <v>-103.5174</v>
      </c>
      <c r="AD151" s="309">
        <f t="shared" si="522"/>
        <v>-144086</v>
      </c>
      <c r="AE151" s="310">
        <f t="shared" si="523"/>
        <v>-70.19</v>
      </c>
      <c r="AF151" s="252">
        <f t="shared" si="524"/>
        <v>-97697</v>
      </c>
      <c r="AG151" s="306">
        <f t="shared" si="525"/>
        <v>-15.53</v>
      </c>
      <c r="AH151" s="252">
        <f t="shared" si="526"/>
        <v>-21613</v>
      </c>
      <c r="AI151" s="311"/>
      <c r="AJ151" s="311"/>
      <c r="AK151" s="311"/>
      <c r="AL151" s="311"/>
      <c r="AM151" s="312"/>
      <c r="AN151" s="313"/>
    </row>
    <row r="152" ht="12.75" customHeight="1">
      <c r="A152" s="256" t="s">
        <v>637</v>
      </c>
      <c r="B152" s="257" t="s">
        <v>118</v>
      </c>
      <c r="C152" s="258" t="s">
        <v>119</v>
      </c>
      <c r="D152" s="258" t="s">
        <v>237</v>
      </c>
      <c r="E152" s="258" t="s">
        <v>238</v>
      </c>
      <c r="F152" s="259"/>
      <c r="G152" s="258" t="s">
        <v>103</v>
      </c>
      <c r="H152" s="258" t="s">
        <v>239</v>
      </c>
      <c r="I152" s="259" t="s">
        <v>105</v>
      </c>
      <c r="J152" s="316" t="s">
        <v>106</v>
      </c>
      <c r="K152" s="317">
        <f>ROUND(M152/0.15,2)</f>
        <v>33.27</v>
      </c>
      <c r="L152" s="318">
        <f>ROUND(N152/0.15,0)</f>
        <v>46300</v>
      </c>
      <c r="M152" s="319">
        <f t="shared" ref="M152:N152" si="527">Q152</f>
        <v>4.99</v>
      </c>
      <c r="N152" s="261">
        <f t="shared" si="527"/>
        <v>6945</v>
      </c>
      <c r="O152" s="262">
        <v>10.53</v>
      </c>
      <c r="P152" s="263">
        <v>14657.0</v>
      </c>
      <c r="Q152" s="260">
        <f t="shared" ref="Q152:R152" si="528">M150-O152</f>
        <v>4.99</v>
      </c>
      <c r="R152" s="261">
        <f t="shared" si="528"/>
        <v>6945</v>
      </c>
      <c r="S152" s="264">
        <v>1391.9</v>
      </c>
      <c r="T152" s="265">
        <v>15.0</v>
      </c>
      <c r="U152" s="266" t="s">
        <v>107</v>
      </c>
      <c r="V152" s="266" t="s">
        <v>1033</v>
      </c>
      <c r="W152" s="320">
        <v>0.1029</v>
      </c>
      <c r="X152" s="320">
        <v>0.03313</v>
      </c>
      <c r="Y152" s="320">
        <v>0.06977</v>
      </c>
      <c r="Z152" s="321">
        <f>Z150</f>
        <v>1006</v>
      </c>
      <c r="AA152" s="311"/>
      <c r="AB152" s="322"/>
      <c r="AC152" s="323">
        <f>IFERROR(ROUND(Z152*X152,2),0)</f>
        <v>33.33</v>
      </c>
      <c r="AD152" s="318">
        <f t="shared" si="522"/>
        <v>46392</v>
      </c>
      <c r="AE152" s="324">
        <f t="shared" si="523"/>
        <v>70.19</v>
      </c>
      <c r="AF152" s="261">
        <f t="shared" si="524"/>
        <v>97697</v>
      </c>
      <c r="AG152" s="311"/>
      <c r="AH152" s="311"/>
      <c r="AI152" s="325">
        <f>ROUND(AC152*0.15,2)</f>
        <v>5</v>
      </c>
      <c r="AJ152" s="261">
        <f>ROUND(AD152*0.15,0)</f>
        <v>6959</v>
      </c>
      <c r="AK152" s="325">
        <f>ROUND(AE152*0.15,2)</f>
        <v>10.53</v>
      </c>
      <c r="AL152" s="261">
        <f>ROUND(AF152*0.15,0)</f>
        <v>14655</v>
      </c>
      <c r="AM152" s="326">
        <f>IFERROR(AC152/K152,IFERROR(AK152/O152,""))</f>
        <v>1.001803427</v>
      </c>
      <c r="AN152" s="313"/>
    </row>
    <row r="153" ht="12.75" customHeight="1">
      <c r="A153" s="245" t="s">
        <v>639</v>
      </c>
      <c r="B153" s="246" t="s">
        <v>118</v>
      </c>
      <c r="C153" s="247" t="s">
        <v>119</v>
      </c>
      <c r="D153" s="247" t="s">
        <v>237</v>
      </c>
      <c r="E153" s="247" t="s">
        <v>238</v>
      </c>
      <c r="F153" s="248"/>
      <c r="G153" s="247" t="s">
        <v>127</v>
      </c>
      <c r="H153" s="247" t="s">
        <v>186</v>
      </c>
      <c r="I153" s="248" t="s">
        <v>105</v>
      </c>
      <c r="J153" s="300" t="s">
        <v>106</v>
      </c>
      <c r="K153" s="301">
        <v>1028.5</v>
      </c>
      <c r="L153" s="302">
        <v>1431569.0</v>
      </c>
      <c r="M153" s="303">
        <v>154.28</v>
      </c>
      <c r="N153" s="250">
        <v>214742.0</v>
      </c>
      <c r="O153" s="249">
        <v>0.0</v>
      </c>
      <c r="P153" s="250">
        <v>0.0</v>
      </c>
      <c r="Q153" s="251">
        <f t="shared" ref="Q153:R153" si="529">M153-O153</f>
        <v>154.28</v>
      </c>
      <c r="R153" s="252">
        <f t="shared" si="529"/>
        <v>214742</v>
      </c>
      <c r="S153" s="253">
        <v>1391.9</v>
      </c>
      <c r="T153" s="254">
        <v>15.0</v>
      </c>
      <c r="U153" s="255" t="s">
        <v>107</v>
      </c>
      <c r="V153" s="255"/>
      <c r="W153" s="304">
        <v>1.0285</v>
      </c>
      <c r="X153" s="304">
        <v>0.48702</v>
      </c>
      <c r="Y153" s="304">
        <v>0.54148</v>
      </c>
      <c r="Z153" s="305">
        <f>IFERROR(ROUND(K153/W153,0),0)</f>
        <v>1000</v>
      </c>
      <c r="AA153" s="306">
        <f t="shared" ref="AA153:AA154" si="531">Z153*W153</f>
        <v>1028.5</v>
      </c>
      <c r="AB153" s="307">
        <f t="shared" ref="AB153:AB154" si="532">ROUND(AA153*S153,0)</f>
        <v>1431569</v>
      </c>
      <c r="AC153" s="308">
        <f t="shared" ref="AC153:AC154" si="533">AA153</f>
        <v>1028.5</v>
      </c>
      <c r="AD153" s="309">
        <f t="shared" si="522"/>
        <v>1431569</v>
      </c>
      <c r="AE153" s="310">
        <f t="shared" si="523"/>
        <v>541.48</v>
      </c>
      <c r="AF153" s="252">
        <f t="shared" si="524"/>
        <v>753686</v>
      </c>
      <c r="AG153" s="306">
        <f t="shared" ref="AG153:AG154" si="534">ROUND(AC153*0.15,2)</f>
        <v>154.28</v>
      </c>
      <c r="AH153" s="252">
        <f t="shared" ref="AH153:AH154" si="535">ROUND(AD153*0.15,0)</f>
        <v>214735</v>
      </c>
      <c r="AI153" s="311"/>
      <c r="AJ153" s="311"/>
      <c r="AK153" s="311"/>
      <c r="AL153" s="311"/>
      <c r="AM153" s="312"/>
      <c r="AN153" s="313"/>
    </row>
    <row r="154" ht="12.75" customHeight="1">
      <c r="A154" s="245" t="s">
        <v>640</v>
      </c>
      <c r="B154" s="246" t="s">
        <v>118</v>
      </c>
      <c r="C154" s="247" t="s">
        <v>119</v>
      </c>
      <c r="D154" s="247" t="s">
        <v>237</v>
      </c>
      <c r="E154" s="247" t="s">
        <v>238</v>
      </c>
      <c r="F154" s="248"/>
      <c r="G154" s="247" t="s">
        <v>127</v>
      </c>
      <c r="H154" s="247" t="s">
        <v>186</v>
      </c>
      <c r="I154" s="248" t="s">
        <v>105</v>
      </c>
      <c r="J154" s="300" t="s">
        <v>106</v>
      </c>
      <c r="K154" s="314">
        <f t="shared" ref="K154:R154" si="530">-K153</f>
        <v>-1028.5</v>
      </c>
      <c r="L154" s="309">
        <f t="shared" si="530"/>
        <v>-1431569</v>
      </c>
      <c r="M154" s="315">
        <f t="shared" si="530"/>
        <v>-154.28</v>
      </c>
      <c r="N154" s="252">
        <f t="shared" si="530"/>
        <v>-214742</v>
      </c>
      <c r="O154" s="251">
        <f t="shared" si="530"/>
        <v>0</v>
      </c>
      <c r="P154" s="252">
        <f t="shared" si="530"/>
        <v>0</v>
      </c>
      <c r="Q154" s="251">
        <f t="shared" si="530"/>
        <v>-154.28</v>
      </c>
      <c r="R154" s="252">
        <f t="shared" si="530"/>
        <v>-214742</v>
      </c>
      <c r="S154" s="253">
        <v>1391.9</v>
      </c>
      <c r="T154" s="254">
        <v>15.0</v>
      </c>
      <c r="U154" s="255" t="s">
        <v>107</v>
      </c>
      <c r="V154" s="255"/>
      <c r="W154" s="304">
        <v>1.0285</v>
      </c>
      <c r="X154" s="304">
        <v>0.48702</v>
      </c>
      <c r="Y154" s="304">
        <v>0.54148</v>
      </c>
      <c r="Z154" s="305">
        <f>-Z153</f>
        <v>-1000</v>
      </c>
      <c r="AA154" s="306">
        <f t="shared" si="531"/>
        <v>-1028.5</v>
      </c>
      <c r="AB154" s="307">
        <f t="shared" si="532"/>
        <v>-1431569</v>
      </c>
      <c r="AC154" s="308">
        <f t="shared" si="533"/>
        <v>-1028.5</v>
      </c>
      <c r="AD154" s="309">
        <f t="shared" si="522"/>
        <v>-1431569</v>
      </c>
      <c r="AE154" s="310">
        <f t="shared" si="523"/>
        <v>-541.48</v>
      </c>
      <c r="AF154" s="252">
        <f t="shared" si="524"/>
        <v>-753686</v>
      </c>
      <c r="AG154" s="306">
        <f t="shared" si="534"/>
        <v>-154.28</v>
      </c>
      <c r="AH154" s="252">
        <f t="shared" si="535"/>
        <v>-214735</v>
      </c>
      <c r="AI154" s="311"/>
      <c r="AJ154" s="311"/>
      <c r="AK154" s="311"/>
      <c r="AL154" s="311"/>
      <c r="AM154" s="312"/>
      <c r="AN154" s="313"/>
    </row>
    <row r="155" ht="12.75" customHeight="1">
      <c r="A155" s="256" t="s">
        <v>641</v>
      </c>
      <c r="B155" s="257" t="s">
        <v>118</v>
      </c>
      <c r="C155" s="258" t="s">
        <v>119</v>
      </c>
      <c r="D155" s="258" t="s">
        <v>237</v>
      </c>
      <c r="E155" s="258" t="s">
        <v>238</v>
      </c>
      <c r="F155" s="259"/>
      <c r="G155" s="258" t="s">
        <v>127</v>
      </c>
      <c r="H155" s="258" t="s">
        <v>186</v>
      </c>
      <c r="I155" s="259" t="s">
        <v>105</v>
      </c>
      <c r="J155" s="316" t="s">
        <v>106</v>
      </c>
      <c r="K155" s="317">
        <f>ROUND(M155/0.15,2)</f>
        <v>487</v>
      </c>
      <c r="L155" s="318">
        <f>ROUND(N155/0.15,0)</f>
        <v>677853</v>
      </c>
      <c r="M155" s="319">
        <f t="shared" ref="M155:N155" si="536">Q155</f>
        <v>73.05</v>
      </c>
      <c r="N155" s="261">
        <f t="shared" si="536"/>
        <v>101678</v>
      </c>
      <c r="O155" s="262">
        <v>81.23</v>
      </c>
      <c r="P155" s="263">
        <v>113064.0</v>
      </c>
      <c r="Q155" s="260">
        <f t="shared" ref="Q155:R155" si="537">M153-O155</f>
        <v>73.05</v>
      </c>
      <c r="R155" s="261">
        <f t="shared" si="537"/>
        <v>101678</v>
      </c>
      <c r="S155" s="264">
        <v>1391.9</v>
      </c>
      <c r="T155" s="265">
        <v>15.0</v>
      </c>
      <c r="U155" s="266" t="s">
        <v>107</v>
      </c>
      <c r="V155" s="266" t="s">
        <v>1034</v>
      </c>
      <c r="W155" s="320">
        <v>1.0285</v>
      </c>
      <c r="X155" s="320">
        <v>0.48702</v>
      </c>
      <c r="Y155" s="320">
        <v>0.54148</v>
      </c>
      <c r="Z155" s="321">
        <f>Z153</f>
        <v>1000</v>
      </c>
      <c r="AA155" s="311"/>
      <c r="AB155" s="322"/>
      <c r="AC155" s="323">
        <f>IFERROR(ROUND(Z155*X155,2),0)</f>
        <v>487.02</v>
      </c>
      <c r="AD155" s="318">
        <f t="shared" si="522"/>
        <v>677883</v>
      </c>
      <c r="AE155" s="324">
        <f t="shared" si="523"/>
        <v>541.48</v>
      </c>
      <c r="AF155" s="261">
        <f t="shared" si="524"/>
        <v>753686</v>
      </c>
      <c r="AG155" s="311"/>
      <c r="AH155" s="311"/>
      <c r="AI155" s="325">
        <f>ROUND(AC155*0.15,2)</f>
        <v>73.05</v>
      </c>
      <c r="AJ155" s="261">
        <f>ROUND(AD155*0.15,0)</f>
        <v>101682</v>
      </c>
      <c r="AK155" s="325">
        <f>ROUND(AE155*0.15,2)</f>
        <v>81.22</v>
      </c>
      <c r="AL155" s="261">
        <f>ROUND(AF155*0.15,0)</f>
        <v>113053</v>
      </c>
      <c r="AM155" s="326">
        <f>IFERROR(AC155/K155,IFERROR(AK155/O155,""))</f>
        <v>1.000041068</v>
      </c>
      <c r="AN155" s="313"/>
    </row>
    <row r="156" ht="12.75" customHeight="1">
      <c r="A156" s="245" t="s">
        <v>643</v>
      </c>
      <c r="B156" s="246" t="s">
        <v>118</v>
      </c>
      <c r="C156" s="247" t="s">
        <v>119</v>
      </c>
      <c r="D156" s="247" t="s">
        <v>240</v>
      </c>
      <c r="E156" s="247" t="s">
        <v>241</v>
      </c>
      <c r="F156" s="248"/>
      <c r="G156" s="247" t="s">
        <v>103</v>
      </c>
      <c r="H156" s="247" t="s">
        <v>239</v>
      </c>
      <c r="I156" s="248" t="s">
        <v>105</v>
      </c>
      <c r="J156" s="300" t="s">
        <v>106</v>
      </c>
      <c r="K156" s="301">
        <v>236.67</v>
      </c>
      <c r="L156" s="302">
        <v>325657.0</v>
      </c>
      <c r="M156" s="303">
        <v>35.5</v>
      </c>
      <c r="N156" s="250">
        <v>48848.0</v>
      </c>
      <c r="O156" s="249">
        <v>0.0</v>
      </c>
      <c r="P156" s="250">
        <v>0.0</v>
      </c>
      <c r="Q156" s="251">
        <f t="shared" ref="Q156:R156" si="538">M156-O156</f>
        <v>35.5</v>
      </c>
      <c r="R156" s="252">
        <f t="shared" si="538"/>
        <v>48848</v>
      </c>
      <c r="S156" s="253">
        <v>1376.0</v>
      </c>
      <c r="T156" s="254">
        <v>15.0</v>
      </c>
      <c r="U156" s="255" t="s">
        <v>107</v>
      </c>
      <c r="V156" s="255"/>
      <c r="W156" s="304">
        <v>0.1029</v>
      </c>
      <c r="X156" s="304">
        <v>0.03313</v>
      </c>
      <c r="Y156" s="304">
        <v>0.06977</v>
      </c>
      <c r="Z156" s="305">
        <f>IFERROR(ROUND(K156/W156,0),0)</f>
        <v>2300</v>
      </c>
      <c r="AA156" s="306">
        <f t="shared" ref="AA156:AA157" si="540">Z156*W156</f>
        <v>236.67</v>
      </c>
      <c r="AB156" s="307">
        <f t="shared" ref="AB156:AB157" si="541">ROUND(AA156*S156,0)</f>
        <v>325658</v>
      </c>
      <c r="AC156" s="308">
        <f t="shared" ref="AC156:AC157" si="542">AA156</f>
        <v>236.67</v>
      </c>
      <c r="AD156" s="309">
        <f t="shared" si="522"/>
        <v>325658</v>
      </c>
      <c r="AE156" s="310">
        <f t="shared" si="523"/>
        <v>160.47</v>
      </c>
      <c r="AF156" s="252">
        <f t="shared" si="524"/>
        <v>220807</v>
      </c>
      <c r="AG156" s="306">
        <f t="shared" ref="AG156:AG157" si="543">ROUND(AC156*0.15,2)</f>
        <v>35.5</v>
      </c>
      <c r="AH156" s="252">
        <f t="shared" ref="AH156:AH157" si="544">ROUND(AD156*0.15,0)</f>
        <v>48849</v>
      </c>
      <c r="AI156" s="311"/>
      <c r="AJ156" s="311"/>
      <c r="AK156" s="311"/>
      <c r="AL156" s="311"/>
      <c r="AM156" s="312"/>
      <c r="AN156" s="313"/>
    </row>
    <row r="157" ht="12.75" customHeight="1">
      <c r="A157" s="245" t="s">
        <v>644</v>
      </c>
      <c r="B157" s="246" t="s">
        <v>118</v>
      </c>
      <c r="C157" s="247" t="s">
        <v>119</v>
      </c>
      <c r="D157" s="247" t="s">
        <v>240</v>
      </c>
      <c r="E157" s="247" t="s">
        <v>241</v>
      </c>
      <c r="F157" s="248"/>
      <c r="G157" s="247" t="s">
        <v>103</v>
      </c>
      <c r="H157" s="247" t="s">
        <v>239</v>
      </c>
      <c r="I157" s="248" t="s">
        <v>105</v>
      </c>
      <c r="J157" s="300" t="s">
        <v>106</v>
      </c>
      <c r="K157" s="314">
        <f t="shared" ref="K157:R157" si="539">-K156</f>
        <v>-236.67</v>
      </c>
      <c r="L157" s="309">
        <f t="shared" si="539"/>
        <v>-325657</v>
      </c>
      <c r="M157" s="315">
        <f t="shared" si="539"/>
        <v>-35.5</v>
      </c>
      <c r="N157" s="252">
        <f t="shared" si="539"/>
        <v>-48848</v>
      </c>
      <c r="O157" s="251">
        <f t="shared" si="539"/>
        <v>0</v>
      </c>
      <c r="P157" s="252">
        <f t="shared" si="539"/>
        <v>0</v>
      </c>
      <c r="Q157" s="251">
        <f t="shared" si="539"/>
        <v>-35.5</v>
      </c>
      <c r="R157" s="252">
        <f t="shared" si="539"/>
        <v>-48848</v>
      </c>
      <c r="S157" s="253">
        <v>1376.0</v>
      </c>
      <c r="T157" s="254">
        <v>15.0</v>
      </c>
      <c r="U157" s="255" t="s">
        <v>107</v>
      </c>
      <c r="V157" s="255"/>
      <c r="W157" s="304">
        <v>0.1029</v>
      </c>
      <c r="X157" s="304">
        <v>0.03313</v>
      </c>
      <c r="Y157" s="304">
        <v>0.06977</v>
      </c>
      <c r="Z157" s="305">
        <f>-Z156</f>
        <v>-2300</v>
      </c>
      <c r="AA157" s="306">
        <f t="shared" si="540"/>
        <v>-236.67</v>
      </c>
      <c r="AB157" s="307">
        <f t="shared" si="541"/>
        <v>-325658</v>
      </c>
      <c r="AC157" s="308">
        <f t="shared" si="542"/>
        <v>-236.67</v>
      </c>
      <c r="AD157" s="309">
        <f t="shared" si="522"/>
        <v>-325658</v>
      </c>
      <c r="AE157" s="310">
        <f t="shared" si="523"/>
        <v>-160.47</v>
      </c>
      <c r="AF157" s="252">
        <f t="shared" si="524"/>
        <v>-220807</v>
      </c>
      <c r="AG157" s="306">
        <f t="shared" si="543"/>
        <v>-35.5</v>
      </c>
      <c r="AH157" s="252">
        <f t="shared" si="544"/>
        <v>-48849</v>
      </c>
      <c r="AI157" s="311"/>
      <c r="AJ157" s="311"/>
      <c r="AK157" s="311"/>
      <c r="AL157" s="311"/>
      <c r="AM157" s="312"/>
      <c r="AN157" s="313"/>
    </row>
    <row r="158" ht="12.75" customHeight="1">
      <c r="A158" s="256" t="s">
        <v>645</v>
      </c>
      <c r="B158" s="257" t="s">
        <v>118</v>
      </c>
      <c r="C158" s="258" t="s">
        <v>119</v>
      </c>
      <c r="D158" s="258" t="s">
        <v>240</v>
      </c>
      <c r="E158" s="258" t="s">
        <v>241</v>
      </c>
      <c r="F158" s="259"/>
      <c r="G158" s="258" t="s">
        <v>103</v>
      </c>
      <c r="H158" s="258" t="s">
        <v>239</v>
      </c>
      <c r="I158" s="259" t="s">
        <v>105</v>
      </c>
      <c r="J158" s="316" t="s">
        <v>106</v>
      </c>
      <c r="K158" s="317">
        <f>ROUND(M158/0.15,2)</f>
        <v>76.13</v>
      </c>
      <c r="L158" s="318">
        <f>ROUND(N158/0.15,0)</f>
        <v>104760</v>
      </c>
      <c r="M158" s="319">
        <f t="shared" ref="M158:N158" si="545">Q158</f>
        <v>11.42</v>
      </c>
      <c r="N158" s="261">
        <f t="shared" si="545"/>
        <v>15714</v>
      </c>
      <c r="O158" s="262">
        <v>24.08</v>
      </c>
      <c r="P158" s="263">
        <v>33134.0</v>
      </c>
      <c r="Q158" s="260">
        <f t="shared" ref="Q158:R158" si="546">M156-O158</f>
        <v>11.42</v>
      </c>
      <c r="R158" s="261">
        <f t="shared" si="546"/>
        <v>15714</v>
      </c>
      <c r="S158" s="264">
        <v>1376.0</v>
      </c>
      <c r="T158" s="265">
        <v>15.0</v>
      </c>
      <c r="U158" s="266" t="s">
        <v>107</v>
      </c>
      <c r="V158" s="266" t="s">
        <v>1035</v>
      </c>
      <c r="W158" s="320">
        <v>0.1029</v>
      </c>
      <c r="X158" s="320">
        <v>0.03313</v>
      </c>
      <c r="Y158" s="320">
        <v>0.06977</v>
      </c>
      <c r="Z158" s="321">
        <f>Z156</f>
        <v>2300</v>
      </c>
      <c r="AA158" s="311"/>
      <c r="AB158" s="322"/>
      <c r="AC158" s="323">
        <f>IFERROR(ROUND(Z158*X158,2),0)</f>
        <v>76.2</v>
      </c>
      <c r="AD158" s="318">
        <f t="shared" si="522"/>
        <v>104851</v>
      </c>
      <c r="AE158" s="324">
        <f t="shared" si="523"/>
        <v>160.47</v>
      </c>
      <c r="AF158" s="261">
        <f t="shared" si="524"/>
        <v>220807</v>
      </c>
      <c r="AG158" s="311"/>
      <c r="AH158" s="311"/>
      <c r="AI158" s="325">
        <f>ROUND(AC158*0.15,2)</f>
        <v>11.43</v>
      </c>
      <c r="AJ158" s="261">
        <f>ROUND(AD158*0.15,0)</f>
        <v>15728</v>
      </c>
      <c r="AK158" s="325">
        <f>ROUND(AE158*0.15,2)</f>
        <v>24.07</v>
      </c>
      <c r="AL158" s="261">
        <f>ROUND(AF158*0.15,0)</f>
        <v>33121</v>
      </c>
      <c r="AM158" s="326">
        <f>IFERROR(AC158/K158,IFERROR(AK158/O158,""))</f>
        <v>1.00091948</v>
      </c>
      <c r="AN158" s="313"/>
    </row>
    <row r="159" ht="12.75" customHeight="1">
      <c r="A159" s="245" t="s">
        <v>647</v>
      </c>
      <c r="B159" s="246" t="s">
        <v>118</v>
      </c>
      <c r="C159" s="247" t="s">
        <v>119</v>
      </c>
      <c r="D159" s="247" t="s">
        <v>101</v>
      </c>
      <c r="E159" s="247" t="s">
        <v>241</v>
      </c>
      <c r="F159" s="248"/>
      <c r="G159" s="247" t="s">
        <v>131</v>
      </c>
      <c r="H159" s="247" t="s">
        <v>167</v>
      </c>
      <c r="I159" s="248" t="s">
        <v>105</v>
      </c>
      <c r="J159" s="300" t="s">
        <v>106</v>
      </c>
      <c r="K159" s="301">
        <v>795.1</v>
      </c>
      <c r="L159" s="302">
        <v>1096919.0</v>
      </c>
      <c r="M159" s="303">
        <v>119.26</v>
      </c>
      <c r="N159" s="250">
        <v>164531.0</v>
      </c>
      <c r="O159" s="249">
        <v>0.0</v>
      </c>
      <c r="P159" s="250">
        <v>0.0</v>
      </c>
      <c r="Q159" s="251">
        <f t="shared" ref="Q159:R159" si="547">M159-O159</f>
        <v>119.26</v>
      </c>
      <c r="R159" s="252">
        <f t="shared" si="547"/>
        <v>164531</v>
      </c>
      <c r="S159" s="253">
        <v>1379.6</v>
      </c>
      <c r="T159" s="254">
        <v>15.0</v>
      </c>
      <c r="U159" s="255" t="s">
        <v>107</v>
      </c>
      <c r="V159" s="255"/>
      <c r="W159" s="304">
        <v>0.7951</v>
      </c>
      <c r="X159" s="304">
        <v>0.023483</v>
      </c>
      <c r="Y159" s="304">
        <v>0.771617</v>
      </c>
      <c r="Z159" s="305">
        <f>IFERROR(ROUND(K159/W159,0),0)</f>
        <v>1000</v>
      </c>
      <c r="AA159" s="306">
        <f t="shared" ref="AA159:AA160" si="549">Z159*W159</f>
        <v>795.1</v>
      </c>
      <c r="AB159" s="307">
        <f t="shared" ref="AB159:AB160" si="550">ROUND(AA159*S159,0)</f>
        <v>1096920</v>
      </c>
      <c r="AC159" s="308">
        <f t="shared" ref="AC159:AC160" si="551">AA159</f>
        <v>795.1</v>
      </c>
      <c r="AD159" s="309">
        <f t="shared" si="522"/>
        <v>1096920</v>
      </c>
      <c r="AE159" s="310">
        <f t="shared" si="523"/>
        <v>771.62</v>
      </c>
      <c r="AF159" s="252">
        <f t="shared" si="524"/>
        <v>1064527</v>
      </c>
      <c r="AG159" s="306">
        <f t="shared" ref="AG159:AG160" si="552">ROUND(AC159*0.15,2)</f>
        <v>119.27</v>
      </c>
      <c r="AH159" s="252">
        <f t="shared" ref="AH159:AH160" si="553">ROUND(AD159*0.15,0)</f>
        <v>164538</v>
      </c>
      <c r="AI159" s="311"/>
      <c r="AJ159" s="311"/>
      <c r="AK159" s="311"/>
      <c r="AL159" s="311"/>
      <c r="AM159" s="312"/>
      <c r="AN159" s="313"/>
    </row>
    <row r="160" ht="12.75" customHeight="1">
      <c r="A160" s="245" t="s">
        <v>648</v>
      </c>
      <c r="B160" s="246" t="s">
        <v>118</v>
      </c>
      <c r="C160" s="247" t="s">
        <v>119</v>
      </c>
      <c r="D160" s="247" t="s">
        <v>101</v>
      </c>
      <c r="E160" s="247" t="s">
        <v>241</v>
      </c>
      <c r="F160" s="248"/>
      <c r="G160" s="247" t="s">
        <v>131</v>
      </c>
      <c r="H160" s="247" t="s">
        <v>167</v>
      </c>
      <c r="I160" s="248" t="s">
        <v>105</v>
      </c>
      <c r="J160" s="300" t="s">
        <v>106</v>
      </c>
      <c r="K160" s="314">
        <f t="shared" ref="K160:R160" si="548">-K159</f>
        <v>-795.1</v>
      </c>
      <c r="L160" s="309">
        <f t="shared" si="548"/>
        <v>-1096919</v>
      </c>
      <c r="M160" s="315">
        <f t="shared" si="548"/>
        <v>-119.26</v>
      </c>
      <c r="N160" s="252">
        <f t="shared" si="548"/>
        <v>-164531</v>
      </c>
      <c r="O160" s="251">
        <f t="shared" si="548"/>
        <v>0</v>
      </c>
      <c r="P160" s="252">
        <f t="shared" si="548"/>
        <v>0</v>
      </c>
      <c r="Q160" s="251">
        <f t="shared" si="548"/>
        <v>-119.26</v>
      </c>
      <c r="R160" s="252">
        <f t="shared" si="548"/>
        <v>-164531</v>
      </c>
      <c r="S160" s="253">
        <v>1379.6</v>
      </c>
      <c r="T160" s="254">
        <v>15.0</v>
      </c>
      <c r="U160" s="255" t="s">
        <v>107</v>
      </c>
      <c r="V160" s="255"/>
      <c r="W160" s="304">
        <v>0.7951</v>
      </c>
      <c r="X160" s="304">
        <v>0.023483</v>
      </c>
      <c r="Y160" s="304">
        <v>0.771617</v>
      </c>
      <c r="Z160" s="305">
        <f>-Z159</f>
        <v>-1000</v>
      </c>
      <c r="AA160" s="306">
        <f t="shared" si="549"/>
        <v>-795.1</v>
      </c>
      <c r="AB160" s="307">
        <f t="shared" si="550"/>
        <v>-1096920</v>
      </c>
      <c r="AC160" s="308">
        <f t="shared" si="551"/>
        <v>-795.1</v>
      </c>
      <c r="AD160" s="309">
        <f t="shared" si="522"/>
        <v>-1096920</v>
      </c>
      <c r="AE160" s="310">
        <f t="shared" si="523"/>
        <v>-771.62</v>
      </c>
      <c r="AF160" s="252">
        <f t="shared" si="524"/>
        <v>-1064527</v>
      </c>
      <c r="AG160" s="306">
        <f t="shared" si="552"/>
        <v>-119.27</v>
      </c>
      <c r="AH160" s="252">
        <f t="shared" si="553"/>
        <v>-164538</v>
      </c>
      <c r="AI160" s="311"/>
      <c r="AJ160" s="311"/>
      <c r="AK160" s="311"/>
      <c r="AL160" s="311"/>
      <c r="AM160" s="312"/>
      <c r="AN160" s="313"/>
    </row>
    <row r="161" ht="12.75" customHeight="1">
      <c r="A161" s="256" t="s">
        <v>649</v>
      </c>
      <c r="B161" s="257" t="s">
        <v>118</v>
      </c>
      <c r="C161" s="258" t="s">
        <v>119</v>
      </c>
      <c r="D161" s="258" t="s">
        <v>101</v>
      </c>
      <c r="E161" s="258" t="s">
        <v>241</v>
      </c>
      <c r="F161" s="259"/>
      <c r="G161" s="258" t="s">
        <v>131</v>
      </c>
      <c r="H161" s="258" t="s">
        <v>167</v>
      </c>
      <c r="I161" s="259" t="s">
        <v>105</v>
      </c>
      <c r="J161" s="316" t="s">
        <v>106</v>
      </c>
      <c r="K161" s="317">
        <f>ROUND(M161/0.15,2)</f>
        <v>23.4</v>
      </c>
      <c r="L161" s="318">
        <f>ROUND(N161/0.15,0)</f>
        <v>32280</v>
      </c>
      <c r="M161" s="319">
        <f t="shared" ref="M161:N161" si="554">Q161</f>
        <v>3.51</v>
      </c>
      <c r="N161" s="261">
        <f t="shared" si="554"/>
        <v>4842</v>
      </c>
      <c r="O161" s="262">
        <v>115.75</v>
      </c>
      <c r="P161" s="263">
        <v>159689.0</v>
      </c>
      <c r="Q161" s="260">
        <f t="shared" ref="Q161:R161" si="555">M159-O161</f>
        <v>3.51</v>
      </c>
      <c r="R161" s="261">
        <f t="shared" si="555"/>
        <v>4842</v>
      </c>
      <c r="S161" s="264">
        <v>1379.6</v>
      </c>
      <c r="T161" s="265">
        <v>15.0</v>
      </c>
      <c r="U161" s="266" t="s">
        <v>107</v>
      </c>
      <c r="V161" s="266" t="s">
        <v>1036</v>
      </c>
      <c r="W161" s="320">
        <v>0.7951</v>
      </c>
      <c r="X161" s="320">
        <v>0.023483</v>
      </c>
      <c r="Y161" s="320">
        <v>0.771617</v>
      </c>
      <c r="Z161" s="321">
        <f>Z159</f>
        <v>1000</v>
      </c>
      <c r="AA161" s="311"/>
      <c r="AB161" s="322"/>
      <c r="AC161" s="323">
        <f>IFERROR(ROUND(Z161*X161,2),0)</f>
        <v>23.48</v>
      </c>
      <c r="AD161" s="318">
        <f t="shared" si="522"/>
        <v>32393</v>
      </c>
      <c r="AE161" s="324">
        <f t="shared" si="523"/>
        <v>771.62</v>
      </c>
      <c r="AF161" s="261">
        <f t="shared" si="524"/>
        <v>1064527</v>
      </c>
      <c r="AG161" s="311"/>
      <c r="AH161" s="311"/>
      <c r="AI161" s="325">
        <f>ROUND(AC161*0.15,2)</f>
        <v>3.52</v>
      </c>
      <c r="AJ161" s="261">
        <f>ROUND(AD161*0.15,0)</f>
        <v>4859</v>
      </c>
      <c r="AK161" s="325">
        <f>ROUND(AE161*0.15,2)</f>
        <v>115.74</v>
      </c>
      <c r="AL161" s="261">
        <f>ROUND(AF161*0.15,0)</f>
        <v>159679</v>
      </c>
      <c r="AM161" s="326">
        <f>IFERROR(AC161/K161,IFERROR(AK161/O161,""))</f>
        <v>1.003418803</v>
      </c>
      <c r="AN161" s="313"/>
    </row>
    <row r="162" ht="12.75" customHeight="1">
      <c r="A162" s="245" t="s">
        <v>651</v>
      </c>
      <c r="B162" s="246" t="s">
        <v>118</v>
      </c>
      <c r="C162" s="247" t="s">
        <v>119</v>
      </c>
      <c r="D162" s="247" t="s">
        <v>108</v>
      </c>
      <c r="E162" s="247" t="s">
        <v>242</v>
      </c>
      <c r="F162" s="248"/>
      <c r="G162" s="247" t="s">
        <v>103</v>
      </c>
      <c r="H162" s="247" t="s">
        <v>239</v>
      </c>
      <c r="I162" s="248" t="s">
        <v>105</v>
      </c>
      <c r="J162" s="300" t="s">
        <v>106</v>
      </c>
      <c r="K162" s="301">
        <v>231.84</v>
      </c>
      <c r="L162" s="302">
        <v>321075.0</v>
      </c>
      <c r="M162" s="303">
        <v>34.78</v>
      </c>
      <c r="N162" s="250">
        <v>48166.0</v>
      </c>
      <c r="O162" s="249">
        <v>0.0</v>
      </c>
      <c r="P162" s="250">
        <v>0.0</v>
      </c>
      <c r="Q162" s="251">
        <f t="shared" ref="Q162:R162" si="556">M162-O162</f>
        <v>34.78</v>
      </c>
      <c r="R162" s="252">
        <f t="shared" si="556"/>
        <v>48166</v>
      </c>
      <c r="S162" s="253">
        <v>1384.9</v>
      </c>
      <c r="T162" s="254">
        <v>15.0</v>
      </c>
      <c r="U162" s="255" t="s">
        <v>107</v>
      </c>
      <c r="V162" s="255"/>
      <c r="W162" s="304">
        <v>0.1003</v>
      </c>
      <c r="X162" s="304">
        <v>0.032293</v>
      </c>
      <c r="Y162" s="304">
        <v>0.068007</v>
      </c>
      <c r="Z162" s="305">
        <f>IFERROR(ROUND(K162/W162,0),0)</f>
        <v>2311</v>
      </c>
      <c r="AA162" s="306">
        <f t="shared" ref="AA162:AA163" si="558">Z162*W162</f>
        <v>231.7933</v>
      </c>
      <c r="AB162" s="307">
        <f t="shared" ref="AB162:AB163" si="559">ROUND(AA162*S162,0)</f>
        <v>321011</v>
      </c>
      <c r="AC162" s="308">
        <f t="shared" ref="AC162:AC163" si="560">AA162</f>
        <v>231.7933</v>
      </c>
      <c r="AD162" s="309">
        <f t="shared" si="522"/>
        <v>321011</v>
      </c>
      <c r="AE162" s="310">
        <f t="shared" si="523"/>
        <v>157.16</v>
      </c>
      <c r="AF162" s="252">
        <f t="shared" si="524"/>
        <v>217651</v>
      </c>
      <c r="AG162" s="306">
        <f t="shared" ref="AG162:AG163" si="561">ROUND(AC162*0.15,2)</f>
        <v>34.77</v>
      </c>
      <c r="AH162" s="252">
        <f t="shared" ref="AH162:AH163" si="562">ROUND(AD162*0.15,0)</f>
        <v>48152</v>
      </c>
      <c r="AI162" s="311"/>
      <c r="AJ162" s="311"/>
      <c r="AK162" s="311"/>
      <c r="AL162" s="311"/>
      <c r="AM162" s="312"/>
      <c r="AN162" s="313"/>
    </row>
    <row r="163" ht="12.75" customHeight="1">
      <c r="A163" s="245" t="s">
        <v>652</v>
      </c>
      <c r="B163" s="246" t="s">
        <v>118</v>
      </c>
      <c r="C163" s="247" t="s">
        <v>119</v>
      </c>
      <c r="D163" s="247" t="s">
        <v>108</v>
      </c>
      <c r="E163" s="247" t="s">
        <v>242</v>
      </c>
      <c r="F163" s="248"/>
      <c r="G163" s="247" t="s">
        <v>103</v>
      </c>
      <c r="H163" s="247" t="s">
        <v>239</v>
      </c>
      <c r="I163" s="248" t="s">
        <v>105</v>
      </c>
      <c r="J163" s="300" t="s">
        <v>106</v>
      </c>
      <c r="K163" s="314">
        <f t="shared" ref="K163:R163" si="557">-K162</f>
        <v>-231.84</v>
      </c>
      <c r="L163" s="309">
        <f t="shared" si="557"/>
        <v>-321075</v>
      </c>
      <c r="M163" s="315">
        <f t="shared" si="557"/>
        <v>-34.78</v>
      </c>
      <c r="N163" s="252">
        <f t="shared" si="557"/>
        <v>-48166</v>
      </c>
      <c r="O163" s="251">
        <f t="shared" si="557"/>
        <v>0</v>
      </c>
      <c r="P163" s="252">
        <f t="shared" si="557"/>
        <v>0</v>
      </c>
      <c r="Q163" s="251">
        <f t="shared" si="557"/>
        <v>-34.78</v>
      </c>
      <c r="R163" s="252">
        <f t="shared" si="557"/>
        <v>-48166</v>
      </c>
      <c r="S163" s="253">
        <v>1384.9</v>
      </c>
      <c r="T163" s="254">
        <v>15.0</v>
      </c>
      <c r="U163" s="255" t="s">
        <v>107</v>
      </c>
      <c r="V163" s="255"/>
      <c r="W163" s="304">
        <v>0.1003</v>
      </c>
      <c r="X163" s="304">
        <v>0.032293</v>
      </c>
      <c r="Y163" s="304">
        <v>0.068007</v>
      </c>
      <c r="Z163" s="305">
        <f>-Z162</f>
        <v>-2311</v>
      </c>
      <c r="AA163" s="306">
        <f t="shared" si="558"/>
        <v>-231.7933</v>
      </c>
      <c r="AB163" s="307">
        <f t="shared" si="559"/>
        <v>-321011</v>
      </c>
      <c r="AC163" s="308">
        <f t="shared" si="560"/>
        <v>-231.7933</v>
      </c>
      <c r="AD163" s="309">
        <f t="shared" si="522"/>
        <v>-321011</v>
      </c>
      <c r="AE163" s="310">
        <f t="shared" si="523"/>
        <v>-157.16</v>
      </c>
      <c r="AF163" s="252">
        <f t="shared" si="524"/>
        <v>-217651</v>
      </c>
      <c r="AG163" s="306">
        <f t="shared" si="561"/>
        <v>-34.77</v>
      </c>
      <c r="AH163" s="252">
        <f t="shared" si="562"/>
        <v>-48152</v>
      </c>
      <c r="AI163" s="311"/>
      <c r="AJ163" s="311"/>
      <c r="AK163" s="311"/>
      <c r="AL163" s="311"/>
      <c r="AM163" s="312"/>
      <c r="AN163" s="313"/>
    </row>
    <row r="164" ht="12.75" customHeight="1">
      <c r="A164" s="256" t="s">
        <v>653</v>
      </c>
      <c r="B164" s="257" t="s">
        <v>118</v>
      </c>
      <c r="C164" s="258" t="s">
        <v>119</v>
      </c>
      <c r="D164" s="258" t="s">
        <v>108</v>
      </c>
      <c r="E164" s="258" t="s">
        <v>242</v>
      </c>
      <c r="F164" s="259"/>
      <c r="G164" s="258" t="s">
        <v>103</v>
      </c>
      <c r="H164" s="258" t="s">
        <v>239</v>
      </c>
      <c r="I164" s="259" t="s">
        <v>105</v>
      </c>
      <c r="J164" s="316" t="s">
        <v>106</v>
      </c>
      <c r="K164" s="317">
        <f>ROUND(M164/0.15,2)</f>
        <v>74.67</v>
      </c>
      <c r="L164" s="318">
        <f>ROUND(N164/0.15,0)</f>
        <v>103400</v>
      </c>
      <c r="M164" s="319">
        <f t="shared" ref="M164:N164" si="563">Q164</f>
        <v>11.2</v>
      </c>
      <c r="N164" s="261">
        <f t="shared" si="563"/>
        <v>15510</v>
      </c>
      <c r="O164" s="262">
        <v>23.58</v>
      </c>
      <c r="P164" s="263">
        <v>32656.0</v>
      </c>
      <c r="Q164" s="260">
        <f t="shared" ref="Q164:R164" si="564">M162-O164</f>
        <v>11.2</v>
      </c>
      <c r="R164" s="261">
        <f t="shared" si="564"/>
        <v>15510</v>
      </c>
      <c r="S164" s="264">
        <v>1384.9</v>
      </c>
      <c r="T164" s="265">
        <v>15.0</v>
      </c>
      <c r="U164" s="266" t="s">
        <v>107</v>
      </c>
      <c r="V164" s="266" t="s">
        <v>1037</v>
      </c>
      <c r="W164" s="320">
        <v>0.1003</v>
      </c>
      <c r="X164" s="320">
        <v>0.032293</v>
      </c>
      <c r="Y164" s="320">
        <v>0.068007</v>
      </c>
      <c r="Z164" s="321">
        <f>Z162</f>
        <v>2311</v>
      </c>
      <c r="AA164" s="311"/>
      <c r="AB164" s="322"/>
      <c r="AC164" s="323">
        <f>IFERROR(ROUND(Z164*X164,2),0)</f>
        <v>74.63</v>
      </c>
      <c r="AD164" s="318">
        <f t="shared" si="522"/>
        <v>103355</v>
      </c>
      <c r="AE164" s="324">
        <f t="shared" si="523"/>
        <v>157.16</v>
      </c>
      <c r="AF164" s="261">
        <f t="shared" si="524"/>
        <v>217651</v>
      </c>
      <c r="AG164" s="311"/>
      <c r="AH164" s="311"/>
      <c r="AI164" s="325">
        <f>ROUND(AC164*0.15,2)</f>
        <v>11.19</v>
      </c>
      <c r="AJ164" s="261">
        <f>ROUND(AD164*0.15,0)</f>
        <v>15503</v>
      </c>
      <c r="AK164" s="325">
        <f>ROUND(AE164*0.15,2)</f>
        <v>23.57</v>
      </c>
      <c r="AL164" s="261">
        <f>ROUND(AF164*0.15,0)</f>
        <v>32648</v>
      </c>
      <c r="AM164" s="326">
        <f>IFERROR(AC164/K164,IFERROR(AK164/O164,""))</f>
        <v>0.9994643096</v>
      </c>
      <c r="AN164" s="313"/>
    </row>
    <row r="165" ht="12.75" customHeight="1">
      <c r="A165" s="245" t="s">
        <v>655</v>
      </c>
      <c r="B165" s="246" t="s">
        <v>118</v>
      </c>
      <c r="C165" s="247" t="s">
        <v>119</v>
      </c>
      <c r="D165" s="247" t="s">
        <v>108</v>
      </c>
      <c r="E165" s="247" t="s">
        <v>242</v>
      </c>
      <c r="F165" s="248"/>
      <c r="G165" s="247" t="s">
        <v>135</v>
      </c>
      <c r="H165" s="247" t="s">
        <v>172</v>
      </c>
      <c r="I165" s="248" t="s">
        <v>105</v>
      </c>
      <c r="J165" s="300" t="s">
        <v>106</v>
      </c>
      <c r="K165" s="301">
        <v>1183.5</v>
      </c>
      <c r="L165" s="302">
        <v>1639029.0</v>
      </c>
      <c r="M165" s="303">
        <v>177.53</v>
      </c>
      <c r="N165" s="250">
        <v>245861.0</v>
      </c>
      <c r="O165" s="249">
        <v>0.0</v>
      </c>
      <c r="P165" s="250">
        <v>0.0</v>
      </c>
      <c r="Q165" s="251">
        <f t="shared" ref="Q165:R165" si="565">M165-O165</f>
        <v>177.53</v>
      </c>
      <c r="R165" s="252">
        <f t="shared" si="565"/>
        <v>245861</v>
      </c>
      <c r="S165" s="253">
        <v>1384.9</v>
      </c>
      <c r="T165" s="254">
        <v>15.0</v>
      </c>
      <c r="U165" s="255" t="s">
        <v>107</v>
      </c>
      <c r="V165" s="255"/>
      <c r="W165" s="304">
        <v>1.1835</v>
      </c>
      <c r="X165" s="304">
        <v>0.0</v>
      </c>
      <c r="Y165" s="304">
        <v>1.1835</v>
      </c>
      <c r="Z165" s="305">
        <f>IFERROR(ROUND(K165/W165,0),0)</f>
        <v>1000</v>
      </c>
      <c r="AA165" s="306">
        <f t="shared" ref="AA165:AA166" si="567">Z165*W165</f>
        <v>1183.5</v>
      </c>
      <c r="AB165" s="307">
        <f t="shared" ref="AB165:AB166" si="568">ROUND(AA165*S165,0)</f>
        <v>1639029</v>
      </c>
      <c r="AC165" s="308">
        <f t="shared" ref="AC165:AC166" si="569">AA165</f>
        <v>1183.5</v>
      </c>
      <c r="AD165" s="309">
        <f t="shared" si="522"/>
        <v>1639029</v>
      </c>
      <c r="AE165" s="310">
        <f t="shared" si="523"/>
        <v>1183.5</v>
      </c>
      <c r="AF165" s="252">
        <f t="shared" si="524"/>
        <v>1639029</v>
      </c>
      <c r="AG165" s="306">
        <f t="shared" ref="AG165:AG166" si="570">ROUND(AC165*0.15,2)</f>
        <v>177.53</v>
      </c>
      <c r="AH165" s="252">
        <f t="shared" ref="AH165:AH166" si="571">ROUND(AD165*0.15,0)</f>
        <v>245854</v>
      </c>
      <c r="AI165" s="311"/>
      <c r="AJ165" s="311"/>
      <c r="AK165" s="311"/>
      <c r="AL165" s="311"/>
      <c r="AM165" s="312"/>
      <c r="AN165" s="313"/>
    </row>
    <row r="166" ht="12.75" customHeight="1">
      <c r="A166" s="245" t="s">
        <v>656</v>
      </c>
      <c r="B166" s="246" t="s">
        <v>118</v>
      </c>
      <c r="C166" s="247" t="s">
        <v>119</v>
      </c>
      <c r="D166" s="247" t="s">
        <v>108</v>
      </c>
      <c r="E166" s="247" t="s">
        <v>242</v>
      </c>
      <c r="F166" s="248"/>
      <c r="G166" s="247" t="s">
        <v>135</v>
      </c>
      <c r="H166" s="247" t="s">
        <v>172</v>
      </c>
      <c r="I166" s="248" t="s">
        <v>105</v>
      </c>
      <c r="J166" s="300" t="s">
        <v>106</v>
      </c>
      <c r="K166" s="314">
        <f t="shared" ref="K166:R166" si="566">-K165</f>
        <v>-1183.5</v>
      </c>
      <c r="L166" s="309">
        <f t="shared" si="566"/>
        <v>-1639029</v>
      </c>
      <c r="M166" s="315">
        <f t="shared" si="566"/>
        <v>-177.53</v>
      </c>
      <c r="N166" s="252">
        <f t="shared" si="566"/>
        <v>-245861</v>
      </c>
      <c r="O166" s="251">
        <f t="shared" si="566"/>
        <v>0</v>
      </c>
      <c r="P166" s="252">
        <f t="shared" si="566"/>
        <v>0</v>
      </c>
      <c r="Q166" s="251">
        <f t="shared" si="566"/>
        <v>-177.53</v>
      </c>
      <c r="R166" s="252">
        <f t="shared" si="566"/>
        <v>-245861</v>
      </c>
      <c r="S166" s="253">
        <v>1384.9</v>
      </c>
      <c r="T166" s="254">
        <v>15.0</v>
      </c>
      <c r="U166" s="255" t="s">
        <v>107</v>
      </c>
      <c r="V166" s="255"/>
      <c r="W166" s="304">
        <v>1.1835</v>
      </c>
      <c r="X166" s="304">
        <v>0.0</v>
      </c>
      <c r="Y166" s="304">
        <v>1.1835</v>
      </c>
      <c r="Z166" s="305">
        <f>-Z165</f>
        <v>-1000</v>
      </c>
      <c r="AA166" s="306">
        <f t="shared" si="567"/>
        <v>-1183.5</v>
      </c>
      <c r="AB166" s="307">
        <f t="shared" si="568"/>
        <v>-1639029</v>
      </c>
      <c r="AC166" s="308">
        <f t="shared" si="569"/>
        <v>-1183.5</v>
      </c>
      <c r="AD166" s="309">
        <f t="shared" si="522"/>
        <v>-1639029</v>
      </c>
      <c r="AE166" s="310">
        <f t="shared" si="523"/>
        <v>-1183.5</v>
      </c>
      <c r="AF166" s="252">
        <f t="shared" si="524"/>
        <v>-1639029</v>
      </c>
      <c r="AG166" s="306">
        <f t="shared" si="570"/>
        <v>-177.53</v>
      </c>
      <c r="AH166" s="252">
        <f t="shared" si="571"/>
        <v>-245854</v>
      </c>
      <c r="AI166" s="311"/>
      <c r="AJ166" s="311"/>
      <c r="AK166" s="311"/>
      <c r="AL166" s="311"/>
      <c r="AM166" s="312"/>
      <c r="AN166" s="313"/>
    </row>
    <row r="167" ht="12.75" customHeight="1">
      <c r="A167" s="256" t="s">
        <v>657</v>
      </c>
      <c r="B167" s="257" t="s">
        <v>118</v>
      </c>
      <c r="C167" s="258" t="s">
        <v>119</v>
      </c>
      <c r="D167" s="258" t="s">
        <v>108</v>
      </c>
      <c r="E167" s="258" t="s">
        <v>242</v>
      </c>
      <c r="F167" s="259"/>
      <c r="G167" s="258" t="s">
        <v>135</v>
      </c>
      <c r="H167" s="258" t="s">
        <v>172</v>
      </c>
      <c r="I167" s="259" t="s">
        <v>105</v>
      </c>
      <c r="J167" s="316" t="s">
        <v>106</v>
      </c>
      <c r="K167" s="317">
        <f>ROUND(M167/0.15,2)</f>
        <v>0</v>
      </c>
      <c r="L167" s="318">
        <f>ROUND(N167/0.15,0)</f>
        <v>0</v>
      </c>
      <c r="M167" s="319">
        <f t="shared" ref="M167:N167" si="572">Q167</f>
        <v>0</v>
      </c>
      <c r="N167" s="261">
        <f t="shared" si="572"/>
        <v>0</v>
      </c>
      <c r="O167" s="262">
        <v>177.53</v>
      </c>
      <c r="P167" s="263">
        <v>245861.0</v>
      </c>
      <c r="Q167" s="260">
        <f t="shared" ref="Q167:R167" si="573">M165-O167</f>
        <v>0</v>
      </c>
      <c r="R167" s="261">
        <f t="shared" si="573"/>
        <v>0</v>
      </c>
      <c r="S167" s="264">
        <v>1384.9</v>
      </c>
      <c r="T167" s="265">
        <v>15.0</v>
      </c>
      <c r="U167" s="266" t="s">
        <v>107</v>
      </c>
      <c r="V167" s="266" t="s">
        <v>1038</v>
      </c>
      <c r="W167" s="320">
        <v>1.1835</v>
      </c>
      <c r="X167" s="320">
        <v>0.0</v>
      </c>
      <c r="Y167" s="320">
        <v>1.1835</v>
      </c>
      <c r="Z167" s="321">
        <f>Z165</f>
        <v>1000</v>
      </c>
      <c r="AA167" s="311"/>
      <c r="AB167" s="322"/>
      <c r="AC167" s="323">
        <f>IFERROR(ROUND(Z167*X167,2),0)</f>
        <v>0</v>
      </c>
      <c r="AD167" s="318">
        <f t="shared" si="522"/>
        <v>0</v>
      </c>
      <c r="AE167" s="324">
        <f t="shared" si="523"/>
        <v>1183.5</v>
      </c>
      <c r="AF167" s="261">
        <f t="shared" si="524"/>
        <v>1639029</v>
      </c>
      <c r="AG167" s="311"/>
      <c r="AH167" s="311"/>
      <c r="AI167" s="325">
        <f>ROUND(AC167*0.15,2)</f>
        <v>0</v>
      </c>
      <c r="AJ167" s="261">
        <f>ROUND(AD167*0.15,0)</f>
        <v>0</v>
      </c>
      <c r="AK167" s="325">
        <f>ROUND(AE167*0.15,2)</f>
        <v>177.53</v>
      </c>
      <c r="AL167" s="261">
        <f>ROUND(AF167*0.15,0)</f>
        <v>245854</v>
      </c>
      <c r="AM167" s="326">
        <f>IFERROR(AC167/K167,IFERROR(AK167/O167,""))</f>
        <v>1</v>
      </c>
      <c r="AN167" s="313"/>
    </row>
    <row r="168" ht="12.75" customHeight="1">
      <c r="A168" s="245" t="s">
        <v>659</v>
      </c>
      <c r="B168" s="246" t="s">
        <v>118</v>
      </c>
      <c r="C168" s="247" t="s">
        <v>119</v>
      </c>
      <c r="D168" s="247" t="s">
        <v>110</v>
      </c>
      <c r="E168" s="247" t="s">
        <v>243</v>
      </c>
      <c r="F168" s="248"/>
      <c r="G168" s="247" t="s">
        <v>103</v>
      </c>
      <c r="H168" s="247" t="s">
        <v>239</v>
      </c>
      <c r="I168" s="248" t="s">
        <v>105</v>
      </c>
      <c r="J168" s="300" t="s">
        <v>106</v>
      </c>
      <c r="K168" s="301">
        <v>230.69</v>
      </c>
      <c r="L168" s="302">
        <v>319736.0</v>
      </c>
      <c r="M168" s="303">
        <v>34.6</v>
      </c>
      <c r="N168" s="250">
        <v>47955.0</v>
      </c>
      <c r="O168" s="249">
        <v>0.0</v>
      </c>
      <c r="P168" s="250">
        <v>0.0</v>
      </c>
      <c r="Q168" s="251">
        <f t="shared" ref="Q168:R168" si="574">M168-O168</f>
        <v>34.6</v>
      </c>
      <c r="R168" s="252">
        <f t="shared" si="574"/>
        <v>47955</v>
      </c>
      <c r="S168" s="253">
        <v>1386.0</v>
      </c>
      <c r="T168" s="254">
        <v>15.0</v>
      </c>
      <c r="U168" s="255" t="s">
        <v>107</v>
      </c>
      <c r="V168" s="255"/>
      <c r="W168" s="304">
        <v>0.1003</v>
      </c>
      <c r="X168" s="304">
        <v>0.032293</v>
      </c>
      <c r="Y168" s="304">
        <v>0.068007</v>
      </c>
      <c r="Z168" s="305">
        <f>IFERROR(ROUND(K168/W168,0),0)</f>
        <v>2300</v>
      </c>
      <c r="AA168" s="306">
        <f t="shared" ref="AA168:AA169" si="576">Z168*W168</f>
        <v>230.69</v>
      </c>
      <c r="AB168" s="307">
        <f t="shared" ref="AB168:AB169" si="577">ROUND(AA168*S168,0)</f>
        <v>319736</v>
      </c>
      <c r="AC168" s="308">
        <f t="shared" ref="AC168:AC169" si="578">AA168</f>
        <v>230.69</v>
      </c>
      <c r="AD168" s="309">
        <f t="shared" si="522"/>
        <v>319736</v>
      </c>
      <c r="AE168" s="310">
        <f t="shared" si="523"/>
        <v>156.42</v>
      </c>
      <c r="AF168" s="252">
        <f t="shared" si="524"/>
        <v>216798</v>
      </c>
      <c r="AG168" s="306">
        <f t="shared" ref="AG168:AG169" si="579">ROUND(AC168*0.15,2)</f>
        <v>34.6</v>
      </c>
      <c r="AH168" s="252">
        <f t="shared" ref="AH168:AH169" si="580">ROUND(AD168*0.15,0)</f>
        <v>47960</v>
      </c>
      <c r="AI168" s="311"/>
      <c r="AJ168" s="311"/>
      <c r="AK168" s="311"/>
      <c r="AL168" s="311"/>
      <c r="AM168" s="312"/>
      <c r="AN168" s="313"/>
    </row>
    <row r="169" ht="12.75" customHeight="1">
      <c r="A169" s="245" t="s">
        <v>660</v>
      </c>
      <c r="B169" s="246" t="s">
        <v>118</v>
      </c>
      <c r="C169" s="247" t="s">
        <v>119</v>
      </c>
      <c r="D169" s="247" t="s">
        <v>110</v>
      </c>
      <c r="E169" s="247" t="s">
        <v>243</v>
      </c>
      <c r="F169" s="248"/>
      <c r="G169" s="247" t="s">
        <v>103</v>
      </c>
      <c r="H169" s="247" t="s">
        <v>239</v>
      </c>
      <c r="I169" s="248" t="s">
        <v>105</v>
      </c>
      <c r="J169" s="300" t="s">
        <v>106</v>
      </c>
      <c r="K169" s="314">
        <f t="shared" ref="K169:R169" si="575">-K168</f>
        <v>-230.69</v>
      </c>
      <c r="L169" s="309">
        <f t="shared" si="575"/>
        <v>-319736</v>
      </c>
      <c r="M169" s="315">
        <f t="shared" si="575"/>
        <v>-34.6</v>
      </c>
      <c r="N169" s="252">
        <f t="shared" si="575"/>
        <v>-47955</v>
      </c>
      <c r="O169" s="251">
        <f t="shared" si="575"/>
        <v>0</v>
      </c>
      <c r="P169" s="252">
        <f t="shared" si="575"/>
        <v>0</v>
      </c>
      <c r="Q169" s="251">
        <f t="shared" si="575"/>
        <v>-34.6</v>
      </c>
      <c r="R169" s="252">
        <f t="shared" si="575"/>
        <v>-47955</v>
      </c>
      <c r="S169" s="253">
        <v>1386.0</v>
      </c>
      <c r="T169" s="254">
        <v>15.0</v>
      </c>
      <c r="U169" s="255" t="s">
        <v>107</v>
      </c>
      <c r="V169" s="255"/>
      <c r="W169" s="304">
        <v>0.1003</v>
      </c>
      <c r="X169" s="304">
        <v>0.032293</v>
      </c>
      <c r="Y169" s="304">
        <v>0.068007</v>
      </c>
      <c r="Z169" s="305">
        <f>-Z168</f>
        <v>-2300</v>
      </c>
      <c r="AA169" s="306">
        <f t="shared" si="576"/>
        <v>-230.69</v>
      </c>
      <c r="AB169" s="307">
        <f t="shared" si="577"/>
        <v>-319736</v>
      </c>
      <c r="AC169" s="308">
        <f t="shared" si="578"/>
        <v>-230.69</v>
      </c>
      <c r="AD169" s="309">
        <f t="shared" si="522"/>
        <v>-319736</v>
      </c>
      <c r="AE169" s="310">
        <f t="shared" si="523"/>
        <v>-156.42</v>
      </c>
      <c r="AF169" s="252">
        <f t="shared" si="524"/>
        <v>-216798</v>
      </c>
      <c r="AG169" s="306">
        <f t="shared" si="579"/>
        <v>-34.6</v>
      </c>
      <c r="AH169" s="252">
        <f t="shared" si="580"/>
        <v>-47960</v>
      </c>
      <c r="AI169" s="311"/>
      <c r="AJ169" s="311"/>
      <c r="AK169" s="311"/>
      <c r="AL169" s="311"/>
      <c r="AM169" s="312"/>
      <c r="AN169" s="313"/>
    </row>
    <row r="170" ht="12.75" customHeight="1">
      <c r="A170" s="256" t="s">
        <v>661</v>
      </c>
      <c r="B170" s="257" t="s">
        <v>118</v>
      </c>
      <c r="C170" s="258" t="s">
        <v>119</v>
      </c>
      <c r="D170" s="258" t="s">
        <v>110</v>
      </c>
      <c r="E170" s="258" t="s">
        <v>243</v>
      </c>
      <c r="F170" s="259"/>
      <c r="G170" s="258" t="s">
        <v>103</v>
      </c>
      <c r="H170" s="258" t="s">
        <v>239</v>
      </c>
      <c r="I170" s="259" t="s">
        <v>105</v>
      </c>
      <c r="J170" s="316" t="s">
        <v>106</v>
      </c>
      <c r="K170" s="317">
        <f>ROUND(M170/0.15,2)</f>
        <v>74.2</v>
      </c>
      <c r="L170" s="318">
        <f>ROUND(N170/0.15,0)</f>
        <v>102840</v>
      </c>
      <c r="M170" s="319">
        <f t="shared" ref="M170:N170" si="581">Q170</f>
        <v>11.13</v>
      </c>
      <c r="N170" s="261">
        <f t="shared" si="581"/>
        <v>15426</v>
      </c>
      <c r="O170" s="262">
        <v>23.47</v>
      </c>
      <c r="P170" s="263">
        <v>32529.0</v>
      </c>
      <c r="Q170" s="260">
        <f t="shared" ref="Q170:R170" si="582">M168-O170</f>
        <v>11.13</v>
      </c>
      <c r="R170" s="261">
        <f t="shared" si="582"/>
        <v>15426</v>
      </c>
      <c r="S170" s="264">
        <v>1386.0</v>
      </c>
      <c r="T170" s="265">
        <v>15.0</v>
      </c>
      <c r="U170" s="266" t="s">
        <v>107</v>
      </c>
      <c r="V170" s="266" t="s">
        <v>1039</v>
      </c>
      <c r="W170" s="320">
        <v>0.1003</v>
      </c>
      <c r="X170" s="320">
        <v>0.032293</v>
      </c>
      <c r="Y170" s="320">
        <v>0.068007</v>
      </c>
      <c r="Z170" s="321">
        <f>Z168</f>
        <v>2300</v>
      </c>
      <c r="AA170" s="311"/>
      <c r="AB170" s="322"/>
      <c r="AC170" s="323">
        <f>IFERROR(ROUND(Z170*X170,2),0)</f>
        <v>74.27</v>
      </c>
      <c r="AD170" s="318">
        <f t="shared" si="522"/>
        <v>102938</v>
      </c>
      <c r="AE170" s="324">
        <f t="shared" si="523"/>
        <v>156.42</v>
      </c>
      <c r="AF170" s="261">
        <f t="shared" si="524"/>
        <v>216798</v>
      </c>
      <c r="AG170" s="311"/>
      <c r="AH170" s="311"/>
      <c r="AI170" s="325">
        <f>ROUND(AC170*0.15,2)</f>
        <v>11.14</v>
      </c>
      <c r="AJ170" s="261">
        <f>ROUND(AD170*0.15,0)</f>
        <v>15441</v>
      </c>
      <c r="AK170" s="325">
        <f>ROUND(AE170*0.15,2)</f>
        <v>23.46</v>
      </c>
      <c r="AL170" s="261">
        <f>ROUND(AF170*0.15,0)</f>
        <v>32520</v>
      </c>
      <c r="AM170" s="326">
        <f>IFERROR(AC170/K170,IFERROR(AK170/O170,""))</f>
        <v>1.000943396</v>
      </c>
      <c r="AN170" s="313"/>
    </row>
    <row r="171" ht="12.75" customHeight="1">
      <c r="A171" s="245" t="s">
        <v>663</v>
      </c>
      <c r="B171" s="246" t="s">
        <v>118</v>
      </c>
      <c r="C171" s="247" t="s">
        <v>119</v>
      </c>
      <c r="D171" s="247" t="s">
        <v>110</v>
      </c>
      <c r="E171" s="247" t="s">
        <v>243</v>
      </c>
      <c r="F171" s="248"/>
      <c r="G171" s="247" t="s">
        <v>139</v>
      </c>
      <c r="H171" s="247" t="s">
        <v>180</v>
      </c>
      <c r="I171" s="248" t="s">
        <v>105</v>
      </c>
      <c r="J171" s="300" t="s">
        <v>106</v>
      </c>
      <c r="K171" s="301">
        <v>300.5</v>
      </c>
      <c r="L171" s="302">
        <v>416493.0</v>
      </c>
      <c r="M171" s="303">
        <v>45.07</v>
      </c>
      <c r="N171" s="250">
        <v>62467.0</v>
      </c>
      <c r="O171" s="249">
        <v>0.0</v>
      </c>
      <c r="P171" s="250">
        <v>0.0</v>
      </c>
      <c r="Q171" s="251">
        <f t="shared" ref="Q171:R171" si="583">M171-O171</f>
        <v>45.07</v>
      </c>
      <c r="R171" s="252">
        <f t="shared" si="583"/>
        <v>62467</v>
      </c>
      <c r="S171" s="253">
        <v>1386.0</v>
      </c>
      <c r="T171" s="254">
        <v>15.0</v>
      </c>
      <c r="U171" s="255" t="s">
        <v>107</v>
      </c>
      <c r="V171" s="255"/>
      <c r="W171" s="304">
        <v>0.3005</v>
      </c>
      <c r="X171" s="304">
        <v>0.081227</v>
      </c>
      <c r="Y171" s="304">
        <v>0.219273</v>
      </c>
      <c r="Z171" s="305">
        <f>IFERROR(ROUND(K171/W171,0),0)</f>
        <v>1000</v>
      </c>
      <c r="AA171" s="306">
        <f t="shared" ref="AA171:AA172" si="585">Z171*W171</f>
        <v>300.5</v>
      </c>
      <c r="AB171" s="307">
        <f t="shared" ref="AB171:AB172" si="586">ROUND(AA171*S171,0)</f>
        <v>416493</v>
      </c>
      <c r="AC171" s="308">
        <f t="shared" ref="AC171:AC172" si="587">AA171</f>
        <v>300.5</v>
      </c>
      <c r="AD171" s="309">
        <f t="shared" si="522"/>
        <v>416493</v>
      </c>
      <c r="AE171" s="310">
        <f t="shared" si="523"/>
        <v>219.27</v>
      </c>
      <c r="AF171" s="252">
        <f t="shared" si="524"/>
        <v>303908</v>
      </c>
      <c r="AG171" s="306">
        <f t="shared" ref="AG171:AG172" si="588">ROUND(AC171*0.15,2)</f>
        <v>45.08</v>
      </c>
      <c r="AH171" s="252">
        <f t="shared" ref="AH171:AH172" si="589">ROUND(AD171*0.15,0)</f>
        <v>62474</v>
      </c>
      <c r="AI171" s="311"/>
      <c r="AJ171" s="311"/>
      <c r="AK171" s="311"/>
      <c r="AL171" s="311"/>
      <c r="AM171" s="312"/>
      <c r="AN171" s="313"/>
    </row>
    <row r="172" ht="12.75" customHeight="1">
      <c r="A172" s="245" t="s">
        <v>664</v>
      </c>
      <c r="B172" s="246" t="s">
        <v>118</v>
      </c>
      <c r="C172" s="247" t="s">
        <v>119</v>
      </c>
      <c r="D172" s="247" t="s">
        <v>110</v>
      </c>
      <c r="E172" s="247" t="s">
        <v>243</v>
      </c>
      <c r="F172" s="248"/>
      <c r="G172" s="247" t="s">
        <v>139</v>
      </c>
      <c r="H172" s="247" t="s">
        <v>180</v>
      </c>
      <c r="I172" s="248" t="s">
        <v>105</v>
      </c>
      <c r="J172" s="300" t="s">
        <v>106</v>
      </c>
      <c r="K172" s="314">
        <f t="shared" ref="K172:R172" si="584">-K171</f>
        <v>-300.5</v>
      </c>
      <c r="L172" s="309">
        <f t="shared" si="584"/>
        <v>-416493</v>
      </c>
      <c r="M172" s="315">
        <f t="shared" si="584"/>
        <v>-45.07</v>
      </c>
      <c r="N172" s="252">
        <f t="shared" si="584"/>
        <v>-62467</v>
      </c>
      <c r="O172" s="251">
        <f t="shared" si="584"/>
        <v>0</v>
      </c>
      <c r="P172" s="252">
        <f t="shared" si="584"/>
        <v>0</v>
      </c>
      <c r="Q172" s="251">
        <f t="shared" si="584"/>
        <v>-45.07</v>
      </c>
      <c r="R172" s="252">
        <f t="shared" si="584"/>
        <v>-62467</v>
      </c>
      <c r="S172" s="253">
        <v>1386.0</v>
      </c>
      <c r="T172" s="254">
        <v>15.0</v>
      </c>
      <c r="U172" s="255" t="s">
        <v>107</v>
      </c>
      <c r="V172" s="255"/>
      <c r="W172" s="304">
        <v>0.3005</v>
      </c>
      <c r="X172" s="304">
        <v>0.081227</v>
      </c>
      <c r="Y172" s="304">
        <v>0.219273</v>
      </c>
      <c r="Z172" s="305">
        <f>-Z171</f>
        <v>-1000</v>
      </c>
      <c r="AA172" s="306">
        <f t="shared" si="585"/>
        <v>-300.5</v>
      </c>
      <c r="AB172" s="307">
        <f t="shared" si="586"/>
        <v>-416493</v>
      </c>
      <c r="AC172" s="308">
        <f t="shared" si="587"/>
        <v>-300.5</v>
      </c>
      <c r="AD172" s="309">
        <f t="shared" si="522"/>
        <v>-416493</v>
      </c>
      <c r="AE172" s="310">
        <f t="shared" si="523"/>
        <v>-219.27</v>
      </c>
      <c r="AF172" s="252">
        <f t="shared" si="524"/>
        <v>-303908</v>
      </c>
      <c r="AG172" s="306">
        <f t="shared" si="588"/>
        <v>-45.08</v>
      </c>
      <c r="AH172" s="252">
        <f t="shared" si="589"/>
        <v>-62474</v>
      </c>
      <c r="AI172" s="311"/>
      <c r="AJ172" s="311"/>
      <c r="AK172" s="311"/>
      <c r="AL172" s="311"/>
      <c r="AM172" s="312"/>
      <c r="AN172" s="313"/>
    </row>
    <row r="173" ht="12.75" customHeight="1">
      <c r="A173" s="256" t="s">
        <v>665</v>
      </c>
      <c r="B173" s="257" t="s">
        <v>118</v>
      </c>
      <c r="C173" s="258" t="s">
        <v>119</v>
      </c>
      <c r="D173" s="258" t="s">
        <v>110</v>
      </c>
      <c r="E173" s="258" t="s">
        <v>243</v>
      </c>
      <c r="F173" s="259"/>
      <c r="G173" s="258" t="s">
        <v>139</v>
      </c>
      <c r="H173" s="258" t="s">
        <v>180</v>
      </c>
      <c r="I173" s="259" t="s">
        <v>105</v>
      </c>
      <c r="J173" s="316" t="s">
        <v>106</v>
      </c>
      <c r="K173" s="317">
        <f>ROUND(M173/0.15,2)</f>
        <v>81.13</v>
      </c>
      <c r="L173" s="318">
        <f>ROUND(N173/0.15,0)</f>
        <v>112453</v>
      </c>
      <c r="M173" s="319">
        <f t="shared" ref="M173:N173" si="590">Q173</f>
        <v>12.17</v>
      </c>
      <c r="N173" s="261">
        <f t="shared" si="590"/>
        <v>16868</v>
      </c>
      <c r="O173" s="262">
        <v>32.9</v>
      </c>
      <c r="P173" s="263">
        <v>45599.0</v>
      </c>
      <c r="Q173" s="260">
        <f t="shared" ref="Q173:R173" si="591">M171-O173</f>
        <v>12.17</v>
      </c>
      <c r="R173" s="261">
        <f t="shared" si="591"/>
        <v>16868</v>
      </c>
      <c r="S173" s="264">
        <v>1386.0</v>
      </c>
      <c r="T173" s="265">
        <v>15.0</v>
      </c>
      <c r="U173" s="266" t="s">
        <v>107</v>
      </c>
      <c r="V173" s="266" t="s">
        <v>1040</v>
      </c>
      <c r="W173" s="320">
        <v>0.3005</v>
      </c>
      <c r="X173" s="320">
        <v>0.081227</v>
      </c>
      <c r="Y173" s="320">
        <v>0.219273</v>
      </c>
      <c r="Z173" s="321">
        <f>Z171</f>
        <v>1000</v>
      </c>
      <c r="AA173" s="311"/>
      <c r="AB173" s="322"/>
      <c r="AC173" s="323">
        <f>IFERROR(ROUND(Z173*X173,2),0)</f>
        <v>81.23</v>
      </c>
      <c r="AD173" s="318">
        <f t="shared" si="522"/>
        <v>112585</v>
      </c>
      <c r="AE173" s="324">
        <f t="shared" si="523"/>
        <v>219.27</v>
      </c>
      <c r="AF173" s="261">
        <f t="shared" si="524"/>
        <v>303908</v>
      </c>
      <c r="AG173" s="311"/>
      <c r="AH173" s="311"/>
      <c r="AI173" s="325">
        <f>ROUND(AC173*0.15,2)</f>
        <v>12.18</v>
      </c>
      <c r="AJ173" s="261">
        <f>ROUND(AD173*0.15,0)</f>
        <v>16888</v>
      </c>
      <c r="AK173" s="325">
        <f>ROUND(AE173*0.15,2)</f>
        <v>32.89</v>
      </c>
      <c r="AL173" s="261">
        <f>ROUND(AF173*0.15,0)</f>
        <v>45586</v>
      </c>
      <c r="AM173" s="326">
        <f>IFERROR(AC173/K173,IFERROR(AK173/O173,""))</f>
        <v>1.00123259</v>
      </c>
      <c r="AN173" s="313"/>
    </row>
    <row r="174" ht="12.75" customHeight="1">
      <c r="A174" s="245" t="s">
        <v>667</v>
      </c>
      <c r="B174" s="246" t="s">
        <v>118</v>
      </c>
      <c r="C174" s="247" t="s">
        <v>119</v>
      </c>
      <c r="D174" s="247" t="s">
        <v>112</v>
      </c>
      <c r="E174" s="247" t="s">
        <v>244</v>
      </c>
      <c r="F174" s="248"/>
      <c r="G174" s="247" t="s">
        <v>127</v>
      </c>
      <c r="H174" s="247" t="s">
        <v>186</v>
      </c>
      <c r="I174" s="248" t="s">
        <v>105</v>
      </c>
      <c r="J174" s="300" t="s">
        <v>106</v>
      </c>
      <c r="K174" s="301">
        <v>839.7</v>
      </c>
      <c r="L174" s="302">
        <v>1160633.0</v>
      </c>
      <c r="M174" s="303">
        <v>125.95</v>
      </c>
      <c r="N174" s="250">
        <v>174088.0</v>
      </c>
      <c r="O174" s="249">
        <v>0.0</v>
      </c>
      <c r="P174" s="250">
        <v>0.0</v>
      </c>
      <c r="Q174" s="251">
        <f t="shared" ref="Q174:R174" si="592">M174-O174</f>
        <v>125.95</v>
      </c>
      <c r="R174" s="252">
        <f t="shared" si="592"/>
        <v>174088</v>
      </c>
      <c r="S174" s="253">
        <v>1382.2</v>
      </c>
      <c r="T174" s="254">
        <v>15.0</v>
      </c>
      <c r="U174" s="255" t="s">
        <v>107</v>
      </c>
      <c r="V174" s="255"/>
      <c r="W174" s="304">
        <v>0.8397</v>
      </c>
      <c r="X174" s="304">
        <v>0.397618</v>
      </c>
      <c r="Y174" s="304">
        <v>0.442082</v>
      </c>
      <c r="Z174" s="305">
        <f>IFERROR(ROUND(K174/W174,0),0)</f>
        <v>1000</v>
      </c>
      <c r="AA174" s="306">
        <f t="shared" ref="AA174:AA175" si="594">Z174*W174</f>
        <v>839.7</v>
      </c>
      <c r="AB174" s="307">
        <f t="shared" ref="AB174:AB175" si="595">ROUND(AA174*S174,0)</f>
        <v>1160633</v>
      </c>
      <c r="AC174" s="308">
        <f t="shared" ref="AC174:AC175" si="596">AA174</f>
        <v>839.7</v>
      </c>
      <c r="AD174" s="309">
        <f t="shared" si="522"/>
        <v>1160633</v>
      </c>
      <c r="AE174" s="310">
        <f t="shared" si="523"/>
        <v>442.08</v>
      </c>
      <c r="AF174" s="252">
        <f t="shared" si="524"/>
        <v>611043</v>
      </c>
      <c r="AG174" s="306">
        <f t="shared" ref="AG174:AG175" si="597">ROUND(AC174*0.15,2)</f>
        <v>125.96</v>
      </c>
      <c r="AH174" s="252">
        <f t="shared" ref="AH174:AH175" si="598">ROUND(AD174*0.15,0)</f>
        <v>174095</v>
      </c>
      <c r="AI174" s="311"/>
      <c r="AJ174" s="311"/>
      <c r="AK174" s="311"/>
      <c r="AL174" s="311"/>
      <c r="AM174" s="312"/>
      <c r="AN174" s="313"/>
    </row>
    <row r="175" ht="12.75" customHeight="1">
      <c r="A175" s="245" t="s">
        <v>668</v>
      </c>
      <c r="B175" s="246" t="s">
        <v>118</v>
      </c>
      <c r="C175" s="247" t="s">
        <v>119</v>
      </c>
      <c r="D175" s="247" t="s">
        <v>112</v>
      </c>
      <c r="E175" s="247" t="s">
        <v>244</v>
      </c>
      <c r="F175" s="248"/>
      <c r="G175" s="247" t="s">
        <v>127</v>
      </c>
      <c r="H175" s="247" t="s">
        <v>186</v>
      </c>
      <c r="I175" s="248" t="s">
        <v>105</v>
      </c>
      <c r="J175" s="300" t="s">
        <v>106</v>
      </c>
      <c r="K175" s="314">
        <f t="shared" ref="K175:R175" si="593">-K174</f>
        <v>-839.7</v>
      </c>
      <c r="L175" s="309">
        <f t="shared" si="593"/>
        <v>-1160633</v>
      </c>
      <c r="M175" s="315">
        <f t="shared" si="593"/>
        <v>-125.95</v>
      </c>
      <c r="N175" s="252">
        <f t="shared" si="593"/>
        <v>-174088</v>
      </c>
      <c r="O175" s="251">
        <f t="shared" si="593"/>
        <v>0</v>
      </c>
      <c r="P175" s="252">
        <f t="shared" si="593"/>
        <v>0</v>
      </c>
      <c r="Q175" s="251">
        <f t="shared" si="593"/>
        <v>-125.95</v>
      </c>
      <c r="R175" s="252">
        <f t="shared" si="593"/>
        <v>-174088</v>
      </c>
      <c r="S175" s="253">
        <v>1382.2</v>
      </c>
      <c r="T175" s="254">
        <v>15.0</v>
      </c>
      <c r="U175" s="255" t="s">
        <v>107</v>
      </c>
      <c r="V175" s="255"/>
      <c r="W175" s="304">
        <v>0.8397</v>
      </c>
      <c r="X175" s="304">
        <v>0.397618</v>
      </c>
      <c r="Y175" s="304">
        <v>0.442082</v>
      </c>
      <c r="Z175" s="305">
        <f>-Z174</f>
        <v>-1000</v>
      </c>
      <c r="AA175" s="306">
        <f t="shared" si="594"/>
        <v>-839.7</v>
      </c>
      <c r="AB175" s="307">
        <f t="shared" si="595"/>
        <v>-1160633</v>
      </c>
      <c r="AC175" s="308">
        <f t="shared" si="596"/>
        <v>-839.7</v>
      </c>
      <c r="AD175" s="309">
        <f t="shared" si="522"/>
        <v>-1160633</v>
      </c>
      <c r="AE175" s="310">
        <f t="shared" si="523"/>
        <v>-442.08</v>
      </c>
      <c r="AF175" s="252">
        <f t="shared" si="524"/>
        <v>-611043</v>
      </c>
      <c r="AG175" s="306">
        <f t="shared" si="597"/>
        <v>-125.96</v>
      </c>
      <c r="AH175" s="252">
        <f t="shared" si="598"/>
        <v>-174095</v>
      </c>
      <c r="AI175" s="311"/>
      <c r="AJ175" s="311"/>
      <c r="AK175" s="311"/>
      <c r="AL175" s="311"/>
      <c r="AM175" s="312"/>
      <c r="AN175" s="313"/>
    </row>
    <row r="176" ht="12.75" customHeight="1">
      <c r="A176" s="256" t="s">
        <v>669</v>
      </c>
      <c r="B176" s="257" t="s">
        <v>118</v>
      </c>
      <c r="C176" s="258" t="s">
        <v>119</v>
      </c>
      <c r="D176" s="258" t="s">
        <v>112</v>
      </c>
      <c r="E176" s="258" t="s">
        <v>244</v>
      </c>
      <c r="F176" s="259"/>
      <c r="G176" s="258" t="s">
        <v>127</v>
      </c>
      <c r="H176" s="258" t="s">
        <v>186</v>
      </c>
      <c r="I176" s="259" t="s">
        <v>105</v>
      </c>
      <c r="J176" s="316" t="s">
        <v>106</v>
      </c>
      <c r="K176" s="317">
        <f>ROUND(M176/0.15,2)</f>
        <v>397.53</v>
      </c>
      <c r="L176" s="318">
        <f>ROUND(N176/0.15,0)</f>
        <v>549467</v>
      </c>
      <c r="M176" s="319">
        <f t="shared" ref="M176:N176" si="599">Q176</f>
        <v>59.63</v>
      </c>
      <c r="N176" s="261">
        <f t="shared" si="599"/>
        <v>82420</v>
      </c>
      <c r="O176" s="262">
        <v>66.32</v>
      </c>
      <c r="P176" s="263">
        <v>91668.0</v>
      </c>
      <c r="Q176" s="260">
        <f t="shared" ref="Q176:R176" si="600">M174-O176</f>
        <v>59.63</v>
      </c>
      <c r="R176" s="261">
        <f t="shared" si="600"/>
        <v>82420</v>
      </c>
      <c r="S176" s="264">
        <v>1382.2</v>
      </c>
      <c r="T176" s="265">
        <v>15.0</v>
      </c>
      <c r="U176" s="266" t="s">
        <v>107</v>
      </c>
      <c r="V176" s="266" t="s">
        <v>1041</v>
      </c>
      <c r="W176" s="320">
        <v>0.8397</v>
      </c>
      <c r="X176" s="320">
        <v>0.397618</v>
      </c>
      <c r="Y176" s="320">
        <v>0.442082</v>
      </c>
      <c r="Z176" s="321">
        <f>Z174</f>
        <v>1000</v>
      </c>
      <c r="AA176" s="311"/>
      <c r="AB176" s="322"/>
      <c r="AC176" s="323">
        <f>IFERROR(ROUND(Z176*X176,2),0)</f>
        <v>397.62</v>
      </c>
      <c r="AD176" s="318">
        <f t="shared" si="522"/>
        <v>549590</v>
      </c>
      <c r="AE176" s="324">
        <f t="shared" si="523"/>
        <v>442.08</v>
      </c>
      <c r="AF176" s="261">
        <f t="shared" si="524"/>
        <v>611043</v>
      </c>
      <c r="AG176" s="311"/>
      <c r="AH176" s="311"/>
      <c r="AI176" s="325">
        <f>ROUND(AC176*0.15,2)</f>
        <v>59.64</v>
      </c>
      <c r="AJ176" s="261">
        <f>ROUND(AD176*0.15,0)</f>
        <v>82439</v>
      </c>
      <c r="AK176" s="325">
        <f>ROUND(AE176*0.15,2)</f>
        <v>66.31</v>
      </c>
      <c r="AL176" s="261">
        <f>ROUND(AF176*0.15,0)</f>
        <v>91656</v>
      </c>
      <c r="AM176" s="326">
        <f>IFERROR(AC176/K176,IFERROR(AK176/O176,""))</f>
        <v>1.000226398</v>
      </c>
      <c r="AN176" s="313"/>
    </row>
    <row r="177" ht="12.75" customHeight="1">
      <c r="A177" s="245" t="s">
        <v>671</v>
      </c>
      <c r="B177" s="246" t="s">
        <v>118</v>
      </c>
      <c r="C177" s="247" t="s">
        <v>119</v>
      </c>
      <c r="D177" s="247" t="s">
        <v>112</v>
      </c>
      <c r="E177" s="247" t="s">
        <v>244</v>
      </c>
      <c r="F177" s="248"/>
      <c r="G177" s="247" t="s">
        <v>103</v>
      </c>
      <c r="H177" s="247" t="s">
        <v>239</v>
      </c>
      <c r="I177" s="248" t="s">
        <v>105</v>
      </c>
      <c r="J177" s="300" t="s">
        <v>106</v>
      </c>
      <c r="K177" s="301">
        <v>231.38</v>
      </c>
      <c r="L177" s="302">
        <v>319813.0</v>
      </c>
      <c r="M177" s="303">
        <v>34.71</v>
      </c>
      <c r="N177" s="250">
        <v>47976.0</v>
      </c>
      <c r="O177" s="249">
        <v>0.0</v>
      </c>
      <c r="P177" s="250">
        <v>0.0</v>
      </c>
      <c r="Q177" s="251">
        <f t="shared" ref="Q177:R177" si="601">M177-O177</f>
        <v>34.71</v>
      </c>
      <c r="R177" s="252">
        <f t="shared" si="601"/>
        <v>47976</v>
      </c>
      <c r="S177" s="253">
        <v>1382.2</v>
      </c>
      <c r="T177" s="254">
        <v>15.0</v>
      </c>
      <c r="U177" s="255" t="s">
        <v>107</v>
      </c>
      <c r="V177" s="255"/>
      <c r="W177" s="304">
        <v>0.1006</v>
      </c>
      <c r="X177" s="304">
        <v>0.03239</v>
      </c>
      <c r="Y177" s="304">
        <v>0.06821</v>
      </c>
      <c r="Z177" s="305">
        <f>IFERROR(ROUND(K177/W177,0),0)</f>
        <v>2300</v>
      </c>
      <c r="AA177" s="306">
        <f t="shared" ref="AA177:AA178" si="603">Z177*W177</f>
        <v>231.38</v>
      </c>
      <c r="AB177" s="307">
        <f t="shared" ref="AB177:AB178" si="604">ROUND(AA177*S177,0)</f>
        <v>319813</v>
      </c>
      <c r="AC177" s="308">
        <f t="shared" ref="AC177:AC178" si="605">AA177</f>
        <v>231.38</v>
      </c>
      <c r="AD177" s="309">
        <f t="shared" si="522"/>
        <v>319813</v>
      </c>
      <c r="AE177" s="310">
        <f t="shared" si="523"/>
        <v>156.88</v>
      </c>
      <c r="AF177" s="252">
        <f t="shared" si="524"/>
        <v>216840</v>
      </c>
      <c r="AG177" s="306">
        <f t="shared" ref="AG177:AG178" si="606">ROUND(AC177*0.15,2)</f>
        <v>34.71</v>
      </c>
      <c r="AH177" s="252">
        <f t="shared" ref="AH177:AH178" si="607">ROUND(AD177*0.15,0)</f>
        <v>47972</v>
      </c>
      <c r="AI177" s="311"/>
      <c r="AJ177" s="311"/>
      <c r="AK177" s="311"/>
      <c r="AL177" s="311"/>
      <c r="AM177" s="312"/>
      <c r="AN177" s="313"/>
    </row>
    <row r="178" ht="12.75" customHeight="1">
      <c r="A178" s="245" t="s">
        <v>672</v>
      </c>
      <c r="B178" s="246" t="s">
        <v>118</v>
      </c>
      <c r="C178" s="247" t="s">
        <v>119</v>
      </c>
      <c r="D178" s="247" t="s">
        <v>112</v>
      </c>
      <c r="E178" s="247" t="s">
        <v>244</v>
      </c>
      <c r="F178" s="248"/>
      <c r="G178" s="247" t="s">
        <v>103</v>
      </c>
      <c r="H178" s="247" t="s">
        <v>239</v>
      </c>
      <c r="I178" s="248" t="s">
        <v>105</v>
      </c>
      <c r="J178" s="300" t="s">
        <v>106</v>
      </c>
      <c r="K178" s="314">
        <f t="shared" ref="K178:R178" si="602">-K177</f>
        <v>-231.38</v>
      </c>
      <c r="L178" s="309">
        <f t="shared" si="602"/>
        <v>-319813</v>
      </c>
      <c r="M178" s="315">
        <f t="shared" si="602"/>
        <v>-34.71</v>
      </c>
      <c r="N178" s="252">
        <f t="shared" si="602"/>
        <v>-47976</v>
      </c>
      <c r="O178" s="251">
        <f t="shared" si="602"/>
        <v>0</v>
      </c>
      <c r="P178" s="252">
        <f t="shared" si="602"/>
        <v>0</v>
      </c>
      <c r="Q178" s="251">
        <f t="shared" si="602"/>
        <v>-34.71</v>
      </c>
      <c r="R178" s="252">
        <f t="shared" si="602"/>
        <v>-47976</v>
      </c>
      <c r="S178" s="253">
        <v>1382.2</v>
      </c>
      <c r="T178" s="254">
        <v>15.0</v>
      </c>
      <c r="U178" s="255" t="s">
        <v>107</v>
      </c>
      <c r="V178" s="255"/>
      <c r="W178" s="304">
        <v>0.1006</v>
      </c>
      <c r="X178" s="304">
        <v>0.03239</v>
      </c>
      <c r="Y178" s="304">
        <v>0.06821</v>
      </c>
      <c r="Z178" s="305">
        <f>-Z177</f>
        <v>-2300</v>
      </c>
      <c r="AA178" s="306">
        <f t="shared" si="603"/>
        <v>-231.38</v>
      </c>
      <c r="AB178" s="307">
        <f t="shared" si="604"/>
        <v>-319813</v>
      </c>
      <c r="AC178" s="308">
        <f t="shared" si="605"/>
        <v>-231.38</v>
      </c>
      <c r="AD178" s="309">
        <f t="shared" si="522"/>
        <v>-319813</v>
      </c>
      <c r="AE178" s="310">
        <f t="shared" si="523"/>
        <v>-156.88</v>
      </c>
      <c r="AF178" s="252">
        <f t="shared" si="524"/>
        <v>-216840</v>
      </c>
      <c r="AG178" s="306">
        <f t="shared" si="606"/>
        <v>-34.71</v>
      </c>
      <c r="AH178" s="252">
        <f t="shared" si="607"/>
        <v>-47972</v>
      </c>
      <c r="AI178" s="311"/>
      <c r="AJ178" s="311"/>
      <c r="AK178" s="311"/>
      <c r="AL178" s="311"/>
      <c r="AM178" s="312"/>
      <c r="AN178" s="313"/>
    </row>
    <row r="179" ht="12.75" customHeight="1">
      <c r="A179" s="256" t="s">
        <v>673</v>
      </c>
      <c r="B179" s="257" t="s">
        <v>118</v>
      </c>
      <c r="C179" s="258" t="s">
        <v>119</v>
      </c>
      <c r="D179" s="258" t="s">
        <v>112</v>
      </c>
      <c r="E179" s="258" t="s">
        <v>244</v>
      </c>
      <c r="F179" s="259"/>
      <c r="G179" s="258" t="s">
        <v>103</v>
      </c>
      <c r="H179" s="258" t="s">
        <v>239</v>
      </c>
      <c r="I179" s="259" t="s">
        <v>105</v>
      </c>
      <c r="J179" s="316" t="s">
        <v>106</v>
      </c>
      <c r="K179" s="317">
        <f>ROUND(M179/0.15,2)</f>
        <v>74.47</v>
      </c>
      <c r="L179" s="318">
        <f>ROUND(N179/0.15,0)</f>
        <v>102927</v>
      </c>
      <c r="M179" s="319">
        <f t="shared" ref="M179:N179" si="608">Q179</f>
        <v>11.17</v>
      </c>
      <c r="N179" s="261">
        <f t="shared" si="608"/>
        <v>15439</v>
      </c>
      <c r="O179" s="262">
        <v>23.54</v>
      </c>
      <c r="P179" s="263">
        <v>32537.0</v>
      </c>
      <c r="Q179" s="260">
        <f t="shared" ref="Q179:R179" si="609">M177-O179</f>
        <v>11.17</v>
      </c>
      <c r="R179" s="261">
        <f t="shared" si="609"/>
        <v>15439</v>
      </c>
      <c r="S179" s="264">
        <v>1382.2</v>
      </c>
      <c r="T179" s="265">
        <v>15.0</v>
      </c>
      <c r="U179" s="266" t="s">
        <v>107</v>
      </c>
      <c r="V179" s="266" t="s">
        <v>1042</v>
      </c>
      <c r="W179" s="320">
        <v>0.1006</v>
      </c>
      <c r="X179" s="320">
        <v>0.03239</v>
      </c>
      <c r="Y179" s="320">
        <v>0.06821</v>
      </c>
      <c r="Z179" s="321">
        <f>Z177</f>
        <v>2300</v>
      </c>
      <c r="AA179" s="311"/>
      <c r="AB179" s="322"/>
      <c r="AC179" s="323">
        <f>IFERROR(ROUND(Z179*X179,2),0)</f>
        <v>74.5</v>
      </c>
      <c r="AD179" s="318">
        <f t="shared" si="522"/>
        <v>102974</v>
      </c>
      <c r="AE179" s="324">
        <f t="shared" si="523"/>
        <v>156.88</v>
      </c>
      <c r="AF179" s="261">
        <f t="shared" si="524"/>
        <v>216840</v>
      </c>
      <c r="AG179" s="311"/>
      <c r="AH179" s="311"/>
      <c r="AI179" s="325">
        <f>ROUND(AC179*0.15,2)</f>
        <v>11.18</v>
      </c>
      <c r="AJ179" s="261">
        <f>ROUND(AD179*0.15,0)</f>
        <v>15446</v>
      </c>
      <c r="AK179" s="325">
        <f>ROUND(AE179*0.15,2)</f>
        <v>23.53</v>
      </c>
      <c r="AL179" s="261">
        <f>ROUND(AF179*0.15,0)</f>
        <v>32526</v>
      </c>
      <c r="AM179" s="326">
        <f>IFERROR(AC179/K179,IFERROR(AK179/O179,""))</f>
        <v>1.000402847</v>
      </c>
      <c r="AN179" s="313"/>
    </row>
    <row r="180" ht="12.75" customHeight="1">
      <c r="A180" s="245" t="s">
        <v>675</v>
      </c>
      <c r="B180" s="246" t="s">
        <v>118</v>
      </c>
      <c r="C180" s="247" t="s">
        <v>119</v>
      </c>
      <c r="D180" s="247" t="s">
        <v>245</v>
      </c>
      <c r="E180" s="247" t="s">
        <v>246</v>
      </c>
      <c r="F180" s="248"/>
      <c r="G180" s="247" t="s">
        <v>103</v>
      </c>
      <c r="H180" s="247" t="s">
        <v>239</v>
      </c>
      <c r="I180" s="248" t="s">
        <v>105</v>
      </c>
      <c r="J180" s="300" t="s">
        <v>106</v>
      </c>
      <c r="K180" s="301">
        <v>100.0</v>
      </c>
      <c r="L180" s="302">
        <v>138630.0</v>
      </c>
      <c r="M180" s="303">
        <v>14.99</v>
      </c>
      <c r="N180" s="250">
        <v>20780.0</v>
      </c>
      <c r="O180" s="249">
        <v>0.0</v>
      </c>
      <c r="P180" s="250">
        <v>0.0</v>
      </c>
      <c r="Q180" s="251">
        <f t="shared" ref="Q180:R180" si="610">M180-O180</f>
        <v>14.99</v>
      </c>
      <c r="R180" s="252">
        <f t="shared" si="610"/>
        <v>20780</v>
      </c>
      <c r="S180" s="253">
        <v>1386.3</v>
      </c>
      <c r="T180" s="254">
        <v>15.0</v>
      </c>
      <c r="U180" s="255" t="s">
        <v>107</v>
      </c>
      <c r="V180" s="255"/>
      <c r="W180" s="304">
        <v>0.0949</v>
      </c>
      <c r="X180" s="304">
        <v>0.030555</v>
      </c>
      <c r="Y180" s="304">
        <v>0.064345</v>
      </c>
      <c r="Z180" s="305">
        <f>IFERROR(ROUND(K180/W180,0),0)</f>
        <v>1054</v>
      </c>
      <c r="AA180" s="306">
        <f t="shared" ref="AA180:AA181" si="612">Z180*W180</f>
        <v>100.0246</v>
      </c>
      <c r="AB180" s="307">
        <f t="shared" ref="AB180:AB181" si="613">ROUND(AA180*S180,0)</f>
        <v>138664</v>
      </c>
      <c r="AC180" s="308">
        <f t="shared" ref="AC180:AC181" si="614">AA180</f>
        <v>100.0246</v>
      </c>
      <c r="AD180" s="309">
        <f t="shared" si="522"/>
        <v>138664</v>
      </c>
      <c r="AE180" s="310">
        <f t="shared" si="523"/>
        <v>67.82</v>
      </c>
      <c r="AF180" s="252">
        <f t="shared" si="524"/>
        <v>94019</v>
      </c>
      <c r="AG180" s="306">
        <f t="shared" ref="AG180:AG181" si="615">ROUND(AC180*0.15,2)</f>
        <v>15</v>
      </c>
      <c r="AH180" s="252">
        <f t="shared" ref="AH180:AH181" si="616">ROUND(AD180*0.15,0)</f>
        <v>20800</v>
      </c>
      <c r="AI180" s="311"/>
      <c r="AJ180" s="311"/>
      <c r="AK180" s="311"/>
      <c r="AL180" s="311"/>
      <c r="AM180" s="312"/>
      <c r="AN180" s="313"/>
    </row>
    <row r="181" ht="12.75" customHeight="1">
      <c r="A181" s="245" t="s">
        <v>676</v>
      </c>
      <c r="B181" s="246" t="s">
        <v>118</v>
      </c>
      <c r="C181" s="247" t="s">
        <v>119</v>
      </c>
      <c r="D181" s="247" t="s">
        <v>245</v>
      </c>
      <c r="E181" s="247" t="s">
        <v>246</v>
      </c>
      <c r="F181" s="248"/>
      <c r="G181" s="247" t="s">
        <v>103</v>
      </c>
      <c r="H181" s="247" t="s">
        <v>239</v>
      </c>
      <c r="I181" s="248" t="s">
        <v>105</v>
      </c>
      <c r="J181" s="300" t="s">
        <v>106</v>
      </c>
      <c r="K181" s="314">
        <f t="shared" ref="K181:R181" si="611">-K180</f>
        <v>-100</v>
      </c>
      <c r="L181" s="309">
        <f t="shared" si="611"/>
        <v>-138630</v>
      </c>
      <c r="M181" s="315">
        <f t="shared" si="611"/>
        <v>-14.99</v>
      </c>
      <c r="N181" s="252">
        <f t="shared" si="611"/>
        <v>-20780</v>
      </c>
      <c r="O181" s="251">
        <f t="shared" si="611"/>
        <v>0</v>
      </c>
      <c r="P181" s="252">
        <f t="shared" si="611"/>
        <v>0</v>
      </c>
      <c r="Q181" s="251">
        <f t="shared" si="611"/>
        <v>-14.99</v>
      </c>
      <c r="R181" s="252">
        <f t="shared" si="611"/>
        <v>-20780</v>
      </c>
      <c r="S181" s="253">
        <v>1386.3</v>
      </c>
      <c r="T181" s="254">
        <v>15.0</v>
      </c>
      <c r="U181" s="255" t="s">
        <v>107</v>
      </c>
      <c r="V181" s="255"/>
      <c r="W181" s="304">
        <v>0.0949</v>
      </c>
      <c r="X181" s="304">
        <v>0.030555</v>
      </c>
      <c r="Y181" s="304">
        <v>0.064345</v>
      </c>
      <c r="Z181" s="305">
        <f>-Z180</f>
        <v>-1054</v>
      </c>
      <c r="AA181" s="306">
        <f t="shared" si="612"/>
        <v>-100.0246</v>
      </c>
      <c r="AB181" s="307">
        <f t="shared" si="613"/>
        <v>-138664</v>
      </c>
      <c r="AC181" s="308">
        <f t="shared" si="614"/>
        <v>-100.0246</v>
      </c>
      <c r="AD181" s="309">
        <f t="shared" si="522"/>
        <v>-138664</v>
      </c>
      <c r="AE181" s="310">
        <f t="shared" si="523"/>
        <v>-67.82</v>
      </c>
      <c r="AF181" s="252">
        <f t="shared" si="524"/>
        <v>-94019</v>
      </c>
      <c r="AG181" s="306">
        <f t="shared" si="615"/>
        <v>-15</v>
      </c>
      <c r="AH181" s="252">
        <f t="shared" si="616"/>
        <v>-20800</v>
      </c>
      <c r="AI181" s="311"/>
      <c r="AJ181" s="311"/>
      <c r="AK181" s="311"/>
      <c r="AL181" s="311"/>
      <c r="AM181" s="312"/>
      <c r="AN181" s="313"/>
    </row>
    <row r="182" ht="12.75" customHeight="1">
      <c r="A182" s="256" t="s">
        <v>677</v>
      </c>
      <c r="B182" s="257" t="s">
        <v>118</v>
      </c>
      <c r="C182" s="258" t="s">
        <v>119</v>
      </c>
      <c r="D182" s="258" t="s">
        <v>245</v>
      </c>
      <c r="E182" s="258" t="s">
        <v>246</v>
      </c>
      <c r="F182" s="259"/>
      <c r="G182" s="258" t="s">
        <v>103</v>
      </c>
      <c r="H182" s="258" t="s">
        <v>239</v>
      </c>
      <c r="I182" s="259" t="s">
        <v>105</v>
      </c>
      <c r="J182" s="316" t="s">
        <v>106</v>
      </c>
      <c r="K182" s="317">
        <f>ROUND(M182/0.15,2)</f>
        <v>32.07</v>
      </c>
      <c r="L182" s="318">
        <f>ROUND(N182/0.15,0)</f>
        <v>44447</v>
      </c>
      <c r="M182" s="319">
        <f t="shared" ref="M182:N182" si="617">Q182</f>
        <v>4.81</v>
      </c>
      <c r="N182" s="261">
        <f t="shared" si="617"/>
        <v>6667</v>
      </c>
      <c r="O182" s="262">
        <v>10.18</v>
      </c>
      <c r="P182" s="263">
        <v>14113.0</v>
      </c>
      <c r="Q182" s="260">
        <f t="shared" ref="Q182:R182" si="618">M180-O182</f>
        <v>4.81</v>
      </c>
      <c r="R182" s="261">
        <f t="shared" si="618"/>
        <v>6667</v>
      </c>
      <c r="S182" s="264">
        <v>1386.3</v>
      </c>
      <c r="T182" s="265">
        <v>15.0</v>
      </c>
      <c r="U182" s="266" t="s">
        <v>107</v>
      </c>
      <c r="V182" s="266" t="s">
        <v>1043</v>
      </c>
      <c r="W182" s="320">
        <v>0.0949</v>
      </c>
      <c r="X182" s="320">
        <v>0.030555</v>
      </c>
      <c r="Y182" s="320">
        <v>0.064345</v>
      </c>
      <c r="Z182" s="321">
        <f>Z180</f>
        <v>1054</v>
      </c>
      <c r="AA182" s="311"/>
      <c r="AB182" s="322"/>
      <c r="AC182" s="323">
        <f>IFERROR(ROUND(Z182*X182,2),0)</f>
        <v>32.2</v>
      </c>
      <c r="AD182" s="318">
        <f t="shared" si="522"/>
        <v>44639</v>
      </c>
      <c r="AE182" s="324">
        <f t="shared" si="523"/>
        <v>67.82</v>
      </c>
      <c r="AF182" s="261">
        <f t="shared" si="524"/>
        <v>94019</v>
      </c>
      <c r="AG182" s="311"/>
      <c r="AH182" s="311"/>
      <c r="AI182" s="325">
        <f>ROUND(AC182*0.15,2)</f>
        <v>4.83</v>
      </c>
      <c r="AJ182" s="261">
        <f>ROUND(AD182*0.15,0)</f>
        <v>6696</v>
      </c>
      <c r="AK182" s="325">
        <f>ROUND(AE182*0.15,2)</f>
        <v>10.17</v>
      </c>
      <c r="AL182" s="261">
        <f>ROUND(AF182*0.15,0)</f>
        <v>14103</v>
      </c>
      <c r="AM182" s="326">
        <f>IFERROR(AC182/K182,IFERROR(AK182/O182,""))</f>
        <v>1.004053633</v>
      </c>
      <c r="AN182" s="313"/>
    </row>
    <row r="183" ht="12.75" customHeight="1">
      <c r="A183" s="245" t="s">
        <v>679</v>
      </c>
      <c r="B183" s="246" t="s">
        <v>118</v>
      </c>
      <c r="C183" s="247" t="s">
        <v>119</v>
      </c>
      <c r="D183" s="247" t="s">
        <v>247</v>
      </c>
      <c r="E183" s="247" t="s">
        <v>248</v>
      </c>
      <c r="F183" s="248"/>
      <c r="G183" s="247" t="s">
        <v>103</v>
      </c>
      <c r="H183" s="247" t="s">
        <v>239</v>
      </c>
      <c r="I183" s="248" t="s">
        <v>105</v>
      </c>
      <c r="J183" s="300" t="s">
        <v>106</v>
      </c>
      <c r="K183" s="301">
        <v>94.89</v>
      </c>
      <c r="L183" s="302">
        <v>131678.0</v>
      </c>
      <c r="M183" s="303">
        <v>14.23</v>
      </c>
      <c r="N183" s="250">
        <v>19746.0</v>
      </c>
      <c r="O183" s="249">
        <v>0.0</v>
      </c>
      <c r="P183" s="250">
        <v>0.0</v>
      </c>
      <c r="Q183" s="251">
        <f t="shared" ref="Q183:R183" si="619">M183-O183</f>
        <v>14.23</v>
      </c>
      <c r="R183" s="252">
        <f t="shared" si="619"/>
        <v>19746</v>
      </c>
      <c r="S183" s="253">
        <v>1387.7</v>
      </c>
      <c r="T183" s="254">
        <v>15.0</v>
      </c>
      <c r="U183" s="255" t="s">
        <v>107</v>
      </c>
      <c r="V183" s="255"/>
      <c r="W183" s="304">
        <v>0.09</v>
      </c>
      <c r="X183" s="304">
        <v>0.028977</v>
      </c>
      <c r="Y183" s="304">
        <v>0.061023</v>
      </c>
      <c r="Z183" s="305">
        <f>IFERROR(ROUND(K183/W183,0),0)</f>
        <v>1054</v>
      </c>
      <c r="AA183" s="306">
        <f t="shared" ref="AA183:AA184" si="621">Z183*W183</f>
        <v>94.86</v>
      </c>
      <c r="AB183" s="307">
        <f t="shared" ref="AB183:AB184" si="622">ROUND(AA183*S183,0)</f>
        <v>131637</v>
      </c>
      <c r="AC183" s="308">
        <f t="shared" ref="AC183:AC184" si="623">AA183</f>
        <v>94.86</v>
      </c>
      <c r="AD183" s="309">
        <f t="shared" si="522"/>
        <v>131637</v>
      </c>
      <c r="AE183" s="310">
        <f t="shared" si="523"/>
        <v>64.32</v>
      </c>
      <c r="AF183" s="252">
        <f t="shared" si="524"/>
        <v>89257</v>
      </c>
      <c r="AG183" s="306">
        <f t="shared" ref="AG183:AG184" si="624">ROUND(AC183*0.15,2)</f>
        <v>14.23</v>
      </c>
      <c r="AH183" s="252">
        <f t="shared" ref="AH183:AH184" si="625">ROUND(AD183*0.15,0)</f>
        <v>19746</v>
      </c>
      <c r="AI183" s="311"/>
      <c r="AJ183" s="311"/>
      <c r="AK183" s="311"/>
      <c r="AL183" s="311"/>
      <c r="AM183" s="312"/>
      <c r="AN183" s="313"/>
    </row>
    <row r="184" ht="12.75" customHeight="1">
      <c r="A184" s="245" t="s">
        <v>680</v>
      </c>
      <c r="B184" s="246" t="s">
        <v>118</v>
      </c>
      <c r="C184" s="247" t="s">
        <v>119</v>
      </c>
      <c r="D184" s="247" t="s">
        <v>247</v>
      </c>
      <c r="E184" s="247" t="s">
        <v>248</v>
      </c>
      <c r="F184" s="248"/>
      <c r="G184" s="247" t="s">
        <v>103</v>
      </c>
      <c r="H184" s="247" t="s">
        <v>239</v>
      </c>
      <c r="I184" s="248" t="s">
        <v>105</v>
      </c>
      <c r="J184" s="300" t="s">
        <v>106</v>
      </c>
      <c r="K184" s="314">
        <f t="shared" ref="K184:R184" si="620">-K183</f>
        <v>-94.89</v>
      </c>
      <c r="L184" s="309">
        <f t="shared" si="620"/>
        <v>-131678</v>
      </c>
      <c r="M184" s="315">
        <f t="shared" si="620"/>
        <v>-14.23</v>
      </c>
      <c r="N184" s="252">
        <f t="shared" si="620"/>
        <v>-19746</v>
      </c>
      <c r="O184" s="251">
        <f t="shared" si="620"/>
        <v>0</v>
      </c>
      <c r="P184" s="252">
        <f t="shared" si="620"/>
        <v>0</v>
      </c>
      <c r="Q184" s="251">
        <f t="shared" si="620"/>
        <v>-14.23</v>
      </c>
      <c r="R184" s="252">
        <f t="shared" si="620"/>
        <v>-19746</v>
      </c>
      <c r="S184" s="253">
        <v>1387.7</v>
      </c>
      <c r="T184" s="254">
        <v>15.0</v>
      </c>
      <c r="U184" s="255" t="s">
        <v>107</v>
      </c>
      <c r="V184" s="255"/>
      <c r="W184" s="304">
        <v>0.09</v>
      </c>
      <c r="X184" s="304">
        <v>0.028977</v>
      </c>
      <c r="Y184" s="304">
        <v>0.061023</v>
      </c>
      <c r="Z184" s="305">
        <f>-Z183</f>
        <v>-1054</v>
      </c>
      <c r="AA184" s="306">
        <f t="shared" si="621"/>
        <v>-94.86</v>
      </c>
      <c r="AB184" s="307">
        <f t="shared" si="622"/>
        <v>-131637</v>
      </c>
      <c r="AC184" s="308">
        <f t="shared" si="623"/>
        <v>-94.86</v>
      </c>
      <c r="AD184" s="309">
        <f t="shared" si="522"/>
        <v>-131637</v>
      </c>
      <c r="AE184" s="310">
        <f t="shared" si="523"/>
        <v>-64.32</v>
      </c>
      <c r="AF184" s="252">
        <f t="shared" si="524"/>
        <v>-89257</v>
      </c>
      <c r="AG184" s="306">
        <f t="shared" si="624"/>
        <v>-14.23</v>
      </c>
      <c r="AH184" s="252">
        <f t="shared" si="625"/>
        <v>-19746</v>
      </c>
      <c r="AI184" s="311"/>
      <c r="AJ184" s="311"/>
      <c r="AK184" s="311"/>
      <c r="AL184" s="311"/>
      <c r="AM184" s="312"/>
      <c r="AN184" s="313"/>
    </row>
    <row r="185" ht="12.75" customHeight="1">
      <c r="A185" s="256" t="s">
        <v>681</v>
      </c>
      <c r="B185" s="257" t="s">
        <v>118</v>
      </c>
      <c r="C185" s="258" t="s">
        <v>119</v>
      </c>
      <c r="D185" s="258" t="s">
        <v>247</v>
      </c>
      <c r="E185" s="258" t="s">
        <v>248</v>
      </c>
      <c r="F185" s="259"/>
      <c r="G185" s="258" t="s">
        <v>103</v>
      </c>
      <c r="H185" s="258" t="s">
        <v>239</v>
      </c>
      <c r="I185" s="259" t="s">
        <v>105</v>
      </c>
      <c r="J185" s="316" t="s">
        <v>106</v>
      </c>
      <c r="K185" s="317">
        <f>ROUND(M185/0.15,2)</f>
        <v>30.47</v>
      </c>
      <c r="L185" s="318">
        <f>ROUND(N185/0.15,0)</f>
        <v>42273</v>
      </c>
      <c r="M185" s="319">
        <f t="shared" ref="M185:N185" si="626">Q185</f>
        <v>4.57</v>
      </c>
      <c r="N185" s="261">
        <f t="shared" si="626"/>
        <v>6341</v>
      </c>
      <c r="O185" s="262">
        <v>9.66</v>
      </c>
      <c r="P185" s="263">
        <v>13405.0</v>
      </c>
      <c r="Q185" s="260">
        <f t="shared" ref="Q185:R185" si="627">M183-O185</f>
        <v>4.57</v>
      </c>
      <c r="R185" s="261">
        <f t="shared" si="627"/>
        <v>6341</v>
      </c>
      <c r="S185" s="264">
        <v>1387.7</v>
      </c>
      <c r="T185" s="265">
        <v>15.0</v>
      </c>
      <c r="U185" s="266" t="s">
        <v>107</v>
      </c>
      <c r="V185" s="266" t="s">
        <v>1044</v>
      </c>
      <c r="W185" s="320">
        <v>0.09</v>
      </c>
      <c r="X185" s="320">
        <v>0.028977</v>
      </c>
      <c r="Y185" s="320">
        <v>0.061023</v>
      </c>
      <c r="Z185" s="321">
        <f>Z183</f>
        <v>1054</v>
      </c>
      <c r="AA185" s="311"/>
      <c r="AB185" s="322"/>
      <c r="AC185" s="323">
        <f>IFERROR(ROUND(Z185*X185,2),0)</f>
        <v>30.54</v>
      </c>
      <c r="AD185" s="318">
        <f t="shared" si="522"/>
        <v>42380</v>
      </c>
      <c r="AE185" s="324">
        <f t="shared" si="523"/>
        <v>64.32</v>
      </c>
      <c r="AF185" s="261">
        <f t="shared" si="524"/>
        <v>89257</v>
      </c>
      <c r="AG185" s="311"/>
      <c r="AH185" s="311"/>
      <c r="AI185" s="325">
        <f>ROUND(AC185*0.15,2)</f>
        <v>4.58</v>
      </c>
      <c r="AJ185" s="261">
        <f>ROUND(AD185*0.15,0)</f>
        <v>6357</v>
      </c>
      <c r="AK185" s="325">
        <f>ROUND(AE185*0.15,2)</f>
        <v>9.65</v>
      </c>
      <c r="AL185" s="261">
        <f>ROUND(AF185*0.15,0)</f>
        <v>13389</v>
      </c>
      <c r="AM185" s="326">
        <f>IFERROR(AC185/K185,IFERROR(AK185/O185,""))</f>
        <v>1.002297342</v>
      </c>
      <c r="AN185" s="313"/>
    </row>
    <row r="186" ht="12.75" customHeight="1">
      <c r="A186" s="245" t="s">
        <v>683</v>
      </c>
      <c r="B186" s="246" t="s">
        <v>118</v>
      </c>
      <c r="C186" s="247" t="s">
        <v>119</v>
      </c>
      <c r="D186" s="247" t="s">
        <v>114</v>
      </c>
      <c r="E186" s="247" t="s">
        <v>249</v>
      </c>
      <c r="F186" s="248"/>
      <c r="G186" s="247" t="s">
        <v>103</v>
      </c>
      <c r="H186" s="247" t="s">
        <v>239</v>
      </c>
      <c r="I186" s="248" t="s">
        <v>105</v>
      </c>
      <c r="J186" s="300" t="s">
        <v>106</v>
      </c>
      <c r="K186" s="301">
        <v>90.0</v>
      </c>
      <c r="L186" s="302">
        <v>125262.0</v>
      </c>
      <c r="M186" s="303">
        <v>13.5</v>
      </c>
      <c r="N186" s="250">
        <v>18789.0</v>
      </c>
      <c r="O186" s="249">
        <v>0.0</v>
      </c>
      <c r="P186" s="250">
        <v>0.0</v>
      </c>
      <c r="Q186" s="251">
        <f t="shared" ref="Q186:R186" si="628">M186-O186</f>
        <v>13.5</v>
      </c>
      <c r="R186" s="252">
        <f t="shared" si="628"/>
        <v>18789</v>
      </c>
      <c r="S186" s="253">
        <v>1391.8</v>
      </c>
      <c r="T186" s="254">
        <v>15.0</v>
      </c>
      <c r="U186" s="255" t="s">
        <v>107</v>
      </c>
      <c r="V186" s="255"/>
      <c r="W186" s="304">
        <v>0.0928</v>
      </c>
      <c r="X186" s="304">
        <v>0.029879</v>
      </c>
      <c r="Y186" s="304">
        <v>0.062921</v>
      </c>
      <c r="Z186" s="305">
        <f>IFERROR(ROUND(K186/W186,0),0)</f>
        <v>970</v>
      </c>
      <c r="AA186" s="306">
        <f t="shared" ref="AA186:AA187" si="630">Z186*W186</f>
        <v>90.016</v>
      </c>
      <c r="AB186" s="307">
        <f t="shared" ref="AB186:AB187" si="631">ROUND(AA186*S186,0)</f>
        <v>125284</v>
      </c>
      <c r="AC186" s="308">
        <f t="shared" ref="AC186:AC187" si="632">AA186</f>
        <v>90.016</v>
      </c>
      <c r="AD186" s="309">
        <f t="shared" si="522"/>
        <v>125284</v>
      </c>
      <c r="AE186" s="310">
        <f t="shared" si="523"/>
        <v>61.03</v>
      </c>
      <c r="AF186" s="252">
        <f t="shared" si="524"/>
        <v>84942</v>
      </c>
      <c r="AG186" s="306">
        <f t="shared" ref="AG186:AG187" si="633">ROUND(AC186*0.15,2)</f>
        <v>13.5</v>
      </c>
      <c r="AH186" s="252">
        <f t="shared" ref="AH186:AH187" si="634">ROUND(AD186*0.15,0)</f>
        <v>18793</v>
      </c>
      <c r="AI186" s="311"/>
      <c r="AJ186" s="311"/>
      <c r="AK186" s="311"/>
      <c r="AL186" s="311"/>
      <c r="AM186" s="312"/>
      <c r="AN186" s="313"/>
    </row>
    <row r="187" ht="12.75" customHeight="1">
      <c r="A187" s="245" t="s">
        <v>684</v>
      </c>
      <c r="B187" s="246" t="s">
        <v>118</v>
      </c>
      <c r="C187" s="247" t="s">
        <v>119</v>
      </c>
      <c r="D187" s="247" t="s">
        <v>114</v>
      </c>
      <c r="E187" s="247" t="s">
        <v>249</v>
      </c>
      <c r="F187" s="248"/>
      <c r="G187" s="247" t="s">
        <v>103</v>
      </c>
      <c r="H187" s="247" t="s">
        <v>239</v>
      </c>
      <c r="I187" s="248" t="s">
        <v>105</v>
      </c>
      <c r="J187" s="300" t="s">
        <v>106</v>
      </c>
      <c r="K187" s="314">
        <f t="shared" ref="K187:R187" si="629">-K186</f>
        <v>-90</v>
      </c>
      <c r="L187" s="309">
        <f t="shared" si="629"/>
        <v>-125262</v>
      </c>
      <c r="M187" s="315">
        <f t="shared" si="629"/>
        <v>-13.5</v>
      </c>
      <c r="N187" s="252">
        <f t="shared" si="629"/>
        <v>-18789</v>
      </c>
      <c r="O187" s="251">
        <f t="shared" si="629"/>
        <v>0</v>
      </c>
      <c r="P187" s="252">
        <f t="shared" si="629"/>
        <v>0</v>
      </c>
      <c r="Q187" s="251">
        <f t="shared" si="629"/>
        <v>-13.5</v>
      </c>
      <c r="R187" s="252">
        <f t="shared" si="629"/>
        <v>-18789</v>
      </c>
      <c r="S187" s="253">
        <v>1391.8</v>
      </c>
      <c r="T187" s="254">
        <v>15.0</v>
      </c>
      <c r="U187" s="255" t="s">
        <v>107</v>
      </c>
      <c r="V187" s="255"/>
      <c r="W187" s="304">
        <v>0.0928</v>
      </c>
      <c r="X187" s="304">
        <v>0.029879</v>
      </c>
      <c r="Y187" s="304">
        <v>0.062921</v>
      </c>
      <c r="Z187" s="305">
        <f>-Z186</f>
        <v>-970</v>
      </c>
      <c r="AA187" s="306">
        <f t="shared" si="630"/>
        <v>-90.016</v>
      </c>
      <c r="AB187" s="307">
        <f t="shared" si="631"/>
        <v>-125284</v>
      </c>
      <c r="AC187" s="308">
        <f t="shared" si="632"/>
        <v>-90.016</v>
      </c>
      <c r="AD187" s="309">
        <f t="shared" si="522"/>
        <v>-125284</v>
      </c>
      <c r="AE187" s="310">
        <f t="shared" si="523"/>
        <v>-61.03</v>
      </c>
      <c r="AF187" s="252">
        <f t="shared" si="524"/>
        <v>-84942</v>
      </c>
      <c r="AG187" s="306">
        <f t="shared" si="633"/>
        <v>-13.5</v>
      </c>
      <c r="AH187" s="252">
        <f t="shared" si="634"/>
        <v>-18793</v>
      </c>
      <c r="AI187" s="311"/>
      <c r="AJ187" s="311"/>
      <c r="AK187" s="311"/>
      <c r="AL187" s="311"/>
      <c r="AM187" s="312"/>
      <c r="AN187" s="313"/>
    </row>
    <row r="188" ht="12.75" customHeight="1">
      <c r="A188" s="256" t="s">
        <v>685</v>
      </c>
      <c r="B188" s="257" t="s">
        <v>118</v>
      </c>
      <c r="C188" s="258" t="s">
        <v>119</v>
      </c>
      <c r="D188" s="258" t="s">
        <v>114</v>
      </c>
      <c r="E188" s="258" t="s">
        <v>249</v>
      </c>
      <c r="F188" s="259"/>
      <c r="G188" s="258" t="s">
        <v>103</v>
      </c>
      <c r="H188" s="258" t="s">
        <v>239</v>
      </c>
      <c r="I188" s="259" t="s">
        <v>105</v>
      </c>
      <c r="J188" s="316" t="s">
        <v>106</v>
      </c>
      <c r="K188" s="317">
        <f>ROUND(M188/0.15,2)</f>
        <v>28.93</v>
      </c>
      <c r="L188" s="318">
        <f>ROUND(N188/0.15,0)</f>
        <v>40267</v>
      </c>
      <c r="M188" s="319">
        <f t="shared" ref="M188:N188" si="635">Q188</f>
        <v>4.34</v>
      </c>
      <c r="N188" s="261">
        <f t="shared" si="635"/>
        <v>6040</v>
      </c>
      <c r="O188" s="262">
        <v>9.16</v>
      </c>
      <c r="P188" s="263">
        <v>12749.0</v>
      </c>
      <c r="Q188" s="260">
        <f t="shared" ref="Q188:R188" si="636">M186-O188</f>
        <v>4.34</v>
      </c>
      <c r="R188" s="261">
        <f t="shared" si="636"/>
        <v>6040</v>
      </c>
      <c r="S188" s="264">
        <v>1391.8</v>
      </c>
      <c r="T188" s="265">
        <v>15.0</v>
      </c>
      <c r="U188" s="266" t="s">
        <v>107</v>
      </c>
      <c r="V188" s="266" t="s">
        <v>1045</v>
      </c>
      <c r="W188" s="320">
        <v>0.0928</v>
      </c>
      <c r="X188" s="320">
        <v>0.029879</v>
      </c>
      <c r="Y188" s="320">
        <v>0.062921</v>
      </c>
      <c r="Z188" s="321">
        <f>Z186</f>
        <v>970</v>
      </c>
      <c r="AA188" s="311"/>
      <c r="AB188" s="322"/>
      <c r="AC188" s="323">
        <f>IFERROR(ROUND(Z188*X188,2),0)</f>
        <v>28.98</v>
      </c>
      <c r="AD188" s="318">
        <f t="shared" si="522"/>
        <v>40334</v>
      </c>
      <c r="AE188" s="324">
        <f t="shared" si="523"/>
        <v>61.03</v>
      </c>
      <c r="AF188" s="261">
        <f t="shared" si="524"/>
        <v>84942</v>
      </c>
      <c r="AG188" s="311"/>
      <c r="AH188" s="311"/>
      <c r="AI188" s="325">
        <f>ROUND(AC188*0.15,2)</f>
        <v>4.35</v>
      </c>
      <c r="AJ188" s="261">
        <f>ROUND(AD188*0.15,0)</f>
        <v>6050</v>
      </c>
      <c r="AK188" s="325">
        <f>ROUND(AE188*0.15,2)</f>
        <v>9.15</v>
      </c>
      <c r="AL188" s="261">
        <f>ROUND(AF188*0.15,0)</f>
        <v>12741</v>
      </c>
      <c r="AM188" s="326">
        <f>IFERROR(AC188/K188,IFERROR(AK188/O188,""))</f>
        <v>1.00172831</v>
      </c>
      <c r="AN188" s="313"/>
    </row>
    <row r="189" ht="12.75" customHeight="1">
      <c r="A189" s="245" t="s">
        <v>687</v>
      </c>
      <c r="B189" s="246" t="s">
        <v>118</v>
      </c>
      <c r="C189" s="247" t="s">
        <v>119</v>
      </c>
      <c r="D189" s="247" t="s">
        <v>114</v>
      </c>
      <c r="E189" s="247" t="s">
        <v>114</v>
      </c>
      <c r="F189" s="248"/>
      <c r="G189" s="247" t="s">
        <v>116</v>
      </c>
      <c r="H189" s="247" t="s">
        <v>117</v>
      </c>
      <c r="I189" s="248" t="s">
        <v>105</v>
      </c>
      <c r="J189" s="300" t="s">
        <v>106</v>
      </c>
      <c r="K189" s="301">
        <v>861.12</v>
      </c>
      <c r="L189" s="302">
        <v>1198506.0</v>
      </c>
      <c r="M189" s="303">
        <v>129.17</v>
      </c>
      <c r="N189" s="250">
        <v>179778.0</v>
      </c>
      <c r="O189" s="249">
        <v>0.0</v>
      </c>
      <c r="P189" s="250">
        <v>0.0</v>
      </c>
      <c r="Q189" s="251">
        <f t="shared" ref="Q189:R189" si="637">M189-O189</f>
        <v>129.17</v>
      </c>
      <c r="R189" s="252">
        <f t="shared" si="637"/>
        <v>179778</v>
      </c>
      <c r="S189" s="253">
        <v>1391.8</v>
      </c>
      <c r="T189" s="254">
        <v>15.0</v>
      </c>
      <c r="U189" s="255" t="s">
        <v>107</v>
      </c>
      <c r="V189" s="255"/>
      <c r="W189" s="304">
        <v>0.743154</v>
      </c>
      <c r="X189" s="304">
        <v>0.743154</v>
      </c>
      <c r="Y189" s="304">
        <v>0.0</v>
      </c>
      <c r="Z189" s="305">
        <f>IFERROR(ROUND(K189/W189,0),0)</f>
        <v>1159</v>
      </c>
      <c r="AA189" s="306">
        <f t="shared" ref="AA189:AA190" si="639">Z189*W189</f>
        <v>861.315486</v>
      </c>
      <c r="AB189" s="307">
        <f t="shared" ref="AB189:AB190" si="640">ROUND(AA189*S189,0)</f>
        <v>1198779</v>
      </c>
      <c r="AC189" s="308">
        <f t="shared" ref="AC189:AC190" si="641">AA189</f>
        <v>861.315486</v>
      </c>
      <c r="AD189" s="309">
        <f t="shared" si="522"/>
        <v>1198779</v>
      </c>
      <c r="AE189" s="310">
        <f t="shared" si="523"/>
        <v>0</v>
      </c>
      <c r="AF189" s="252">
        <f t="shared" si="524"/>
        <v>0</v>
      </c>
      <c r="AG189" s="306">
        <f t="shared" ref="AG189:AG190" si="642">ROUND(AC189*0.15,2)</f>
        <v>129.2</v>
      </c>
      <c r="AH189" s="252">
        <f t="shared" ref="AH189:AH190" si="643">ROUND(AD189*0.15,0)</f>
        <v>179817</v>
      </c>
      <c r="AI189" s="311"/>
      <c r="AJ189" s="311"/>
      <c r="AK189" s="311"/>
      <c r="AL189" s="311"/>
      <c r="AM189" s="312"/>
      <c r="AN189" s="313"/>
    </row>
    <row r="190" ht="12.75" customHeight="1">
      <c r="A190" s="245" t="s">
        <v>688</v>
      </c>
      <c r="B190" s="246" t="s">
        <v>118</v>
      </c>
      <c r="C190" s="247" t="s">
        <v>119</v>
      </c>
      <c r="D190" s="247" t="s">
        <v>114</v>
      </c>
      <c r="E190" s="247" t="s">
        <v>114</v>
      </c>
      <c r="F190" s="248"/>
      <c r="G190" s="247" t="s">
        <v>116</v>
      </c>
      <c r="H190" s="247" t="s">
        <v>117</v>
      </c>
      <c r="I190" s="248" t="s">
        <v>105</v>
      </c>
      <c r="J190" s="300" t="s">
        <v>106</v>
      </c>
      <c r="K190" s="314">
        <f t="shared" ref="K190:R190" si="638">-K189</f>
        <v>-861.12</v>
      </c>
      <c r="L190" s="309">
        <f t="shared" si="638"/>
        <v>-1198506</v>
      </c>
      <c r="M190" s="315">
        <f t="shared" si="638"/>
        <v>-129.17</v>
      </c>
      <c r="N190" s="252">
        <f t="shared" si="638"/>
        <v>-179778</v>
      </c>
      <c r="O190" s="251">
        <f t="shared" si="638"/>
        <v>0</v>
      </c>
      <c r="P190" s="252">
        <f t="shared" si="638"/>
        <v>0</v>
      </c>
      <c r="Q190" s="251">
        <f t="shared" si="638"/>
        <v>-129.17</v>
      </c>
      <c r="R190" s="252">
        <f t="shared" si="638"/>
        <v>-179778</v>
      </c>
      <c r="S190" s="253">
        <v>1391.8</v>
      </c>
      <c r="T190" s="254">
        <v>15.0</v>
      </c>
      <c r="U190" s="255" t="s">
        <v>107</v>
      </c>
      <c r="V190" s="255"/>
      <c r="W190" s="304">
        <v>0.743154</v>
      </c>
      <c r="X190" s="304">
        <v>0.743154</v>
      </c>
      <c r="Y190" s="304">
        <v>0.0</v>
      </c>
      <c r="Z190" s="305">
        <f>-Z189</f>
        <v>-1159</v>
      </c>
      <c r="AA190" s="306">
        <f t="shared" si="639"/>
        <v>-861.315486</v>
      </c>
      <c r="AB190" s="307">
        <f t="shared" si="640"/>
        <v>-1198779</v>
      </c>
      <c r="AC190" s="308">
        <f t="shared" si="641"/>
        <v>-861.315486</v>
      </c>
      <c r="AD190" s="309">
        <f t="shared" si="522"/>
        <v>-1198779</v>
      </c>
      <c r="AE190" s="310">
        <f t="shared" si="523"/>
        <v>0</v>
      </c>
      <c r="AF190" s="252">
        <f t="shared" si="524"/>
        <v>0</v>
      </c>
      <c r="AG190" s="306">
        <f t="shared" si="642"/>
        <v>-129.2</v>
      </c>
      <c r="AH190" s="252">
        <f t="shared" si="643"/>
        <v>-179817</v>
      </c>
      <c r="AI190" s="311"/>
      <c r="AJ190" s="311"/>
      <c r="AK190" s="311"/>
      <c r="AL190" s="311"/>
      <c r="AM190" s="312"/>
      <c r="AN190" s="313"/>
    </row>
    <row r="191" ht="12.75" customHeight="1">
      <c r="A191" s="327" t="s">
        <v>689</v>
      </c>
      <c r="B191" s="328" t="s">
        <v>118</v>
      </c>
      <c r="C191" s="329" t="s">
        <v>119</v>
      </c>
      <c r="D191" s="329" t="s">
        <v>114</v>
      </c>
      <c r="E191" s="329" t="s">
        <v>114</v>
      </c>
      <c r="F191" s="330"/>
      <c r="G191" s="329" t="s">
        <v>116</v>
      </c>
      <c r="H191" s="329" t="s">
        <v>117</v>
      </c>
      <c r="I191" s="330" t="s">
        <v>105</v>
      </c>
      <c r="J191" s="331" t="s">
        <v>106</v>
      </c>
      <c r="K191" s="332">
        <f>ROUND(M191/0.15,2)</f>
        <v>828.2</v>
      </c>
      <c r="L191" s="333">
        <f>ROUND(N191/0.15,0)</f>
        <v>1152687</v>
      </c>
      <c r="M191" s="334">
        <f t="shared" ref="M191:N191" si="644">Q191</f>
        <v>124.23</v>
      </c>
      <c r="N191" s="335">
        <f t="shared" si="644"/>
        <v>172903</v>
      </c>
      <c r="O191" s="336">
        <v>4.94</v>
      </c>
      <c r="P191" s="337">
        <v>6875.0</v>
      </c>
      <c r="Q191" s="338">
        <f t="shared" ref="Q191:R191" si="645">M189-O191</f>
        <v>124.23</v>
      </c>
      <c r="R191" s="335">
        <f t="shared" si="645"/>
        <v>172903</v>
      </c>
      <c r="S191" s="339">
        <v>1391.8</v>
      </c>
      <c r="T191" s="340">
        <v>15.0</v>
      </c>
      <c r="U191" s="341" t="s">
        <v>107</v>
      </c>
      <c r="V191" s="341" t="s">
        <v>1046</v>
      </c>
      <c r="W191" s="342">
        <v>0.743154</v>
      </c>
      <c r="X191" s="342">
        <v>0.743154</v>
      </c>
      <c r="Y191" s="342">
        <v>0.0</v>
      </c>
      <c r="Z191" s="343">
        <f>Z189</f>
        <v>1159</v>
      </c>
      <c r="AA191" s="344"/>
      <c r="AB191" s="345"/>
      <c r="AC191" s="346">
        <f t="shared" ref="AC191:AD191" si="646">K191</f>
        <v>828.2</v>
      </c>
      <c r="AD191" s="347">
        <f t="shared" si="646"/>
        <v>1152687</v>
      </c>
      <c r="AE191" s="348">
        <f t="shared" ref="AE191:AF191" si="647">round(AK191/0.15,2)</f>
        <v>32.93</v>
      </c>
      <c r="AF191" s="348">
        <f t="shared" si="647"/>
        <v>45833.33</v>
      </c>
      <c r="AG191" s="349"/>
      <c r="AH191" s="349"/>
      <c r="AI191" s="350">
        <f>ROUND(AC191*0.15,2)</f>
        <v>124.23</v>
      </c>
      <c r="AJ191" s="351">
        <f>ROUND(AD191*0.15,0)</f>
        <v>172903</v>
      </c>
      <c r="AK191" s="350">
        <f t="shared" ref="AK191:AL191" si="648">O191</f>
        <v>4.94</v>
      </c>
      <c r="AL191" s="350">
        <f t="shared" si="648"/>
        <v>6875</v>
      </c>
      <c r="AM191" s="352">
        <f>IFERROR(AC191/K191,IFERROR(AK191/O191,""))</f>
        <v>1</v>
      </c>
      <c r="AN191" s="353" t="s">
        <v>983</v>
      </c>
    </row>
    <row r="192" ht="12.75" customHeight="1">
      <c r="A192" s="267" t="s">
        <v>691</v>
      </c>
      <c r="B192" s="268" t="s">
        <v>118</v>
      </c>
      <c r="C192" s="269" t="s">
        <v>119</v>
      </c>
      <c r="D192" s="269" t="s">
        <v>250</v>
      </c>
      <c r="E192" s="269" t="s">
        <v>250</v>
      </c>
      <c r="F192" s="270"/>
      <c r="G192" s="269" t="s">
        <v>251</v>
      </c>
      <c r="H192" s="270" t="s">
        <v>252</v>
      </c>
      <c r="I192" s="270" t="s">
        <v>105</v>
      </c>
      <c r="J192" s="354" t="s">
        <v>106</v>
      </c>
      <c r="K192" s="355">
        <v>1.66</v>
      </c>
      <c r="L192" s="356">
        <v>2303.0</v>
      </c>
      <c r="M192" s="357">
        <v>0.25</v>
      </c>
      <c r="N192" s="272">
        <v>346.0</v>
      </c>
      <c r="O192" s="271">
        <v>0.0</v>
      </c>
      <c r="P192" s="272">
        <v>0.0</v>
      </c>
      <c r="Q192" s="273">
        <f t="shared" ref="Q192:R192" si="649">M192-O192</f>
        <v>0.25</v>
      </c>
      <c r="R192" s="274">
        <f t="shared" si="649"/>
        <v>346</v>
      </c>
      <c r="S192" s="275">
        <v>1387.6</v>
      </c>
      <c r="T192" s="276">
        <v>15.0</v>
      </c>
      <c r="U192" s="277" t="s">
        <v>107</v>
      </c>
      <c r="V192" s="277"/>
      <c r="W192" s="358"/>
      <c r="X192" s="358"/>
      <c r="Y192" s="358"/>
      <c r="Z192" s="358"/>
      <c r="AA192" s="358"/>
      <c r="AB192" s="359"/>
      <c r="AC192" s="360">
        <f t="shared" ref="AC192:AD192" si="650">K192</f>
        <v>1.66</v>
      </c>
      <c r="AD192" s="361">
        <f t="shared" si="650"/>
        <v>2303</v>
      </c>
      <c r="AE192" s="362"/>
      <c r="AF192" s="358"/>
      <c r="AG192" s="358"/>
      <c r="AH192" s="358"/>
      <c r="AI192" s="363">
        <f t="shared" ref="AI192:AJ192" si="651">Q192</f>
        <v>0.25</v>
      </c>
      <c r="AJ192" s="364">
        <f t="shared" si="651"/>
        <v>346</v>
      </c>
      <c r="AK192" s="358"/>
      <c r="AL192" s="358"/>
      <c r="AM192" s="365"/>
      <c r="AN192" s="366"/>
    </row>
    <row r="193" ht="12.75" customHeight="1">
      <c r="A193" s="245" t="s">
        <v>692</v>
      </c>
      <c r="B193" s="246" t="s">
        <v>118</v>
      </c>
      <c r="C193" s="247" t="s">
        <v>119</v>
      </c>
      <c r="D193" s="247" t="s">
        <v>253</v>
      </c>
      <c r="E193" s="247" t="s">
        <v>254</v>
      </c>
      <c r="F193" s="248"/>
      <c r="G193" s="247" t="s">
        <v>103</v>
      </c>
      <c r="H193" s="247" t="s">
        <v>239</v>
      </c>
      <c r="I193" s="248" t="s">
        <v>105</v>
      </c>
      <c r="J193" s="300" t="s">
        <v>106</v>
      </c>
      <c r="K193" s="301">
        <v>92.8</v>
      </c>
      <c r="L193" s="302">
        <v>128871.0</v>
      </c>
      <c r="M193" s="303">
        <v>13.92</v>
      </c>
      <c r="N193" s="250">
        <v>19330.0</v>
      </c>
      <c r="O193" s="249">
        <v>0.0</v>
      </c>
      <c r="P193" s="250">
        <v>0.0</v>
      </c>
      <c r="Q193" s="251">
        <f t="shared" ref="Q193:R193" si="652">M193-O193</f>
        <v>13.92</v>
      </c>
      <c r="R193" s="252">
        <f t="shared" si="652"/>
        <v>19330</v>
      </c>
      <c r="S193" s="253">
        <v>1388.7</v>
      </c>
      <c r="T193" s="254">
        <v>15.0</v>
      </c>
      <c r="U193" s="255" t="s">
        <v>107</v>
      </c>
      <c r="V193" s="255"/>
      <c r="W193" s="304">
        <v>0.0928</v>
      </c>
      <c r="X193" s="304">
        <v>0.029879</v>
      </c>
      <c r="Y193" s="304">
        <v>0.062921</v>
      </c>
      <c r="Z193" s="305">
        <f>IFERROR(ROUND(K193/W193,0),0)</f>
        <v>1000</v>
      </c>
      <c r="AA193" s="306">
        <f t="shared" ref="AA193:AA194" si="654">Z193*W193</f>
        <v>92.8</v>
      </c>
      <c r="AB193" s="307">
        <f t="shared" ref="AB193:AB194" si="655">ROUND(AA193*S193,0)</f>
        <v>128871</v>
      </c>
      <c r="AC193" s="308">
        <f t="shared" ref="AC193:AC194" si="656">AA193</f>
        <v>92.8</v>
      </c>
      <c r="AD193" s="309">
        <f t="shared" ref="AD193:AD198" si="657">ROUND(AC193*S193,0)</f>
        <v>128871</v>
      </c>
      <c r="AE193" s="310">
        <f t="shared" ref="AE193:AE198" si="658">IFERROR(ROUND(Z193*Y193,2),0)</f>
        <v>62.92</v>
      </c>
      <c r="AF193" s="252">
        <f t="shared" ref="AF193:AF198" si="659">ROUND(AE193*S193,0)</f>
        <v>87377</v>
      </c>
      <c r="AG193" s="306">
        <f t="shared" ref="AG193:AG194" si="660">ROUND(AC193*0.15,2)</f>
        <v>13.92</v>
      </c>
      <c r="AH193" s="252">
        <f t="shared" ref="AH193:AH194" si="661">ROUND(AD193*0.15,0)</f>
        <v>19331</v>
      </c>
      <c r="AI193" s="311"/>
      <c r="AJ193" s="311"/>
      <c r="AK193" s="311"/>
      <c r="AL193" s="311"/>
      <c r="AM193" s="312"/>
      <c r="AN193" s="313"/>
    </row>
    <row r="194" ht="12.75" customHeight="1">
      <c r="A194" s="245" t="s">
        <v>693</v>
      </c>
      <c r="B194" s="246" t="s">
        <v>118</v>
      </c>
      <c r="C194" s="247" t="s">
        <v>119</v>
      </c>
      <c r="D194" s="247" t="s">
        <v>253</v>
      </c>
      <c r="E194" s="247" t="s">
        <v>254</v>
      </c>
      <c r="F194" s="248"/>
      <c r="G194" s="247" t="s">
        <v>103</v>
      </c>
      <c r="H194" s="247" t="s">
        <v>239</v>
      </c>
      <c r="I194" s="248" t="s">
        <v>105</v>
      </c>
      <c r="J194" s="300" t="s">
        <v>106</v>
      </c>
      <c r="K194" s="314">
        <f t="shared" ref="K194:R194" si="653">-K193</f>
        <v>-92.8</v>
      </c>
      <c r="L194" s="309">
        <f t="shared" si="653"/>
        <v>-128871</v>
      </c>
      <c r="M194" s="315">
        <f t="shared" si="653"/>
        <v>-13.92</v>
      </c>
      <c r="N194" s="252">
        <f t="shared" si="653"/>
        <v>-19330</v>
      </c>
      <c r="O194" s="251">
        <f t="shared" si="653"/>
        <v>0</v>
      </c>
      <c r="P194" s="252">
        <f t="shared" si="653"/>
        <v>0</v>
      </c>
      <c r="Q194" s="251">
        <f t="shared" si="653"/>
        <v>-13.92</v>
      </c>
      <c r="R194" s="252">
        <f t="shared" si="653"/>
        <v>-19330</v>
      </c>
      <c r="S194" s="253">
        <v>1388.7</v>
      </c>
      <c r="T194" s="254">
        <v>15.0</v>
      </c>
      <c r="U194" s="255" t="s">
        <v>107</v>
      </c>
      <c r="V194" s="255"/>
      <c r="W194" s="304">
        <v>0.0928</v>
      </c>
      <c r="X194" s="304">
        <v>0.029879</v>
      </c>
      <c r="Y194" s="304">
        <v>0.062921</v>
      </c>
      <c r="Z194" s="305">
        <f>-Z193</f>
        <v>-1000</v>
      </c>
      <c r="AA194" s="306">
        <f t="shared" si="654"/>
        <v>-92.8</v>
      </c>
      <c r="AB194" s="307">
        <f t="shared" si="655"/>
        <v>-128871</v>
      </c>
      <c r="AC194" s="308">
        <f t="shared" si="656"/>
        <v>-92.8</v>
      </c>
      <c r="AD194" s="309">
        <f t="shared" si="657"/>
        <v>-128871</v>
      </c>
      <c r="AE194" s="310">
        <f t="shared" si="658"/>
        <v>-62.92</v>
      </c>
      <c r="AF194" s="252">
        <f t="shared" si="659"/>
        <v>-87377</v>
      </c>
      <c r="AG194" s="306">
        <f t="shared" si="660"/>
        <v>-13.92</v>
      </c>
      <c r="AH194" s="252">
        <f t="shared" si="661"/>
        <v>-19331</v>
      </c>
      <c r="AI194" s="311"/>
      <c r="AJ194" s="311"/>
      <c r="AK194" s="311"/>
      <c r="AL194" s="311"/>
      <c r="AM194" s="312"/>
      <c r="AN194" s="313"/>
    </row>
    <row r="195" ht="12.75" customHeight="1">
      <c r="A195" s="256" t="s">
        <v>694</v>
      </c>
      <c r="B195" s="257" t="s">
        <v>118</v>
      </c>
      <c r="C195" s="258" t="s">
        <v>119</v>
      </c>
      <c r="D195" s="258" t="s">
        <v>253</v>
      </c>
      <c r="E195" s="258" t="s">
        <v>254</v>
      </c>
      <c r="F195" s="259"/>
      <c r="G195" s="258" t="s">
        <v>103</v>
      </c>
      <c r="H195" s="258" t="s">
        <v>239</v>
      </c>
      <c r="I195" s="259" t="s">
        <v>105</v>
      </c>
      <c r="J195" s="316" t="s">
        <v>106</v>
      </c>
      <c r="K195" s="317">
        <f>ROUND(M195/0.15,2)</f>
        <v>29.87</v>
      </c>
      <c r="L195" s="318">
        <f>ROUND(N195/0.15,0)</f>
        <v>41473</v>
      </c>
      <c r="M195" s="319">
        <f t="shared" ref="M195:N195" si="662">Q195</f>
        <v>4.48</v>
      </c>
      <c r="N195" s="261">
        <f t="shared" si="662"/>
        <v>6221</v>
      </c>
      <c r="O195" s="262">
        <v>9.44</v>
      </c>
      <c r="P195" s="263">
        <v>13109.0</v>
      </c>
      <c r="Q195" s="260">
        <f t="shared" ref="Q195:R195" si="663">M193-O195</f>
        <v>4.48</v>
      </c>
      <c r="R195" s="261">
        <f t="shared" si="663"/>
        <v>6221</v>
      </c>
      <c r="S195" s="264">
        <v>1388.7</v>
      </c>
      <c r="T195" s="265">
        <v>15.0</v>
      </c>
      <c r="U195" s="266" t="s">
        <v>107</v>
      </c>
      <c r="V195" s="266" t="s">
        <v>1047</v>
      </c>
      <c r="W195" s="320">
        <v>0.0928</v>
      </c>
      <c r="X195" s="320">
        <v>0.029879</v>
      </c>
      <c r="Y195" s="320">
        <v>0.062921</v>
      </c>
      <c r="Z195" s="321">
        <f>Z193</f>
        <v>1000</v>
      </c>
      <c r="AA195" s="311"/>
      <c r="AB195" s="322"/>
      <c r="AC195" s="323">
        <f>IFERROR(ROUND(Z195*X195,2),0)</f>
        <v>29.88</v>
      </c>
      <c r="AD195" s="318">
        <f t="shared" si="657"/>
        <v>41494</v>
      </c>
      <c r="AE195" s="324">
        <f t="shared" si="658"/>
        <v>62.92</v>
      </c>
      <c r="AF195" s="261">
        <f t="shared" si="659"/>
        <v>87377</v>
      </c>
      <c r="AG195" s="311"/>
      <c r="AH195" s="311"/>
      <c r="AI195" s="325">
        <f>ROUND(AC195*0.15,2)</f>
        <v>4.48</v>
      </c>
      <c r="AJ195" s="261">
        <f>ROUND(AD195*0.15,0)</f>
        <v>6224</v>
      </c>
      <c r="AK195" s="325">
        <f>ROUND(AE195*0.15,2)</f>
        <v>9.44</v>
      </c>
      <c r="AL195" s="261">
        <f>ROUND(AF195*0.15,0)</f>
        <v>13107</v>
      </c>
      <c r="AM195" s="326">
        <f>IFERROR(AC195/K195,IFERROR(AK195/O195,""))</f>
        <v>1.000334784</v>
      </c>
      <c r="AN195" s="313"/>
    </row>
    <row r="196" ht="12.75" customHeight="1">
      <c r="A196" s="245" t="s">
        <v>696</v>
      </c>
      <c r="B196" s="246" t="s">
        <v>118</v>
      </c>
      <c r="C196" s="247" t="s">
        <v>119</v>
      </c>
      <c r="D196" s="247" t="s">
        <v>255</v>
      </c>
      <c r="E196" s="247" t="s">
        <v>256</v>
      </c>
      <c r="F196" s="248"/>
      <c r="G196" s="247" t="s">
        <v>103</v>
      </c>
      <c r="H196" s="247" t="s">
        <v>239</v>
      </c>
      <c r="I196" s="248" t="s">
        <v>105</v>
      </c>
      <c r="J196" s="300" t="s">
        <v>106</v>
      </c>
      <c r="K196" s="301">
        <v>92.6</v>
      </c>
      <c r="L196" s="302">
        <v>129084.0</v>
      </c>
      <c r="M196" s="303">
        <v>13.89</v>
      </c>
      <c r="N196" s="250">
        <v>19362.0</v>
      </c>
      <c r="O196" s="249">
        <v>0.0</v>
      </c>
      <c r="P196" s="250">
        <v>0.0</v>
      </c>
      <c r="Q196" s="251">
        <f t="shared" ref="Q196:R196" si="664">M196-O196</f>
        <v>13.89</v>
      </c>
      <c r="R196" s="252">
        <f t="shared" si="664"/>
        <v>19362</v>
      </c>
      <c r="S196" s="253">
        <v>1394.0</v>
      </c>
      <c r="T196" s="254">
        <v>15.0</v>
      </c>
      <c r="U196" s="255" t="s">
        <v>107</v>
      </c>
      <c r="V196" s="255"/>
      <c r="W196" s="304">
        <v>0.0926</v>
      </c>
      <c r="X196" s="304">
        <v>0.029814</v>
      </c>
      <c r="Y196" s="304">
        <v>0.062786</v>
      </c>
      <c r="Z196" s="305">
        <f>IFERROR(ROUND(K196/W196,0),0)</f>
        <v>1000</v>
      </c>
      <c r="AA196" s="306">
        <f t="shared" ref="AA196:AA197" si="666">Z196*W196</f>
        <v>92.6</v>
      </c>
      <c r="AB196" s="307">
        <f t="shared" ref="AB196:AB197" si="667">ROUND(AA196*S196,0)</f>
        <v>129084</v>
      </c>
      <c r="AC196" s="308">
        <f t="shared" ref="AC196:AC197" si="668">AA196</f>
        <v>92.6</v>
      </c>
      <c r="AD196" s="309">
        <f t="shared" si="657"/>
        <v>129084</v>
      </c>
      <c r="AE196" s="310">
        <f t="shared" si="658"/>
        <v>62.79</v>
      </c>
      <c r="AF196" s="252">
        <f t="shared" si="659"/>
        <v>87529</v>
      </c>
      <c r="AG196" s="306">
        <f t="shared" ref="AG196:AG197" si="669">ROUND(AC196*0.15,2)</f>
        <v>13.89</v>
      </c>
      <c r="AH196" s="252">
        <f t="shared" ref="AH196:AH197" si="670">ROUND(AD196*0.15,0)</f>
        <v>19363</v>
      </c>
      <c r="AI196" s="311"/>
      <c r="AJ196" s="311"/>
      <c r="AK196" s="311"/>
      <c r="AL196" s="311"/>
      <c r="AM196" s="312"/>
      <c r="AN196" s="313"/>
    </row>
    <row r="197" ht="12.75" customHeight="1">
      <c r="A197" s="245" t="s">
        <v>697</v>
      </c>
      <c r="B197" s="246" t="s">
        <v>118</v>
      </c>
      <c r="C197" s="247" t="s">
        <v>119</v>
      </c>
      <c r="D197" s="247" t="s">
        <v>255</v>
      </c>
      <c r="E197" s="247" t="s">
        <v>256</v>
      </c>
      <c r="F197" s="248"/>
      <c r="G197" s="247" t="s">
        <v>103</v>
      </c>
      <c r="H197" s="247" t="s">
        <v>239</v>
      </c>
      <c r="I197" s="248" t="s">
        <v>105</v>
      </c>
      <c r="J197" s="300" t="s">
        <v>106</v>
      </c>
      <c r="K197" s="314">
        <f t="shared" ref="K197:R197" si="665">-K196</f>
        <v>-92.6</v>
      </c>
      <c r="L197" s="309">
        <f t="shared" si="665"/>
        <v>-129084</v>
      </c>
      <c r="M197" s="315">
        <f t="shared" si="665"/>
        <v>-13.89</v>
      </c>
      <c r="N197" s="252">
        <f t="shared" si="665"/>
        <v>-19362</v>
      </c>
      <c r="O197" s="251">
        <f t="shared" si="665"/>
        <v>0</v>
      </c>
      <c r="P197" s="252">
        <f t="shared" si="665"/>
        <v>0</v>
      </c>
      <c r="Q197" s="251">
        <f t="shared" si="665"/>
        <v>-13.89</v>
      </c>
      <c r="R197" s="252">
        <f t="shared" si="665"/>
        <v>-19362</v>
      </c>
      <c r="S197" s="253">
        <v>1394.0</v>
      </c>
      <c r="T197" s="254">
        <v>15.0</v>
      </c>
      <c r="U197" s="255" t="s">
        <v>107</v>
      </c>
      <c r="V197" s="255"/>
      <c r="W197" s="304">
        <v>0.0926</v>
      </c>
      <c r="X197" s="304">
        <v>0.029814</v>
      </c>
      <c r="Y197" s="304">
        <v>0.062786</v>
      </c>
      <c r="Z197" s="305">
        <f>-Z196</f>
        <v>-1000</v>
      </c>
      <c r="AA197" s="306">
        <f t="shared" si="666"/>
        <v>-92.6</v>
      </c>
      <c r="AB197" s="307">
        <f t="shared" si="667"/>
        <v>-129084</v>
      </c>
      <c r="AC197" s="308">
        <f t="shared" si="668"/>
        <v>-92.6</v>
      </c>
      <c r="AD197" s="309">
        <f t="shared" si="657"/>
        <v>-129084</v>
      </c>
      <c r="AE197" s="310">
        <f t="shared" si="658"/>
        <v>-62.79</v>
      </c>
      <c r="AF197" s="252">
        <f t="shared" si="659"/>
        <v>-87529</v>
      </c>
      <c r="AG197" s="306">
        <f t="shared" si="669"/>
        <v>-13.89</v>
      </c>
      <c r="AH197" s="252">
        <f t="shared" si="670"/>
        <v>-19363</v>
      </c>
      <c r="AI197" s="311"/>
      <c r="AJ197" s="311"/>
      <c r="AK197" s="311"/>
      <c r="AL197" s="311"/>
      <c r="AM197" s="312"/>
      <c r="AN197" s="313"/>
    </row>
    <row r="198" ht="12.75" customHeight="1">
      <c r="A198" s="256" t="s">
        <v>698</v>
      </c>
      <c r="B198" s="257" t="s">
        <v>118</v>
      </c>
      <c r="C198" s="258" t="s">
        <v>119</v>
      </c>
      <c r="D198" s="258" t="s">
        <v>255</v>
      </c>
      <c r="E198" s="258" t="s">
        <v>256</v>
      </c>
      <c r="F198" s="259"/>
      <c r="G198" s="258" t="s">
        <v>103</v>
      </c>
      <c r="H198" s="258" t="s">
        <v>239</v>
      </c>
      <c r="I198" s="259" t="s">
        <v>105</v>
      </c>
      <c r="J198" s="316" t="s">
        <v>106</v>
      </c>
      <c r="K198" s="317">
        <f>ROUND(M198/0.15,2)</f>
        <v>29.8</v>
      </c>
      <c r="L198" s="318">
        <f>ROUND(N198/0.15,0)</f>
        <v>41540</v>
      </c>
      <c r="M198" s="319">
        <f t="shared" ref="M198:N198" si="671">Q198</f>
        <v>4.47</v>
      </c>
      <c r="N198" s="261">
        <f t="shared" si="671"/>
        <v>6231</v>
      </c>
      <c r="O198" s="262">
        <v>9.42</v>
      </c>
      <c r="P198" s="263">
        <v>13131.0</v>
      </c>
      <c r="Q198" s="260">
        <f t="shared" ref="Q198:R198" si="672">M196-O198</f>
        <v>4.47</v>
      </c>
      <c r="R198" s="261">
        <f t="shared" si="672"/>
        <v>6231</v>
      </c>
      <c r="S198" s="264">
        <v>1394.0</v>
      </c>
      <c r="T198" s="265">
        <v>15.0</v>
      </c>
      <c r="U198" s="266" t="s">
        <v>107</v>
      </c>
      <c r="V198" s="266" t="s">
        <v>1048</v>
      </c>
      <c r="W198" s="320">
        <v>0.0926</v>
      </c>
      <c r="X198" s="320">
        <v>0.029814</v>
      </c>
      <c r="Y198" s="320">
        <v>0.062786</v>
      </c>
      <c r="Z198" s="321">
        <f>Z196</f>
        <v>1000</v>
      </c>
      <c r="AA198" s="311"/>
      <c r="AB198" s="322"/>
      <c r="AC198" s="323">
        <f>IFERROR(ROUND(Z198*X198,2),0)</f>
        <v>29.81</v>
      </c>
      <c r="AD198" s="318">
        <f t="shared" si="657"/>
        <v>41555</v>
      </c>
      <c r="AE198" s="324">
        <f t="shared" si="658"/>
        <v>62.79</v>
      </c>
      <c r="AF198" s="261">
        <f t="shared" si="659"/>
        <v>87529</v>
      </c>
      <c r="AG198" s="311"/>
      <c r="AH198" s="311"/>
      <c r="AI198" s="325">
        <f>ROUND(AC198*0.15,2)</f>
        <v>4.47</v>
      </c>
      <c r="AJ198" s="261">
        <f>ROUND(AD198*0.15,0)</f>
        <v>6233</v>
      </c>
      <c r="AK198" s="325">
        <f>ROUND(AE198*0.15,2)</f>
        <v>9.42</v>
      </c>
      <c r="AL198" s="261">
        <f>ROUND(AF198*0.15,0)</f>
        <v>13129</v>
      </c>
      <c r="AM198" s="326">
        <f>IFERROR(AC198/K198,IFERROR(AK198/O198,""))</f>
        <v>1.00033557</v>
      </c>
      <c r="AN198" s="313"/>
    </row>
    <row r="199" ht="12.75" customHeight="1">
      <c r="A199" s="267" t="s">
        <v>700</v>
      </c>
      <c r="B199" s="268" t="s">
        <v>118</v>
      </c>
      <c r="C199" s="269" t="s">
        <v>119</v>
      </c>
      <c r="D199" s="269" t="s">
        <v>257</v>
      </c>
      <c r="E199" s="269" t="s">
        <v>255</v>
      </c>
      <c r="F199" s="270"/>
      <c r="G199" s="269" t="s">
        <v>216</v>
      </c>
      <c r="H199" s="270" t="s">
        <v>217</v>
      </c>
      <c r="I199" s="270" t="s">
        <v>105</v>
      </c>
      <c r="J199" s="354" t="s">
        <v>106</v>
      </c>
      <c r="K199" s="355">
        <v>37.57</v>
      </c>
      <c r="L199" s="356">
        <v>52406.0</v>
      </c>
      <c r="M199" s="357">
        <v>5.64</v>
      </c>
      <c r="N199" s="272">
        <v>7867.0</v>
      </c>
      <c r="O199" s="271">
        <v>0.0</v>
      </c>
      <c r="P199" s="272">
        <v>0.0</v>
      </c>
      <c r="Q199" s="273">
        <f t="shared" ref="Q199:R199" si="673">M199-O199</f>
        <v>5.64</v>
      </c>
      <c r="R199" s="274">
        <f t="shared" si="673"/>
        <v>7867</v>
      </c>
      <c r="S199" s="275">
        <v>1394.9</v>
      </c>
      <c r="T199" s="276">
        <v>15.0</v>
      </c>
      <c r="U199" s="277" t="s">
        <v>107</v>
      </c>
      <c r="V199" s="277"/>
      <c r="W199" s="358"/>
      <c r="X199" s="358"/>
      <c r="Y199" s="358"/>
      <c r="Z199" s="358"/>
      <c r="AA199" s="358"/>
      <c r="AB199" s="359"/>
      <c r="AC199" s="360">
        <f t="shared" ref="AC199:AD199" si="674">K199</f>
        <v>37.57</v>
      </c>
      <c r="AD199" s="361">
        <f t="shared" si="674"/>
        <v>52406</v>
      </c>
      <c r="AE199" s="362"/>
      <c r="AF199" s="358"/>
      <c r="AG199" s="358"/>
      <c r="AH199" s="358"/>
      <c r="AI199" s="363">
        <f t="shared" ref="AI199:AJ199" si="675">Q199</f>
        <v>5.64</v>
      </c>
      <c r="AJ199" s="364">
        <f t="shared" si="675"/>
        <v>7867</v>
      </c>
      <c r="AK199" s="358"/>
      <c r="AL199" s="358"/>
      <c r="AM199" s="365"/>
      <c r="AN199" s="366"/>
    </row>
    <row r="200" ht="12.75" customHeight="1">
      <c r="A200" s="245" t="s">
        <v>701</v>
      </c>
      <c r="B200" s="246" t="s">
        <v>118</v>
      </c>
      <c r="C200" s="247" t="s">
        <v>119</v>
      </c>
      <c r="D200" s="247" t="s">
        <v>258</v>
      </c>
      <c r="E200" s="247" t="s">
        <v>259</v>
      </c>
      <c r="F200" s="248"/>
      <c r="G200" s="247" t="s">
        <v>103</v>
      </c>
      <c r="H200" s="247" t="s">
        <v>239</v>
      </c>
      <c r="I200" s="248" t="s">
        <v>105</v>
      </c>
      <c r="J200" s="300" t="s">
        <v>106</v>
      </c>
      <c r="K200" s="301">
        <v>92.1</v>
      </c>
      <c r="L200" s="302">
        <v>130008.0</v>
      </c>
      <c r="M200" s="303">
        <v>13.82</v>
      </c>
      <c r="N200" s="250">
        <v>19508.0</v>
      </c>
      <c r="O200" s="249">
        <v>0.0</v>
      </c>
      <c r="P200" s="250">
        <v>0.0</v>
      </c>
      <c r="Q200" s="251">
        <f t="shared" ref="Q200:R200" si="676">M200-O200</f>
        <v>13.82</v>
      </c>
      <c r="R200" s="252">
        <f t="shared" si="676"/>
        <v>19508</v>
      </c>
      <c r="S200" s="253">
        <v>1411.6</v>
      </c>
      <c r="T200" s="254">
        <v>15.0</v>
      </c>
      <c r="U200" s="255" t="s">
        <v>107</v>
      </c>
      <c r="V200" s="255"/>
      <c r="W200" s="304">
        <v>0.0913</v>
      </c>
      <c r="X200" s="304">
        <v>0.029396</v>
      </c>
      <c r="Y200" s="304">
        <v>0.061904</v>
      </c>
      <c r="Z200" s="305">
        <f>IFERROR(ROUND(K200/W200,0),0)</f>
        <v>1009</v>
      </c>
      <c r="AA200" s="306">
        <f t="shared" ref="AA200:AA201" si="678">Z200*W200</f>
        <v>92.1217</v>
      </c>
      <c r="AB200" s="307">
        <f t="shared" ref="AB200:AB201" si="679">ROUND(AA200*S200,0)</f>
        <v>130039</v>
      </c>
      <c r="AC200" s="308">
        <f t="shared" ref="AC200:AC201" si="680">AA200</f>
        <v>92.1217</v>
      </c>
      <c r="AD200" s="309">
        <f t="shared" ref="AD200:AD202" si="681">ROUND(AC200*S200,0)</f>
        <v>130039</v>
      </c>
      <c r="AE200" s="310">
        <f t="shared" ref="AE200:AE202" si="682">IFERROR(ROUND(Z200*Y200,2),0)</f>
        <v>62.46</v>
      </c>
      <c r="AF200" s="252">
        <f t="shared" ref="AF200:AF202" si="683">ROUND(AE200*S200,0)</f>
        <v>88169</v>
      </c>
      <c r="AG200" s="306">
        <f t="shared" ref="AG200:AG201" si="684">ROUND(AC200*0.15,2)</f>
        <v>13.82</v>
      </c>
      <c r="AH200" s="252">
        <f t="shared" ref="AH200:AH201" si="685">ROUND(AD200*0.15,0)</f>
        <v>19506</v>
      </c>
      <c r="AI200" s="311"/>
      <c r="AJ200" s="311"/>
      <c r="AK200" s="311"/>
      <c r="AL200" s="311"/>
      <c r="AM200" s="312"/>
      <c r="AN200" s="313"/>
    </row>
    <row r="201" ht="12.75" customHeight="1">
      <c r="A201" s="245" t="s">
        <v>702</v>
      </c>
      <c r="B201" s="246" t="s">
        <v>118</v>
      </c>
      <c r="C201" s="247" t="s">
        <v>119</v>
      </c>
      <c r="D201" s="247" t="s">
        <v>258</v>
      </c>
      <c r="E201" s="247" t="s">
        <v>259</v>
      </c>
      <c r="F201" s="248"/>
      <c r="G201" s="247" t="s">
        <v>103</v>
      </c>
      <c r="H201" s="247" t="s">
        <v>239</v>
      </c>
      <c r="I201" s="248" t="s">
        <v>105</v>
      </c>
      <c r="J201" s="300" t="s">
        <v>106</v>
      </c>
      <c r="K201" s="314">
        <f t="shared" ref="K201:R201" si="677">-K200</f>
        <v>-92.1</v>
      </c>
      <c r="L201" s="309">
        <f t="shared" si="677"/>
        <v>-130008</v>
      </c>
      <c r="M201" s="315">
        <f t="shared" si="677"/>
        <v>-13.82</v>
      </c>
      <c r="N201" s="252">
        <f t="shared" si="677"/>
        <v>-19508</v>
      </c>
      <c r="O201" s="251">
        <f t="shared" si="677"/>
        <v>0</v>
      </c>
      <c r="P201" s="252">
        <f t="shared" si="677"/>
        <v>0</v>
      </c>
      <c r="Q201" s="251">
        <f t="shared" si="677"/>
        <v>-13.82</v>
      </c>
      <c r="R201" s="252">
        <f t="shared" si="677"/>
        <v>-19508</v>
      </c>
      <c r="S201" s="253">
        <v>1411.6</v>
      </c>
      <c r="T201" s="254">
        <v>15.0</v>
      </c>
      <c r="U201" s="255" t="s">
        <v>107</v>
      </c>
      <c r="V201" s="255"/>
      <c r="W201" s="304">
        <v>0.0913</v>
      </c>
      <c r="X201" s="304">
        <v>0.029396</v>
      </c>
      <c r="Y201" s="304">
        <v>0.061904</v>
      </c>
      <c r="Z201" s="305">
        <f>-Z200</f>
        <v>-1009</v>
      </c>
      <c r="AA201" s="306">
        <f t="shared" si="678"/>
        <v>-92.1217</v>
      </c>
      <c r="AB201" s="307">
        <f t="shared" si="679"/>
        <v>-130039</v>
      </c>
      <c r="AC201" s="308">
        <f t="shared" si="680"/>
        <v>-92.1217</v>
      </c>
      <c r="AD201" s="309">
        <f t="shared" si="681"/>
        <v>-130039</v>
      </c>
      <c r="AE201" s="310">
        <f t="shared" si="682"/>
        <v>-62.46</v>
      </c>
      <c r="AF201" s="252">
        <f t="shared" si="683"/>
        <v>-88169</v>
      </c>
      <c r="AG201" s="306">
        <f t="shared" si="684"/>
        <v>-13.82</v>
      </c>
      <c r="AH201" s="252">
        <f t="shared" si="685"/>
        <v>-19506</v>
      </c>
      <c r="AI201" s="311"/>
      <c r="AJ201" s="311"/>
      <c r="AK201" s="311"/>
      <c r="AL201" s="311"/>
      <c r="AM201" s="312"/>
      <c r="AN201" s="313"/>
    </row>
    <row r="202" ht="12.75" customHeight="1">
      <c r="A202" s="256" t="s">
        <v>703</v>
      </c>
      <c r="B202" s="257" t="s">
        <v>118</v>
      </c>
      <c r="C202" s="258" t="s">
        <v>119</v>
      </c>
      <c r="D202" s="258" t="s">
        <v>258</v>
      </c>
      <c r="E202" s="258" t="s">
        <v>259</v>
      </c>
      <c r="F202" s="259"/>
      <c r="G202" s="258" t="s">
        <v>103</v>
      </c>
      <c r="H202" s="258" t="s">
        <v>239</v>
      </c>
      <c r="I202" s="259" t="s">
        <v>105</v>
      </c>
      <c r="J202" s="316" t="s">
        <v>106</v>
      </c>
      <c r="K202" s="317">
        <f>ROUND(M202/0.15,2)</f>
        <v>29.67</v>
      </c>
      <c r="L202" s="318">
        <f>ROUND(N202/0.15,0)</f>
        <v>41873</v>
      </c>
      <c r="M202" s="319">
        <f t="shared" ref="M202:N202" si="686">Q202</f>
        <v>4.45</v>
      </c>
      <c r="N202" s="261">
        <f t="shared" si="686"/>
        <v>6281</v>
      </c>
      <c r="O202" s="262">
        <v>9.37</v>
      </c>
      <c r="P202" s="263">
        <v>13227.0</v>
      </c>
      <c r="Q202" s="260">
        <f t="shared" ref="Q202:R202" si="687">M200-O202</f>
        <v>4.45</v>
      </c>
      <c r="R202" s="261">
        <f t="shared" si="687"/>
        <v>6281</v>
      </c>
      <c r="S202" s="264">
        <v>1411.6</v>
      </c>
      <c r="T202" s="265">
        <v>15.0</v>
      </c>
      <c r="U202" s="266" t="s">
        <v>107</v>
      </c>
      <c r="V202" s="266" t="s">
        <v>1049</v>
      </c>
      <c r="W202" s="320">
        <v>0.0913</v>
      </c>
      <c r="X202" s="320">
        <v>0.029396</v>
      </c>
      <c r="Y202" s="320">
        <v>0.061904</v>
      </c>
      <c r="Z202" s="321">
        <f>Z200</f>
        <v>1009</v>
      </c>
      <c r="AA202" s="311"/>
      <c r="AB202" s="322"/>
      <c r="AC202" s="323">
        <f>IFERROR(ROUND(Z202*X202,2),0)</f>
        <v>29.66</v>
      </c>
      <c r="AD202" s="318">
        <f t="shared" si="681"/>
        <v>41868</v>
      </c>
      <c r="AE202" s="324">
        <f t="shared" si="682"/>
        <v>62.46</v>
      </c>
      <c r="AF202" s="261">
        <f t="shared" si="683"/>
        <v>88169</v>
      </c>
      <c r="AG202" s="311"/>
      <c r="AH202" s="311"/>
      <c r="AI202" s="325">
        <f>ROUND(AC202*0.15,2)</f>
        <v>4.45</v>
      </c>
      <c r="AJ202" s="261">
        <f>ROUND(AD202*0.15,0)</f>
        <v>6280</v>
      </c>
      <c r="AK202" s="325">
        <f>ROUND(AE202*0.15,2)</f>
        <v>9.37</v>
      </c>
      <c r="AL202" s="261">
        <f>ROUND(AF202*0.15,0)</f>
        <v>13225</v>
      </c>
      <c r="AM202" s="326">
        <f>IFERROR(AC202/K202,IFERROR(AK202/O202,""))</f>
        <v>0.9996629592</v>
      </c>
      <c r="AN202" s="313"/>
    </row>
    <row r="203" ht="12.75" customHeight="1">
      <c r="A203" s="267" t="s">
        <v>705</v>
      </c>
      <c r="B203" s="268" t="s">
        <v>118</v>
      </c>
      <c r="C203" s="269" t="s">
        <v>119</v>
      </c>
      <c r="D203" s="269" t="s">
        <v>260</v>
      </c>
      <c r="E203" s="269" t="s">
        <v>261</v>
      </c>
      <c r="F203" s="270"/>
      <c r="G203" s="269" t="s">
        <v>262</v>
      </c>
      <c r="H203" s="270" t="s">
        <v>263</v>
      </c>
      <c r="I203" s="270" t="s">
        <v>105</v>
      </c>
      <c r="J203" s="354" t="s">
        <v>106</v>
      </c>
      <c r="K203" s="355">
        <v>0.04</v>
      </c>
      <c r="L203" s="356">
        <v>56.0</v>
      </c>
      <c r="M203" s="357">
        <v>0.01</v>
      </c>
      <c r="N203" s="272">
        <v>14.0</v>
      </c>
      <c r="O203" s="271">
        <v>0.0</v>
      </c>
      <c r="P203" s="272">
        <v>0.0</v>
      </c>
      <c r="Q203" s="273">
        <f t="shared" ref="Q203:R203" si="688">M203-O203</f>
        <v>0.01</v>
      </c>
      <c r="R203" s="274">
        <f t="shared" si="688"/>
        <v>14</v>
      </c>
      <c r="S203" s="275">
        <v>1401.9</v>
      </c>
      <c r="T203" s="276">
        <v>15.0</v>
      </c>
      <c r="U203" s="277" t="s">
        <v>107</v>
      </c>
      <c r="V203" s="277"/>
      <c r="W203" s="358"/>
      <c r="X203" s="358"/>
      <c r="Y203" s="358"/>
      <c r="Z203" s="358"/>
      <c r="AA203" s="358"/>
      <c r="AB203" s="359"/>
      <c r="AC203" s="360">
        <f t="shared" ref="AC203:AD203" si="689">K203</f>
        <v>0.04</v>
      </c>
      <c r="AD203" s="361">
        <f t="shared" si="689"/>
        <v>56</v>
      </c>
      <c r="AE203" s="362"/>
      <c r="AF203" s="358"/>
      <c r="AG203" s="358"/>
      <c r="AH203" s="358"/>
      <c r="AI203" s="363">
        <f t="shared" ref="AI203:AJ203" si="690">Q203</f>
        <v>0.01</v>
      </c>
      <c r="AJ203" s="364">
        <f t="shared" si="690"/>
        <v>14</v>
      </c>
      <c r="AK203" s="358"/>
      <c r="AL203" s="358"/>
      <c r="AM203" s="365"/>
      <c r="AN203" s="366"/>
    </row>
    <row r="204" ht="12.75" customHeight="1">
      <c r="A204" s="267" t="s">
        <v>706</v>
      </c>
      <c r="B204" s="268" t="s">
        <v>118</v>
      </c>
      <c r="C204" s="269" t="s">
        <v>119</v>
      </c>
      <c r="D204" s="269" t="s">
        <v>264</v>
      </c>
      <c r="E204" s="269" t="s">
        <v>265</v>
      </c>
      <c r="F204" s="270"/>
      <c r="G204" s="269" t="s">
        <v>266</v>
      </c>
      <c r="H204" s="269" t="s">
        <v>267</v>
      </c>
      <c r="I204" s="270" t="s">
        <v>105</v>
      </c>
      <c r="J204" s="354" t="s">
        <v>106</v>
      </c>
      <c r="K204" s="355">
        <v>2.47</v>
      </c>
      <c r="L204" s="356">
        <v>3508.0</v>
      </c>
      <c r="M204" s="357">
        <v>0.52</v>
      </c>
      <c r="N204" s="272">
        <v>738.0</v>
      </c>
      <c r="O204" s="271">
        <v>0.0</v>
      </c>
      <c r="P204" s="272">
        <v>0.0</v>
      </c>
      <c r="Q204" s="273">
        <f t="shared" ref="Q204:R204" si="691">M204-O204</f>
        <v>0.52</v>
      </c>
      <c r="R204" s="274">
        <f t="shared" si="691"/>
        <v>738</v>
      </c>
      <c r="S204" s="275">
        <v>1420.5</v>
      </c>
      <c r="T204" s="276">
        <v>21.0</v>
      </c>
      <c r="U204" s="277" t="s">
        <v>107</v>
      </c>
      <c r="V204" s="277"/>
      <c r="W204" s="358"/>
      <c r="X204" s="358"/>
      <c r="Y204" s="358"/>
      <c r="Z204" s="358"/>
      <c r="AA204" s="358"/>
      <c r="AB204" s="359"/>
      <c r="AC204" s="360">
        <f t="shared" ref="AC204:AD204" si="692">K204</f>
        <v>2.47</v>
      </c>
      <c r="AD204" s="361">
        <f t="shared" si="692"/>
        <v>3508</v>
      </c>
      <c r="AE204" s="362"/>
      <c r="AF204" s="358"/>
      <c r="AG204" s="358"/>
      <c r="AH204" s="358"/>
      <c r="AI204" s="363">
        <f t="shared" ref="AI204:AJ204" si="693">Q204</f>
        <v>0.52</v>
      </c>
      <c r="AJ204" s="364">
        <f t="shared" si="693"/>
        <v>738</v>
      </c>
      <c r="AK204" s="358"/>
      <c r="AL204" s="358"/>
      <c r="AM204" s="365"/>
      <c r="AN204" s="366"/>
    </row>
    <row r="205" ht="12.75" customHeight="1">
      <c r="A205" s="267" t="s">
        <v>707</v>
      </c>
      <c r="B205" s="268" t="s">
        <v>118</v>
      </c>
      <c r="C205" s="269" t="s">
        <v>119</v>
      </c>
      <c r="D205" s="269" t="s">
        <v>268</v>
      </c>
      <c r="E205" s="270"/>
      <c r="F205" s="270"/>
      <c r="G205" s="269" t="s">
        <v>269</v>
      </c>
      <c r="H205" s="270" t="s">
        <v>1050</v>
      </c>
      <c r="I205" s="270" t="s">
        <v>105</v>
      </c>
      <c r="J205" s="354" t="s">
        <v>150</v>
      </c>
      <c r="K205" s="355">
        <v>0.0</v>
      </c>
      <c r="L205" s="356">
        <v>3.0</v>
      </c>
      <c r="M205" s="357">
        <v>0.0</v>
      </c>
      <c r="N205" s="272">
        <v>0.0</v>
      </c>
      <c r="O205" s="271">
        <v>0.0</v>
      </c>
      <c r="P205" s="272">
        <v>0.0</v>
      </c>
      <c r="Q205" s="273">
        <f t="shared" ref="Q205:R205" si="694">M205-O205</f>
        <v>0</v>
      </c>
      <c r="R205" s="274">
        <f t="shared" si="694"/>
        <v>0</v>
      </c>
      <c r="S205" s="275">
        <v>1.0</v>
      </c>
      <c r="T205" s="276">
        <v>14.0</v>
      </c>
      <c r="U205" s="277" t="s">
        <v>151</v>
      </c>
      <c r="V205" s="277"/>
      <c r="W205" s="358"/>
      <c r="X205" s="358"/>
      <c r="Y205" s="358"/>
      <c r="Z205" s="358"/>
      <c r="AA205" s="358"/>
      <c r="AB205" s="359"/>
      <c r="AC205" s="360">
        <f t="shared" ref="AC205:AD205" si="695">K205</f>
        <v>0</v>
      </c>
      <c r="AD205" s="361">
        <f t="shared" si="695"/>
        <v>3</v>
      </c>
      <c r="AE205" s="362"/>
      <c r="AF205" s="358"/>
      <c r="AG205" s="358"/>
      <c r="AH205" s="358"/>
      <c r="AI205" s="363">
        <f t="shared" ref="AI205:AJ205" si="696">Q205</f>
        <v>0</v>
      </c>
      <c r="AJ205" s="364">
        <f t="shared" si="696"/>
        <v>0</v>
      </c>
      <c r="AK205" s="358"/>
      <c r="AL205" s="358"/>
      <c r="AM205" s="365"/>
      <c r="AN205" s="366"/>
    </row>
    <row r="206" ht="12.75" customHeight="1">
      <c r="A206" s="267" t="s">
        <v>709</v>
      </c>
      <c r="B206" s="268" t="s">
        <v>118</v>
      </c>
      <c r="C206" s="269" t="s">
        <v>119</v>
      </c>
      <c r="D206" s="269" t="s">
        <v>268</v>
      </c>
      <c r="E206" s="270"/>
      <c r="F206" s="270"/>
      <c r="G206" s="269" t="s">
        <v>271</v>
      </c>
      <c r="H206" s="270" t="s">
        <v>1051</v>
      </c>
      <c r="I206" s="270" t="s">
        <v>105</v>
      </c>
      <c r="J206" s="354" t="s">
        <v>150</v>
      </c>
      <c r="K206" s="355">
        <v>0.0</v>
      </c>
      <c r="L206" s="356">
        <v>0.0</v>
      </c>
      <c r="M206" s="357">
        <v>0.0</v>
      </c>
      <c r="N206" s="272">
        <v>0.0</v>
      </c>
      <c r="O206" s="271">
        <v>0.0</v>
      </c>
      <c r="P206" s="272">
        <v>0.0</v>
      </c>
      <c r="Q206" s="273">
        <f t="shared" ref="Q206:R206" si="697">M206-O206</f>
        <v>0</v>
      </c>
      <c r="R206" s="274">
        <f t="shared" si="697"/>
        <v>0</v>
      </c>
      <c r="S206" s="275">
        <v>1.0</v>
      </c>
      <c r="T206" s="276">
        <v>14.0</v>
      </c>
      <c r="U206" s="277" t="s">
        <v>151</v>
      </c>
      <c r="V206" s="277"/>
      <c r="W206" s="358"/>
      <c r="X206" s="358"/>
      <c r="Y206" s="358"/>
      <c r="Z206" s="358"/>
      <c r="AA206" s="358"/>
      <c r="AB206" s="359"/>
      <c r="AC206" s="360">
        <f t="shared" ref="AC206:AD206" si="698">K206</f>
        <v>0</v>
      </c>
      <c r="AD206" s="361">
        <f t="shared" si="698"/>
        <v>0</v>
      </c>
      <c r="AE206" s="362"/>
      <c r="AF206" s="358"/>
      <c r="AG206" s="358"/>
      <c r="AH206" s="358"/>
      <c r="AI206" s="363">
        <f t="shared" ref="AI206:AJ206" si="699">Q206</f>
        <v>0</v>
      </c>
      <c r="AJ206" s="364">
        <f t="shared" si="699"/>
        <v>0</v>
      </c>
      <c r="AK206" s="358"/>
      <c r="AL206" s="358"/>
      <c r="AM206" s="365"/>
      <c r="AN206" s="366"/>
    </row>
    <row r="207" ht="12.75" customHeight="1">
      <c r="A207" s="267" t="s">
        <v>711</v>
      </c>
      <c r="B207" s="268" t="s">
        <v>118</v>
      </c>
      <c r="C207" s="269" t="s">
        <v>119</v>
      </c>
      <c r="D207" s="269" t="s">
        <v>273</v>
      </c>
      <c r="E207" s="270"/>
      <c r="F207" s="270"/>
      <c r="G207" s="269" t="s">
        <v>271</v>
      </c>
      <c r="H207" s="270" t="s">
        <v>1052</v>
      </c>
      <c r="I207" s="270" t="s">
        <v>105</v>
      </c>
      <c r="J207" s="354" t="s">
        <v>150</v>
      </c>
      <c r="K207" s="355">
        <v>0.0</v>
      </c>
      <c r="L207" s="356">
        <v>0.0</v>
      </c>
      <c r="M207" s="357">
        <v>0.0</v>
      </c>
      <c r="N207" s="272">
        <v>0.0</v>
      </c>
      <c r="O207" s="271">
        <v>0.0</v>
      </c>
      <c r="P207" s="272">
        <v>0.0</v>
      </c>
      <c r="Q207" s="273">
        <f t="shared" ref="Q207:R207" si="700">M207-O207</f>
        <v>0</v>
      </c>
      <c r="R207" s="274">
        <f t="shared" si="700"/>
        <v>0</v>
      </c>
      <c r="S207" s="275">
        <v>1.0</v>
      </c>
      <c r="T207" s="276">
        <v>14.0</v>
      </c>
      <c r="U207" s="277" t="s">
        <v>151</v>
      </c>
      <c r="V207" s="277"/>
      <c r="W207" s="358"/>
      <c r="X207" s="358"/>
      <c r="Y207" s="358"/>
      <c r="Z207" s="358"/>
      <c r="AA207" s="358"/>
      <c r="AB207" s="359"/>
      <c r="AC207" s="360">
        <f t="shared" ref="AC207:AD207" si="701">K207</f>
        <v>0</v>
      </c>
      <c r="AD207" s="361">
        <f t="shared" si="701"/>
        <v>0</v>
      </c>
      <c r="AE207" s="362"/>
      <c r="AF207" s="358"/>
      <c r="AG207" s="358"/>
      <c r="AH207" s="358"/>
      <c r="AI207" s="363">
        <f t="shared" ref="AI207:AJ207" si="702">Q207</f>
        <v>0</v>
      </c>
      <c r="AJ207" s="364">
        <f t="shared" si="702"/>
        <v>0</v>
      </c>
      <c r="AK207" s="358"/>
      <c r="AL207" s="358"/>
      <c r="AM207" s="365"/>
      <c r="AN207" s="366"/>
    </row>
    <row r="208" ht="12.75" customHeight="1">
      <c r="A208" s="245" t="s">
        <v>713</v>
      </c>
      <c r="B208" s="246" t="s">
        <v>118</v>
      </c>
      <c r="C208" s="247" t="s">
        <v>119</v>
      </c>
      <c r="D208" s="247" t="s">
        <v>275</v>
      </c>
      <c r="E208" s="247" t="s">
        <v>276</v>
      </c>
      <c r="F208" s="248"/>
      <c r="G208" s="247" t="s">
        <v>116</v>
      </c>
      <c r="H208" s="247" t="s">
        <v>117</v>
      </c>
      <c r="I208" s="248" t="s">
        <v>105</v>
      </c>
      <c r="J208" s="300" t="s">
        <v>106</v>
      </c>
      <c r="K208" s="301">
        <v>989.11</v>
      </c>
      <c r="L208" s="302">
        <v>1438165.0</v>
      </c>
      <c r="M208" s="303">
        <v>148.37</v>
      </c>
      <c r="N208" s="250">
        <v>215729.0</v>
      </c>
      <c r="O208" s="249">
        <v>0.0</v>
      </c>
      <c r="P208" s="250">
        <v>0.0</v>
      </c>
      <c r="Q208" s="251">
        <f t="shared" ref="Q208:R208" si="703">M208-O208</f>
        <v>148.37</v>
      </c>
      <c r="R208" s="252">
        <f t="shared" si="703"/>
        <v>215729</v>
      </c>
      <c r="S208" s="253">
        <v>1454.0</v>
      </c>
      <c r="T208" s="254">
        <v>15.0</v>
      </c>
      <c r="U208" s="255" t="s">
        <v>107</v>
      </c>
      <c r="V208" s="255"/>
      <c r="W208" s="304">
        <v>0.776571</v>
      </c>
      <c r="X208" s="304">
        <v>0.776571</v>
      </c>
      <c r="Y208" s="304">
        <v>0.0</v>
      </c>
      <c r="Z208" s="305">
        <f>IFERROR(ROUND(K208/W208,0),0)</f>
        <v>1274</v>
      </c>
      <c r="AA208" s="306">
        <f t="shared" ref="AA208:AA209" si="705">Z208*W208</f>
        <v>989.351454</v>
      </c>
      <c r="AB208" s="307">
        <f t="shared" ref="AB208:AB209" si="706">ROUND(AA208*S208,0)</f>
        <v>1438517</v>
      </c>
      <c r="AC208" s="308">
        <f t="shared" ref="AC208:AC209" si="707">AA208</f>
        <v>989.351454</v>
      </c>
      <c r="AD208" s="309">
        <f t="shared" ref="AD208:AD209" si="708">ROUND(AC208*S208,0)</f>
        <v>1438517</v>
      </c>
      <c r="AE208" s="310">
        <f t="shared" ref="AE208:AE209" si="709">IFERROR(ROUND(Z208*Y208,2),0)</f>
        <v>0</v>
      </c>
      <c r="AF208" s="252">
        <f t="shared" ref="AF208:AF209" si="710">ROUND(AE208*S208,0)</f>
        <v>0</v>
      </c>
      <c r="AG208" s="306">
        <f t="shared" ref="AG208:AG209" si="711">ROUND(AC208*0.15,2)</f>
        <v>148.4</v>
      </c>
      <c r="AH208" s="252">
        <f t="shared" ref="AH208:AH209" si="712">ROUND(AD208*0.15,0)</f>
        <v>215778</v>
      </c>
      <c r="AI208" s="311"/>
      <c r="AJ208" s="311"/>
      <c r="AK208" s="311"/>
      <c r="AL208" s="311"/>
      <c r="AM208" s="312"/>
      <c r="AN208" s="313"/>
    </row>
    <row r="209" ht="12.75" customHeight="1">
      <c r="A209" s="245" t="s">
        <v>714</v>
      </c>
      <c r="B209" s="246" t="s">
        <v>118</v>
      </c>
      <c r="C209" s="247" t="s">
        <v>119</v>
      </c>
      <c r="D209" s="247" t="s">
        <v>275</v>
      </c>
      <c r="E209" s="247" t="s">
        <v>276</v>
      </c>
      <c r="F209" s="248"/>
      <c r="G209" s="247" t="s">
        <v>116</v>
      </c>
      <c r="H209" s="247" t="s">
        <v>117</v>
      </c>
      <c r="I209" s="248" t="s">
        <v>105</v>
      </c>
      <c r="J209" s="300" t="s">
        <v>106</v>
      </c>
      <c r="K209" s="314">
        <f t="shared" ref="K209:R209" si="704">-K208</f>
        <v>-989.11</v>
      </c>
      <c r="L209" s="309">
        <f t="shared" si="704"/>
        <v>-1438165</v>
      </c>
      <c r="M209" s="315">
        <f t="shared" si="704"/>
        <v>-148.37</v>
      </c>
      <c r="N209" s="252">
        <f t="shared" si="704"/>
        <v>-215729</v>
      </c>
      <c r="O209" s="251">
        <f t="shared" si="704"/>
        <v>0</v>
      </c>
      <c r="P209" s="252">
        <f t="shared" si="704"/>
        <v>0</v>
      </c>
      <c r="Q209" s="251">
        <f t="shared" si="704"/>
        <v>-148.37</v>
      </c>
      <c r="R209" s="252">
        <f t="shared" si="704"/>
        <v>-215729</v>
      </c>
      <c r="S209" s="253">
        <v>1454.0</v>
      </c>
      <c r="T209" s="254">
        <v>15.0</v>
      </c>
      <c r="U209" s="255" t="s">
        <v>107</v>
      </c>
      <c r="V209" s="255"/>
      <c r="W209" s="304">
        <v>0.776571</v>
      </c>
      <c r="X209" s="304">
        <v>0.776571</v>
      </c>
      <c r="Y209" s="304">
        <v>0.0</v>
      </c>
      <c r="Z209" s="305">
        <f>-Z208</f>
        <v>-1274</v>
      </c>
      <c r="AA209" s="306">
        <f t="shared" si="705"/>
        <v>-989.351454</v>
      </c>
      <c r="AB209" s="307">
        <f t="shared" si="706"/>
        <v>-1438517</v>
      </c>
      <c r="AC209" s="308">
        <f t="shared" si="707"/>
        <v>-989.351454</v>
      </c>
      <c r="AD209" s="309">
        <f t="shared" si="708"/>
        <v>-1438517</v>
      </c>
      <c r="AE209" s="310">
        <f t="shared" si="709"/>
        <v>0</v>
      </c>
      <c r="AF209" s="252">
        <f t="shared" si="710"/>
        <v>0</v>
      </c>
      <c r="AG209" s="306">
        <f t="shared" si="711"/>
        <v>-148.4</v>
      </c>
      <c r="AH209" s="252">
        <f t="shared" si="712"/>
        <v>-215778</v>
      </c>
      <c r="AI209" s="311"/>
      <c r="AJ209" s="311"/>
      <c r="AK209" s="311"/>
      <c r="AL209" s="311"/>
      <c r="AM209" s="312"/>
      <c r="AN209" s="313"/>
    </row>
    <row r="210" ht="12.75" customHeight="1">
      <c r="A210" s="327" t="s">
        <v>715</v>
      </c>
      <c r="B210" s="328" t="s">
        <v>118</v>
      </c>
      <c r="C210" s="329" t="s">
        <v>119</v>
      </c>
      <c r="D210" s="329" t="s">
        <v>275</v>
      </c>
      <c r="E210" s="329" t="s">
        <v>276</v>
      </c>
      <c r="F210" s="330"/>
      <c r="G210" s="329" t="s">
        <v>116</v>
      </c>
      <c r="H210" s="329" t="s">
        <v>117</v>
      </c>
      <c r="I210" s="330" t="s">
        <v>105</v>
      </c>
      <c r="J210" s="331" t="s">
        <v>106</v>
      </c>
      <c r="K210" s="332">
        <f>ROUND(M210/0.15,2)</f>
        <v>954.73</v>
      </c>
      <c r="L210" s="333">
        <f>ROUND(N210/0.15,0)</f>
        <v>1388173</v>
      </c>
      <c r="M210" s="334">
        <f t="shared" ref="M210:N210" si="713">Q210</f>
        <v>143.21</v>
      </c>
      <c r="N210" s="335">
        <f t="shared" si="713"/>
        <v>208226</v>
      </c>
      <c r="O210" s="336">
        <v>5.16</v>
      </c>
      <c r="P210" s="337">
        <v>7503.0</v>
      </c>
      <c r="Q210" s="338">
        <f t="shared" ref="Q210:R210" si="714">M208-O210</f>
        <v>143.21</v>
      </c>
      <c r="R210" s="335">
        <f t="shared" si="714"/>
        <v>208226</v>
      </c>
      <c r="S210" s="339">
        <v>1454.0</v>
      </c>
      <c r="T210" s="340">
        <v>15.0</v>
      </c>
      <c r="U210" s="341" t="s">
        <v>107</v>
      </c>
      <c r="V210" s="341" t="s">
        <v>1053</v>
      </c>
      <c r="W210" s="342">
        <v>0.776571</v>
      </c>
      <c r="X210" s="342">
        <v>0.776571</v>
      </c>
      <c r="Y210" s="342">
        <v>0.0</v>
      </c>
      <c r="Z210" s="343">
        <f>Z208</f>
        <v>1274</v>
      </c>
      <c r="AA210" s="344"/>
      <c r="AB210" s="345"/>
      <c r="AC210" s="346">
        <f t="shared" ref="AC210:AD210" si="715">K210</f>
        <v>954.73</v>
      </c>
      <c r="AD210" s="347">
        <f t="shared" si="715"/>
        <v>1388173</v>
      </c>
      <c r="AE210" s="348">
        <f t="shared" ref="AE210:AF210" si="716">round(AK210/0.15,2)</f>
        <v>34.4</v>
      </c>
      <c r="AF210" s="348">
        <f t="shared" si="716"/>
        <v>50020</v>
      </c>
      <c r="AG210" s="349"/>
      <c r="AH210" s="349"/>
      <c r="AI210" s="350">
        <f>ROUND(AC210*0.15,2)</f>
        <v>143.21</v>
      </c>
      <c r="AJ210" s="351">
        <f>ROUND(AD210*0.15,0)</f>
        <v>208226</v>
      </c>
      <c r="AK210" s="350">
        <f t="shared" ref="AK210:AL210" si="717">O210</f>
        <v>5.16</v>
      </c>
      <c r="AL210" s="350">
        <f t="shared" si="717"/>
        <v>7503</v>
      </c>
      <c r="AM210" s="352">
        <f>IFERROR(AC210/K210,IFERROR(AK210/O210,""))</f>
        <v>1</v>
      </c>
      <c r="AN210" s="353" t="s">
        <v>983</v>
      </c>
    </row>
    <row r="211" ht="12.75" customHeight="1">
      <c r="A211" s="245" t="s">
        <v>717</v>
      </c>
      <c r="B211" s="246" t="s">
        <v>118</v>
      </c>
      <c r="C211" s="247" t="s">
        <v>119</v>
      </c>
      <c r="D211" s="247" t="s">
        <v>277</v>
      </c>
      <c r="E211" s="247" t="s">
        <v>278</v>
      </c>
      <c r="F211" s="248"/>
      <c r="G211" s="247" t="s">
        <v>279</v>
      </c>
      <c r="H211" s="247" t="s">
        <v>280</v>
      </c>
      <c r="I211" s="248" t="s">
        <v>105</v>
      </c>
      <c r="J211" s="300" t="s">
        <v>106</v>
      </c>
      <c r="K211" s="301">
        <v>0.45</v>
      </c>
      <c r="L211" s="302">
        <v>661.0</v>
      </c>
      <c r="M211" s="303">
        <v>0.07</v>
      </c>
      <c r="N211" s="250">
        <v>102.0</v>
      </c>
      <c r="O211" s="249">
        <v>0.0</v>
      </c>
      <c r="P211" s="250">
        <v>0.0</v>
      </c>
      <c r="Q211" s="251">
        <f t="shared" ref="Q211:R211" si="718">M211-O211</f>
        <v>0.07</v>
      </c>
      <c r="R211" s="252">
        <f t="shared" si="718"/>
        <v>102</v>
      </c>
      <c r="S211" s="253">
        <v>1469.5</v>
      </c>
      <c r="T211" s="254">
        <v>15.0</v>
      </c>
      <c r="U211" s="255" t="s">
        <v>107</v>
      </c>
      <c r="V211" s="255"/>
      <c r="W211" s="304">
        <v>0.4595</v>
      </c>
      <c r="X211" s="304">
        <v>0.34704</v>
      </c>
      <c r="Y211" s="304">
        <v>0.11246</v>
      </c>
      <c r="Z211" s="305">
        <f>IFERROR(ROUND(K211/W211,0),0)</f>
        <v>1</v>
      </c>
      <c r="AA211" s="306">
        <f t="shared" ref="AA211:AA212" si="720">Z211*W211</f>
        <v>0.4595</v>
      </c>
      <c r="AB211" s="307">
        <f t="shared" ref="AB211:AB212" si="721">ROUND(AA211*S211,0)</f>
        <v>675</v>
      </c>
      <c r="AC211" s="308">
        <f t="shared" ref="AC211:AC212" si="722">AA211</f>
        <v>0.4595</v>
      </c>
      <c r="AD211" s="309">
        <f t="shared" ref="AD211:AD213" si="723">ROUND(AC211*S211,0)</f>
        <v>675</v>
      </c>
      <c r="AE211" s="310">
        <f t="shared" ref="AE211:AE213" si="724">IFERROR(ROUND(Z211*Y211,2),0)</f>
        <v>0.11</v>
      </c>
      <c r="AF211" s="252">
        <f t="shared" ref="AF211:AF213" si="725">ROUND(AE211*S211,0)</f>
        <v>162</v>
      </c>
      <c r="AG211" s="306">
        <f t="shared" ref="AG211:AG212" si="726">ROUND(AC211*0.15,2)</f>
        <v>0.07</v>
      </c>
      <c r="AH211" s="252">
        <f t="shared" ref="AH211:AH212" si="727">ROUND(AD211*0.15,0)</f>
        <v>101</v>
      </c>
      <c r="AI211" s="311"/>
      <c r="AJ211" s="311"/>
      <c r="AK211" s="311"/>
      <c r="AL211" s="311"/>
      <c r="AM211" s="312"/>
      <c r="AN211" s="313"/>
    </row>
    <row r="212" ht="12.75" customHeight="1">
      <c r="A212" s="245" t="s">
        <v>718</v>
      </c>
      <c r="B212" s="246" t="s">
        <v>118</v>
      </c>
      <c r="C212" s="247" t="s">
        <v>119</v>
      </c>
      <c r="D212" s="247" t="s">
        <v>277</v>
      </c>
      <c r="E212" s="247" t="s">
        <v>278</v>
      </c>
      <c r="F212" s="248"/>
      <c r="G212" s="247" t="s">
        <v>279</v>
      </c>
      <c r="H212" s="247" t="s">
        <v>280</v>
      </c>
      <c r="I212" s="248" t="s">
        <v>105</v>
      </c>
      <c r="J212" s="300" t="s">
        <v>106</v>
      </c>
      <c r="K212" s="314">
        <f t="shared" ref="K212:R212" si="719">-K211</f>
        <v>-0.45</v>
      </c>
      <c r="L212" s="309">
        <f t="shared" si="719"/>
        <v>-661</v>
      </c>
      <c r="M212" s="315">
        <f t="shared" si="719"/>
        <v>-0.07</v>
      </c>
      <c r="N212" s="252">
        <f t="shared" si="719"/>
        <v>-102</v>
      </c>
      <c r="O212" s="251">
        <f t="shared" si="719"/>
        <v>0</v>
      </c>
      <c r="P212" s="252">
        <f t="shared" si="719"/>
        <v>0</v>
      </c>
      <c r="Q212" s="251">
        <f t="shared" si="719"/>
        <v>-0.07</v>
      </c>
      <c r="R212" s="252">
        <f t="shared" si="719"/>
        <v>-102</v>
      </c>
      <c r="S212" s="253">
        <v>1469.5</v>
      </c>
      <c r="T212" s="254">
        <v>15.0</v>
      </c>
      <c r="U212" s="255" t="s">
        <v>107</v>
      </c>
      <c r="V212" s="255"/>
      <c r="W212" s="304">
        <v>0.4595</v>
      </c>
      <c r="X212" s="304">
        <v>0.34704</v>
      </c>
      <c r="Y212" s="304">
        <v>0.11246</v>
      </c>
      <c r="Z212" s="305">
        <f>-Z211</f>
        <v>-1</v>
      </c>
      <c r="AA212" s="306">
        <f t="shared" si="720"/>
        <v>-0.4595</v>
      </c>
      <c r="AB212" s="307">
        <f t="shared" si="721"/>
        <v>-675</v>
      </c>
      <c r="AC212" s="308">
        <f t="shared" si="722"/>
        <v>-0.4595</v>
      </c>
      <c r="AD212" s="309">
        <f t="shared" si="723"/>
        <v>-675</v>
      </c>
      <c r="AE212" s="310">
        <f t="shared" si="724"/>
        <v>-0.11</v>
      </c>
      <c r="AF212" s="252">
        <f t="shared" si="725"/>
        <v>-162</v>
      </c>
      <c r="AG212" s="306">
        <f t="shared" si="726"/>
        <v>-0.07</v>
      </c>
      <c r="AH212" s="252">
        <f t="shared" si="727"/>
        <v>-101</v>
      </c>
      <c r="AI212" s="311"/>
      <c r="AJ212" s="311"/>
      <c r="AK212" s="311"/>
      <c r="AL212" s="311"/>
      <c r="AM212" s="312"/>
      <c r="AN212" s="313"/>
    </row>
    <row r="213" ht="12.75" customHeight="1">
      <c r="A213" s="256" t="s">
        <v>719</v>
      </c>
      <c r="B213" s="257" t="s">
        <v>118</v>
      </c>
      <c r="C213" s="258" t="s">
        <v>119</v>
      </c>
      <c r="D213" s="258" t="s">
        <v>277</v>
      </c>
      <c r="E213" s="258" t="s">
        <v>278</v>
      </c>
      <c r="F213" s="259"/>
      <c r="G213" s="258" t="s">
        <v>279</v>
      </c>
      <c r="H213" s="258" t="s">
        <v>280</v>
      </c>
      <c r="I213" s="259" t="s">
        <v>105</v>
      </c>
      <c r="J213" s="316" t="s">
        <v>106</v>
      </c>
      <c r="K213" s="317">
        <f>ROUND(M213/0.15,2)</f>
        <v>0.4</v>
      </c>
      <c r="L213" s="318">
        <f>ROUND(N213/0.15,0)</f>
        <v>580</v>
      </c>
      <c r="M213" s="319">
        <f t="shared" ref="M213:N213" si="728">Q213</f>
        <v>0.06</v>
      </c>
      <c r="N213" s="261">
        <f t="shared" si="728"/>
        <v>87</v>
      </c>
      <c r="O213" s="262">
        <v>0.01</v>
      </c>
      <c r="P213" s="263">
        <v>15.0</v>
      </c>
      <c r="Q213" s="260">
        <f t="shared" ref="Q213:R213" si="729">M211-O213</f>
        <v>0.06</v>
      </c>
      <c r="R213" s="261">
        <f t="shared" si="729"/>
        <v>87</v>
      </c>
      <c r="S213" s="264">
        <v>1469.5</v>
      </c>
      <c r="T213" s="265">
        <v>15.0</v>
      </c>
      <c r="U213" s="266" t="s">
        <v>107</v>
      </c>
      <c r="V213" s="266" t="s">
        <v>1054</v>
      </c>
      <c r="W213" s="320">
        <v>0.4595</v>
      </c>
      <c r="X213" s="320">
        <v>0.34704</v>
      </c>
      <c r="Y213" s="320">
        <v>0.11246</v>
      </c>
      <c r="Z213" s="321">
        <f>Z211</f>
        <v>1</v>
      </c>
      <c r="AA213" s="311"/>
      <c r="AB213" s="322"/>
      <c r="AC213" s="323">
        <f>IFERROR(ROUND(Z213*X213,2),0)</f>
        <v>0.35</v>
      </c>
      <c r="AD213" s="318">
        <f t="shared" si="723"/>
        <v>514</v>
      </c>
      <c r="AE213" s="324">
        <f t="shared" si="724"/>
        <v>0.11</v>
      </c>
      <c r="AF213" s="261">
        <f t="shared" si="725"/>
        <v>162</v>
      </c>
      <c r="AG213" s="311"/>
      <c r="AH213" s="311"/>
      <c r="AI213" s="325">
        <f>ROUND(AC213*0.15,2)</f>
        <v>0.05</v>
      </c>
      <c r="AJ213" s="261">
        <f>ROUND(AD213*0.15,0)</f>
        <v>77</v>
      </c>
      <c r="AK213" s="325">
        <f>ROUND(AE213*0.15,2)</f>
        <v>0.02</v>
      </c>
      <c r="AL213" s="261">
        <f>ROUND(AF213*0.15,0)</f>
        <v>24</v>
      </c>
      <c r="AM213" s="326">
        <f>IFERROR(AC213/K213,IFERROR(AK213/O213,""))</f>
        <v>0.875</v>
      </c>
      <c r="AN213" s="313" t="s">
        <v>1055</v>
      </c>
    </row>
    <row r="214" ht="12.75" customHeight="1">
      <c r="A214" s="267" t="s">
        <v>721</v>
      </c>
      <c r="B214" s="268" t="s">
        <v>118</v>
      </c>
      <c r="C214" s="269" t="s">
        <v>119</v>
      </c>
      <c r="D214" s="269" t="s">
        <v>277</v>
      </c>
      <c r="E214" s="269" t="s">
        <v>278</v>
      </c>
      <c r="F214" s="270"/>
      <c r="G214" s="269" t="s">
        <v>281</v>
      </c>
      <c r="H214" s="269" t="s">
        <v>282</v>
      </c>
      <c r="I214" s="270" t="s">
        <v>105</v>
      </c>
      <c r="J214" s="354" t="s">
        <v>106</v>
      </c>
      <c r="K214" s="355">
        <v>0.65</v>
      </c>
      <c r="L214" s="356">
        <v>955.0</v>
      </c>
      <c r="M214" s="357">
        <v>0.1</v>
      </c>
      <c r="N214" s="272">
        <v>146.0</v>
      </c>
      <c r="O214" s="271">
        <v>0.0</v>
      </c>
      <c r="P214" s="272">
        <v>0.0</v>
      </c>
      <c r="Q214" s="273">
        <f t="shared" ref="Q214:R214" si="730">M214-O214</f>
        <v>0.1</v>
      </c>
      <c r="R214" s="274">
        <f t="shared" si="730"/>
        <v>146</v>
      </c>
      <c r="S214" s="275">
        <v>1469.5</v>
      </c>
      <c r="T214" s="276">
        <v>15.0</v>
      </c>
      <c r="U214" s="277" t="s">
        <v>107</v>
      </c>
      <c r="V214" s="277"/>
      <c r="W214" s="358"/>
      <c r="X214" s="358"/>
      <c r="Y214" s="358"/>
      <c r="Z214" s="358"/>
      <c r="AA214" s="358"/>
      <c r="AB214" s="359"/>
      <c r="AC214" s="360">
        <f t="shared" ref="AC214:AD214" si="731">K214</f>
        <v>0.65</v>
      </c>
      <c r="AD214" s="361">
        <f t="shared" si="731"/>
        <v>955</v>
      </c>
      <c r="AE214" s="362"/>
      <c r="AF214" s="358"/>
      <c r="AG214" s="358"/>
      <c r="AH214" s="358"/>
      <c r="AI214" s="363">
        <f t="shared" ref="AI214:AJ214" si="732">Q214</f>
        <v>0.1</v>
      </c>
      <c r="AJ214" s="364">
        <f t="shared" si="732"/>
        <v>146</v>
      </c>
      <c r="AK214" s="358"/>
      <c r="AL214" s="358"/>
      <c r="AM214" s="365"/>
      <c r="AN214" s="366"/>
    </row>
    <row r="215" ht="12.75" customHeight="1">
      <c r="A215" s="267" t="s">
        <v>722</v>
      </c>
      <c r="B215" s="268" t="s">
        <v>118</v>
      </c>
      <c r="C215" s="269" t="s">
        <v>119</v>
      </c>
      <c r="D215" s="269" t="s">
        <v>283</v>
      </c>
      <c r="E215" s="269" t="s">
        <v>277</v>
      </c>
      <c r="F215" s="270"/>
      <c r="G215" s="269" t="s">
        <v>284</v>
      </c>
      <c r="H215" s="269" t="s">
        <v>285</v>
      </c>
      <c r="I215" s="270" t="s">
        <v>105</v>
      </c>
      <c r="J215" s="354" t="s">
        <v>106</v>
      </c>
      <c r="K215" s="355">
        <v>1.84</v>
      </c>
      <c r="L215" s="356">
        <v>2683.0</v>
      </c>
      <c r="M215" s="357">
        <v>0.28</v>
      </c>
      <c r="N215" s="272">
        <v>408.0</v>
      </c>
      <c r="O215" s="271">
        <v>0.0</v>
      </c>
      <c r="P215" s="272">
        <v>0.0</v>
      </c>
      <c r="Q215" s="273">
        <f t="shared" ref="Q215:R215" si="733">M215-O215</f>
        <v>0.28</v>
      </c>
      <c r="R215" s="274">
        <f t="shared" si="733"/>
        <v>408</v>
      </c>
      <c r="S215" s="275">
        <v>1458.5</v>
      </c>
      <c r="T215" s="276">
        <v>15.0</v>
      </c>
      <c r="U215" s="277" t="s">
        <v>107</v>
      </c>
      <c r="V215" s="277"/>
      <c r="W215" s="358"/>
      <c r="X215" s="358"/>
      <c r="Y215" s="358"/>
      <c r="Z215" s="358"/>
      <c r="AA215" s="358"/>
      <c r="AB215" s="359"/>
      <c r="AC215" s="360">
        <f t="shared" ref="AC215:AD215" si="734">K215</f>
        <v>1.84</v>
      </c>
      <c r="AD215" s="361">
        <f t="shared" si="734"/>
        <v>2683</v>
      </c>
      <c r="AE215" s="362"/>
      <c r="AF215" s="358"/>
      <c r="AG215" s="358"/>
      <c r="AH215" s="358"/>
      <c r="AI215" s="363">
        <f t="shared" ref="AI215:AJ215" si="735">Q215</f>
        <v>0.28</v>
      </c>
      <c r="AJ215" s="364">
        <f t="shared" si="735"/>
        <v>408</v>
      </c>
      <c r="AK215" s="358"/>
      <c r="AL215" s="358"/>
      <c r="AM215" s="365"/>
      <c r="AN215" s="366"/>
    </row>
    <row r="216" ht="12.75" customHeight="1">
      <c r="A216" s="267" t="s">
        <v>723</v>
      </c>
      <c r="B216" s="268" t="s">
        <v>118</v>
      </c>
      <c r="C216" s="269" t="s">
        <v>119</v>
      </c>
      <c r="D216" s="269" t="s">
        <v>286</v>
      </c>
      <c r="E216" s="269" t="s">
        <v>287</v>
      </c>
      <c r="F216" s="270"/>
      <c r="G216" s="269" t="s">
        <v>288</v>
      </c>
      <c r="H216" s="269" t="s">
        <v>289</v>
      </c>
      <c r="I216" s="270" t="s">
        <v>105</v>
      </c>
      <c r="J216" s="354" t="s">
        <v>106</v>
      </c>
      <c r="K216" s="355">
        <v>28.46</v>
      </c>
      <c r="L216" s="356">
        <v>41628.0</v>
      </c>
      <c r="M216" s="357">
        <v>4.27</v>
      </c>
      <c r="N216" s="272">
        <v>6245.0</v>
      </c>
      <c r="O216" s="271">
        <v>0.0</v>
      </c>
      <c r="P216" s="272">
        <v>0.0</v>
      </c>
      <c r="Q216" s="273">
        <f t="shared" ref="Q216:R216" si="736">M216-O216</f>
        <v>4.27</v>
      </c>
      <c r="R216" s="274">
        <f t="shared" si="736"/>
        <v>6245</v>
      </c>
      <c r="S216" s="275">
        <v>1462.7</v>
      </c>
      <c r="T216" s="276">
        <v>15.0</v>
      </c>
      <c r="U216" s="277" t="s">
        <v>107</v>
      </c>
      <c r="V216" s="277"/>
      <c r="W216" s="358"/>
      <c r="X216" s="358"/>
      <c r="Y216" s="358"/>
      <c r="Z216" s="358"/>
      <c r="AA216" s="358"/>
      <c r="AB216" s="359"/>
      <c r="AC216" s="360">
        <f t="shared" ref="AC216:AD216" si="737">K216</f>
        <v>28.46</v>
      </c>
      <c r="AD216" s="361">
        <f t="shared" si="737"/>
        <v>41628</v>
      </c>
      <c r="AE216" s="362"/>
      <c r="AF216" s="358"/>
      <c r="AG216" s="358"/>
      <c r="AH216" s="358"/>
      <c r="AI216" s="363">
        <f t="shared" ref="AI216:AJ216" si="738">Q216</f>
        <v>4.27</v>
      </c>
      <c r="AJ216" s="364">
        <f t="shared" si="738"/>
        <v>6245</v>
      </c>
      <c r="AK216" s="358"/>
      <c r="AL216" s="358"/>
      <c r="AM216" s="365"/>
      <c r="AN216" s="366"/>
    </row>
    <row r="217" ht="12.75" customHeight="1">
      <c r="A217" s="245" t="s">
        <v>724</v>
      </c>
      <c r="B217" s="246" t="s">
        <v>118</v>
      </c>
      <c r="C217" s="247" t="s">
        <v>119</v>
      </c>
      <c r="D217" s="247" t="s">
        <v>290</v>
      </c>
      <c r="E217" s="247" t="s">
        <v>291</v>
      </c>
      <c r="F217" s="248"/>
      <c r="G217" s="247" t="s">
        <v>116</v>
      </c>
      <c r="H217" s="247" t="s">
        <v>117</v>
      </c>
      <c r="I217" s="248" t="s">
        <v>105</v>
      </c>
      <c r="J217" s="300" t="s">
        <v>106</v>
      </c>
      <c r="K217" s="301">
        <v>310.35</v>
      </c>
      <c r="L217" s="302">
        <v>456866.0</v>
      </c>
      <c r="M217" s="303">
        <v>46.55</v>
      </c>
      <c r="N217" s="250">
        <v>68526.0</v>
      </c>
      <c r="O217" s="249">
        <v>0.0</v>
      </c>
      <c r="P217" s="250">
        <v>0.0</v>
      </c>
      <c r="Q217" s="251">
        <f t="shared" ref="Q217:R217" si="739">M217-O217</f>
        <v>46.55</v>
      </c>
      <c r="R217" s="252">
        <f t="shared" si="739"/>
        <v>68526</v>
      </c>
      <c r="S217" s="253">
        <v>1472.1</v>
      </c>
      <c r="T217" s="254">
        <v>15.0</v>
      </c>
      <c r="U217" s="255" t="s">
        <v>107</v>
      </c>
      <c r="V217" s="255"/>
      <c r="W217" s="304">
        <v>0.756075</v>
      </c>
      <c r="X217" s="304">
        <v>0.756075</v>
      </c>
      <c r="Y217" s="304">
        <v>0.0</v>
      </c>
      <c r="Z217" s="305">
        <f>IFERROR(ROUND(K217/W217,0),0)</f>
        <v>410</v>
      </c>
      <c r="AA217" s="306">
        <f t="shared" ref="AA217:AA218" si="741">Z217*W217</f>
        <v>309.99075</v>
      </c>
      <c r="AB217" s="307">
        <f t="shared" ref="AB217:AB218" si="742">ROUND(AA217*S217,0)</f>
        <v>456337</v>
      </c>
      <c r="AC217" s="308">
        <f t="shared" ref="AC217:AC218" si="743">AA217</f>
        <v>309.99075</v>
      </c>
      <c r="AD217" s="309">
        <f t="shared" ref="AD217:AD218" si="744">ROUND(AC217*S217,0)</f>
        <v>456337</v>
      </c>
      <c r="AE217" s="310">
        <f t="shared" ref="AE217:AE218" si="745">IFERROR(ROUND(Z217*Y217,2),0)</f>
        <v>0</v>
      </c>
      <c r="AF217" s="252">
        <f t="shared" ref="AF217:AF218" si="746">ROUND(AE217*S217,0)</f>
        <v>0</v>
      </c>
      <c r="AG217" s="306">
        <f t="shared" ref="AG217:AG218" si="747">ROUND(AC217*0.15,2)</f>
        <v>46.5</v>
      </c>
      <c r="AH217" s="252">
        <f t="shared" ref="AH217:AH218" si="748">ROUND(AD217*0.15,0)</f>
        <v>68451</v>
      </c>
      <c r="AI217" s="311"/>
      <c r="AJ217" s="311"/>
      <c r="AK217" s="311"/>
      <c r="AL217" s="311"/>
      <c r="AM217" s="312"/>
      <c r="AN217" s="313"/>
    </row>
    <row r="218" ht="12.75" customHeight="1">
      <c r="A218" s="245" t="s">
        <v>725</v>
      </c>
      <c r="B218" s="246" t="s">
        <v>118</v>
      </c>
      <c r="C218" s="247" t="s">
        <v>119</v>
      </c>
      <c r="D218" s="247" t="s">
        <v>290</v>
      </c>
      <c r="E218" s="247" t="s">
        <v>291</v>
      </c>
      <c r="F218" s="248"/>
      <c r="G218" s="247" t="s">
        <v>116</v>
      </c>
      <c r="H218" s="247" t="s">
        <v>117</v>
      </c>
      <c r="I218" s="248" t="s">
        <v>105</v>
      </c>
      <c r="J218" s="300" t="s">
        <v>106</v>
      </c>
      <c r="K218" s="314">
        <f t="shared" ref="K218:R218" si="740">-K217</f>
        <v>-310.35</v>
      </c>
      <c r="L218" s="309">
        <f t="shared" si="740"/>
        <v>-456866</v>
      </c>
      <c r="M218" s="315">
        <f t="shared" si="740"/>
        <v>-46.55</v>
      </c>
      <c r="N218" s="252">
        <f t="shared" si="740"/>
        <v>-68526</v>
      </c>
      <c r="O218" s="251">
        <f t="shared" si="740"/>
        <v>0</v>
      </c>
      <c r="P218" s="252">
        <f t="shared" si="740"/>
        <v>0</v>
      </c>
      <c r="Q218" s="251">
        <f t="shared" si="740"/>
        <v>-46.55</v>
      </c>
      <c r="R218" s="252">
        <f t="shared" si="740"/>
        <v>-68526</v>
      </c>
      <c r="S218" s="253">
        <v>1472.1</v>
      </c>
      <c r="T218" s="254">
        <v>15.0</v>
      </c>
      <c r="U218" s="255" t="s">
        <v>107</v>
      </c>
      <c r="V218" s="255"/>
      <c r="W218" s="304">
        <v>0.756075</v>
      </c>
      <c r="X218" s="304">
        <v>0.756075</v>
      </c>
      <c r="Y218" s="304">
        <v>0.0</v>
      </c>
      <c r="Z218" s="305">
        <f>-Z217</f>
        <v>-410</v>
      </c>
      <c r="AA218" s="306">
        <f t="shared" si="741"/>
        <v>-309.99075</v>
      </c>
      <c r="AB218" s="307">
        <f t="shared" si="742"/>
        <v>-456337</v>
      </c>
      <c r="AC218" s="308">
        <f t="shared" si="743"/>
        <v>-309.99075</v>
      </c>
      <c r="AD218" s="309">
        <f t="shared" si="744"/>
        <v>-456337</v>
      </c>
      <c r="AE218" s="310">
        <f t="shared" si="745"/>
        <v>0</v>
      </c>
      <c r="AF218" s="252">
        <f t="shared" si="746"/>
        <v>0</v>
      </c>
      <c r="AG218" s="306">
        <f t="shared" si="747"/>
        <v>-46.5</v>
      </c>
      <c r="AH218" s="252">
        <f t="shared" si="748"/>
        <v>-68451</v>
      </c>
      <c r="AI218" s="311"/>
      <c r="AJ218" s="311"/>
      <c r="AK218" s="311"/>
      <c r="AL218" s="311"/>
      <c r="AM218" s="312"/>
      <c r="AN218" s="313"/>
    </row>
    <row r="219" ht="12.75" customHeight="1">
      <c r="A219" s="327" t="s">
        <v>726</v>
      </c>
      <c r="B219" s="328" t="s">
        <v>118</v>
      </c>
      <c r="C219" s="329" t="s">
        <v>119</v>
      </c>
      <c r="D219" s="329" t="s">
        <v>290</v>
      </c>
      <c r="E219" s="329" t="s">
        <v>291</v>
      </c>
      <c r="F219" s="330"/>
      <c r="G219" s="329" t="s">
        <v>116</v>
      </c>
      <c r="H219" s="329" t="s">
        <v>117</v>
      </c>
      <c r="I219" s="330" t="s">
        <v>105</v>
      </c>
      <c r="J219" s="331" t="s">
        <v>106</v>
      </c>
      <c r="K219" s="332">
        <f>ROUND(M219/0.15,2)</f>
        <v>300.87</v>
      </c>
      <c r="L219" s="333">
        <f>ROUND(N219/0.15,0)</f>
        <v>442907</v>
      </c>
      <c r="M219" s="334">
        <f t="shared" ref="M219:N219" si="749">Q219</f>
        <v>45.13</v>
      </c>
      <c r="N219" s="335">
        <f t="shared" si="749"/>
        <v>66436</v>
      </c>
      <c r="O219" s="336">
        <v>1.42</v>
      </c>
      <c r="P219" s="337">
        <v>2090.0</v>
      </c>
      <c r="Q219" s="338">
        <f t="shared" ref="Q219:R219" si="750">M217-O219</f>
        <v>45.13</v>
      </c>
      <c r="R219" s="335">
        <f t="shared" si="750"/>
        <v>66436</v>
      </c>
      <c r="S219" s="339">
        <v>1472.1</v>
      </c>
      <c r="T219" s="340">
        <v>15.0</v>
      </c>
      <c r="U219" s="341" t="s">
        <v>107</v>
      </c>
      <c r="V219" s="341" t="s">
        <v>1056</v>
      </c>
      <c r="W219" s="342">
        <v>0.756075</v>
      </c>
      <c r="X219" s="342">
        <v>0.756075</v>
      </c>
      <c r="Y219" s="342">
        <v>0.0</v>
      </c>
      <c r="Z219" s="343">
        <f>Z217</f>
        <v>410</v>
      </c>
      <c r="AA219" s="344"/>
      <c r="AB219" s="345"/>
      <c r="AC219" s="346">
        <f t="shared" ref="AC219:AD219" si="751">K219</f>
        <v>300.87</v>
      </c>
      <c r="AD219" s="347">
        <f t="shared" si="751"/>
        <v>442907</v>
      </c>
      <c r="AE219" s="348">
        <f t="shared" ref="AE219:AF219" si="752">round(AK219/0.15,2)</f>
        <v>9.47</v>
      </c>
      <c r="AF219" s="348">
        <f t="shared" si="752"/>
        <v>13933.33</v>
      </c>
      <c r="AG219" s="349"/>
      <c r="AH219" s="349"/>
      <c r="AI219" s="350">
        <f>ROUND(AC219*0.15,2)</f>
        <v>45.13</v>
      </c>
      <c r="AJ219" s="351">
        <f>ROUND(AD219*0.15,0)</f>
        <v>66436</v>
      </c>
      <c r="AK219" s="350">
        <f t="shared" ref="AK219:AL219" si="753">O219</f>
        <v>1.42</v>
      </c>
      <c r="AL219" s="350">
        <f t="shared" si="753"/>
        <v>2090</v>
      </c>
      <c r="AM219" s="352">
        <f>IFERROR(AC219/K219,IFERROR(AK219/O219,""))</f>
        <v>1</v>
      </c>
      <c r="AN219" s="353" t="s">
        <v>983</v>
      </c>
    </row>
    <row r="220" ht="12.75" customHeight="1">
      <c r="A220" s="267" t="s">
        <v>728</v>
      </c>
      <c r="B220" s="268" t="s">
        <v>118</v>
      </c>
      <c r="C220" s="269" t="s">
        <v>119</v>
      </c>
      <c r="D220" s="269" t="s">
        <v>292</v>
      </c>
      <c r="E220" s="269" t="s">
        <v>292</v>
      </c>
      <c r="F220" s="270"/>
      <c r="G220" s="269" t="s">
        <v>293</v>
      </c>
      <c r="H220" s="270" t="s">
        <v>294</v>
      </c>
      <c r="I220" s="270" t="s">
        <v>105</v>
      </c>
      <c r="J220" s="354" t="s">
        <v>106</v>
      </c>
      <c r="K220" s="355">
        <v>1.5</v>
      </c>
      <c r="L220" s="356">
        <v>2205.0</v>
      </c>
      <c r="M220" s="357">
        <v>0.23</v>
      </c>
      <c r="N220" s="272">
        <v>338.0</v>
      </c>
      <c r="O220" s="271">
        <v>0.0</v>
      </c>
      <c r="P220" s="272">
        <v>0.0</v>
      </c>
      <c r="Q220" s="273">
        <f t="shared" ref="Q220:R220" si="754">M220-O220</f>
        <v>0.23</v>
      </c>
      <c r="R220" s="274">
        <f t="shared" si="754"/>
        <v>338</v>
      </c>
      <c r="S220" s="275">
        <v>1470.4</v>
      </c>
      <c r="T220" s="276">
        <v>15.0</v>
      </c>
      <c r="U220" s="277" t="s">
        <v>107</v>
      </c>
      <c r="V220" s="277"/>
      <c r="W220" s="358"/>
      <c r="X220" s="358"/>
      <c r="Y220" s="358"/>
      <c r="Z220" s="358"/>
      <c r="AA220" s="358"/>
      <c r="AB220" s="359"/>
      <c r="AC220" s="360">
        <f t="shared" ref="AC220:AD220" si="755">K220</f>
        <v>1.5</v>
      </c>
      <c r="AD220" s="361">
        <f t="shared" si="755"/>
        <v>2205</v>
      </c>
      <c r="AE220" s="362"/>
      <c r="AF220" s="358"/>
      <c r="AG220" s="358"/>
      <c r="AH220" s="358"/>
      <c r="AI220" s="363">
        <f t="shared" ref="AI220:AJ220" si="756">Q220</f>
        <v>0.23</v>
      </c>
      <c r="AJ220" s="364">
        <f t="shared" si="756"/>
        <v>338</v>
      </c>
      <c r="AK220" s="358"/>
      <c r="AL220" s="358"/>
      <c r="AM220" s="365"/>
      <c r="AN220" s="366"/>
    </row>
    <row r="221" ht="12.75" customHeight="1">
      <c r="A221" s="267" t="s">
        <v>729</v>
      </c>
      <c r="B221" s="268" t="s">
        <v>118</v>
      </c>
      <c r="C221" s="269" t="s">
        <v>119</v>
      </c>
      <c r="D221" s="269" t="s">
        <v>295</v>
      </c>
      <c r="E221" s="269" t="s">
        <v>295</v>
      </c>
      <c r="F221" s="270"/>
      <c r="G221" s="269" t="s">
        <v>296</v>
      </c>
      <c r="H221" s="269" t="s">
        <v>297</v>
      </c>
      <c r="I221" s="270" t="s">
        <v>105</v>
      </c>
      <c r="J221" s="354" t="s">
        <v>106</v>
      </c>
      <c r="K221" s="355">
        <v>42.8</v>
      </c>
      <c r="L221" s="356">
        <v>62513.0</v>
      </c>
      <c r="M221" s="357">
        <v>6.42</v>
      </c>
      <c r="N221" s="272">
        <v>9377.0</v>
      </c>
      <c r="O221" s="271">
        <v>0.0</v>
      </c>
      <c r="P221" s="272">
        <v>0.0</v>
      </c>
      <c r="Q221" s="273">
        <f t="shared" ref="Q221:R221" si="757">M221-O221</f>
        <v>6.42</v>
      </c>
      <c r="R221" s="274">
        <f t="shared" si="757"/>
        <v>9377</v>
      </c>
      <c r="S221" s="275">
        <v>1460.6</v>
      </c>
      <c r="T221" s="276">
        <v>15.0</v>
      </c>
      <c r="U221" s="277" t="s">
        <v>107</v>
      </c>
      <c r="V221" s="277"/>
      <c r="W221" s="358"/>
      <c r="X221" s="358"/>
      <c r="Y221" s="358"/>
      <c r="Z221" s="358"/>
      <c r="AA221" s="358"/>
      <c r="AB221" s="359"/>
      <c r="AC221" s="360">
        <f t="shared" ref="AC221:AD221" si="758">K221</f>
        <v>42.8</v>
      </c>
      <c r="AD221" s="361">
        <f t="shared" si="758"/>
        <v>62513</v>
      </c>
      <c r="AE221" s="362"/>
      <c r="AF221" s="358"/>
      <c r="AG221" s="358"/>
      <c r="AH221" s="358"/>
      <c r="AI221" s="363">
        <f t="shared" ref="AI221:AJ221" si="759">Q221</f>
        <v>6.42</v>
      </c>
      <c r="AJ221" s="364">
        <f t="shared" si="759"/>
        <v>9377</v>
      </c>
      <c r="AK221" s="358"/>
      <c r="AL221" s="358"/>
      <c r="AM221" s="365"/>
      <c r="AN221" s="366"/>
    </row>
    <row r="222" ht="12.75" customHeight="1">
      <c r="A222" s="245" t="s">
        <v>434</v>
      </c>
      <c r="B222" s="246" t="s">
        <v>359</v>
      </c>
      <c r="C222" s="247" t="s">
        <v>360</v>
      </c>
      <c r="D222" s="247" t="s">
        <v>361</v>
      </c>
      <c r="E222" s="248"/>
      <c r="F222" s="248"/>
      <c r="G222" s="247" t="s">
        <v>135</v>
      </c>
      <c r="H222" s="248" t="s">
        <v>1057</v>
      </c>
      <c r="I222" s="248" t="s">
        <v>105</v>
      </c>
      <c r="J222" s="300" t="s">
        <v>106</v>
      </c>
      <c r="K222" s="301">
        <v>2.28</v>
      </c>
      <c r="L222" s="302">
        <v>3278.0</v>
      </c>
      <c r="M222" s="303">
        <v>0.34</v>
      </c>
      <c r="N222" s="250">
        <v>488.0</v>
      </c>
      <c r="O222" s="249">
        <v>0.34</v>
      </c>
      <c r="P222" s="250">
        <v>488.0</v>
      </c>
      <c r="Q222" s="251">
        <f t="shared" ref="Q222:R222" si="760">M222-O222</f>
        <v>0</v>
      </c>
      <c r="R222" s="252">
        <f t="shared" si="760"/>
        <v>0</v>
      </c>
      <c r="S222" s="253">
        <v>1437.9</v>
      </c>
      <c r="T222" s="254">
        <v>15.0</v>
      </c>
      <c r="U222" s="255" t="s">
        <v>107</v>
      </c>
      <c r="V222" s="255"/>
      <c r="W222" s="304">
        <v>2.2792</v>
      </c>
      <c r="X222" s="304">
        <v>0.0</v>
      </c>
      <c r="Y222" s="304">
        <v>2.2792</v>
      </c>
      <c r="Z222" s="305">
        <f>IFERROR(ROUND(K222/W222,0),0)</f>
        <v>1</v>
      </c>
      <c r="AA222" s="306">
        <f t="shared" ref="AA222:AA223" si="762">Z222*W222</f>
        <v>2.2792</v>
      </c>
      <c r="AB222" s="307">
        <f t="shared" ref="AB222:AB223" si="763">ROUND(AA222*S222,0)</f>
        <v>3277</v>
      </c>
      <c r="AC222" s="308">
        <f t="shared" ref="AC222:AC223" si="764">AA222</f>
        <v>2.2792</v>
      </c>
      <c r="AD222" s="309">
        <f t="shared" ref="AD222:AD224" si="765">ROUND(AC222*S222,0)</f>
        <v>3277</v>
      </c>
      <c r="AE222" s="310">
        <f t="shared" ref="AE222:AE224" si="766">IFERROR(ROUND(Z222*Y222,2),0)</f>
        <v>2.28</v>
      </c>
      <c r="AF222" s="252">
        <f t="shared" ref="AF222:AF224" si="767">ROUND(AE222*S222,0)</f>
        <v>3278</v>
      </c>
      <c r="AG222" s="306">
        <f t="shared" ref="AG222:AG223" si="768">ROUND(AC222*0.15,2)</f>
        <v>0.34</v>
      </c>
      <c r="AH222" s="252">
        <f t="shared" ref="AH222:AH223" si="769">ROUND(AD222*0.15,0)</f>
        <v>492</v>
      </c>
      <c r="AI222" s="311"/>
      <c r="AJ222" s="311"/>
      <c r="AK222" s="311"/>
      <c r="AL222" s="311"/>
      <c r="AM222" s="312"/>
      <c r="AN222" s="313"/>
    </row>
    <row r="223" ht="12.75" customHeight="1">
      <c r="A223" s="245" t="s">
        <v>436</v>
      </c>
      <c r="B223" s="246" t="s">
        <v>359</v>
      </c>
      <c r="C223" s="247" t="s">
        <v>360</v>
      </c>
      <c r="D223" s="247" t="s">
        <v>361</v>
      </c>
      <c r="E223" s="248"/>
      <c r="F223" s="248"/>
      <c r="G223" s="247" t="s">
        <v>135</v>
      </c>
      <c r="H223" s="248" t="s">
        <v>1058</v>
      </c>
      <c r="I223" s="248" t="s">
        <v>105</v>
      </c>
      <c r="J223" s="300" t="s">
        <v>106</v>
      </c>
      <c r="K223" s="314">
        <f t="shared" ref="K223:R223" si="761">-K222</f>
        <v>-2.28</v>
      </c>
      <c r="L223" s="309">
        <f t="shared" si="761"/>
        <v>-3278</v>
      </c>
      <c r="M223" s="315">
        <f t="shared" si="761"/>
        <v>-0.34</v>
      </c>
      <c r="N223" s="252">
        <f t="shared" si="761"/>
        <v>-488</v>
      </c>
      <c r="O223" s="251">
        <f t="shared" si="761"/>
        <v>-0.34</v>
      </c>
      <c r="P223" s="252">
        <f t="shared" si="761"/>
        <v>-488</v>
      </c>
      <c r="Q223" s="251">
        <f t="shared" si="761"/>
        <v>0</v>
      </c>
      <c r="R223" s="252">
        <f t="shared" si="761"/>
        <v>0</v>
      </c>
      <c r="S223" s="253">
        <v>1437.9</v>
      </c>
      <c r="T223" s="254">
        <v>15.0</v>
      </c>
      <c r="U223" s="255" t="s">
        <v>107</v>
      </c>
      <c r="V223" s="255"/>
      <c r="W223" s="304">
        <v>2.2792</v>
      </c>
      <c r="X223" s="304">
        <v>0.0</v>
      </c>
      <c r="Y223" s="304">
        <v>2.2792</v>
      </c>
      <c r="Z223" s="305">
        <f>-Z222</f>
        <v>-1</v>
      </c>
      <c r="AA223" s="306">
        <f t="shared" si="762"/>
        <v>-2.2792</v>
      </c>
      <c r="AB223" s="307">
        <f t="shared" si="763"/>
        <v>-3277</v>
      </c>
      <c r="AC223" s="308">
        <f t="shared" si="764"/>
        <v>-2.2792</v>
      </c>
      <c r="AD223" s="309">
        <f t="shared" si="765"/>
        <v>-3277</v>
      </c>
      <c r="AE223" s="310">
        <f t="shared" si="766"/>
        <v>-2.28</v>
      </c>
      <c r="AF223" s="252">
        <f t="shared" si="767"/>
        <v>-3278</v>
      </c>
      <c r="AG223" s="306">
        <f t="shared" si="768"/>
        <v>-0.34</v>
      </c>
      <c r="AH223" s="252">
        <f t="shared" si="769"/>
        <v>-492</v>
      </c>
      <c r="AI223" s="311"/>
      <c r="AJ223" s="311"/>
      <c r="AK223" s="311"/>
      <c r="AL223" s="311"/>
      <c r="AM223" s="312"/>
      <c r="AN223" s="313"/>
    </row>
    <row r="224" ht="12.75" customHeight="1">
      <c r="A224" s="256" t="s">
        <v>438</v>
      </c>
      <c r="B224" s="257" t="s">
        <v>359</v>
      </c>
      <c r="C224" s="258" t="s">
        <v>360</v>
      </c>
      <c r="D224" s="258" t="s">
        <v>361</v>
      </c>
      <c r="E224" s="259"/>
      <c r="F224" s="259"/>
      <c r="G224" s="258" t="s">
        <v>135</v>
      </c>
      <c r="H224" s="259" t="s">
        <v>1059</v>
      </c>
      <c r="I224" s="259" t="s">
        <v>105</v>
      </c>
      <c r="J224" s="316" t="s">
        <v>106</v>
      </c>
      <c r="K224" s="317">
        <f>ROUND(M224/0.15,2)</f>
        <v>0</v>
      </c>
      <c r="L224" s="318">
        <f>ROUND(N224/0.15,0)</f>
        <v>0</v>
      </c>
      <c r="M224" s="319">
        <f t="shared" ref="M224:N224" si="770">Q224</f>
        <v>0</v>
      </c>
      <c r="N224" s="261">
        <f t="shared" si="770"/>
        <v>0</v>
      </c>
      <c r="O224" s="262">
        <v>0.34</v>
      </c>
      <c r="P224" s="263">
        <v>488.0</v>
      </c>
      <c r="Q224" s="260">
        <f t="shared" ref="Q224:R224" si="771">M222-O224</f>
        <v>0</v>
      </c>
      <c r="R224" s="261">
        <f t="shared" si="771"/>
        <v>0</v>
      </c>
      <c r="S224" s="264">
        <v>1437.9</v>
      </c>
      <c r="T224" s="265">
        <v>15.0</v>
      </c>
      <c r="U224" s="266" t="s">
        <v>107</v>
      </c>
      <c r="V224" s="266" t="s">
        <v>1060</v>
      </c>
      <c r="W224" s="320">
        <v>2.2792</v>
      </c>
      <c r="X224" s="320">
        <v>0.0</v>
      </c>
      <c r="Y224" s="320">
        <v>2.2792</v>
      </c>
      <c r="Z224" s="321">
        <f>Z222</f>
        <v>1</v>
      </c>
      <c r="AA224" s="311"/>
      <c r="AB224" s="322"/>
      <c r="AC224" s="323">
        <f>IFERROR(ROUND(Z224*X224,2),0)</f>
        <v>0</v>
      </c>
      <c r="AD224" s="318">
        <f t="shared" si="765"/>
        <v>0</v>
      </c>
      <c r="AE224" s="324">
        <f t="shared" si="766"/>
        <v>2.28</v>
      </c>
      <c r="AF224" s="261">
        <f t="shared" si="767"/>
        <v>3278</v>
      </c>
      <c r="AG224" s="311"/>
      <c r="AH224" s="311"/>
      <c r="AI224" s="325">
        <f>ROUND(AC224*0.15,2)</f>
        <v>0</v>
      </c>
      <c r="AJ224" s="261">
        <f>ROUND(AD224*0.15,0)</f>
        <v>0</v>
      </c>
      <c r="AK224" s="325">
        <f>ROUND(AE224*0.15,2)</f>
        <v>0.34</v>
      </c>
      <c r="AL224" s="261">
        <f>ROUND(AF224*0.15,0)</f>
        <v>492</v>
      </c>
      <c r="AM224" s="326">
        <f>IFERROR(AC224/K224,IFERROR(AK224/O224,""))</f>
        <v>1</v>
      </c>
      <c r="AN224" s="313"/>
    </row>
    <row r="225" ht="12.75" customHeight="1">
      <c r="A225" s="267" t="s">
        <v>467</v>
      </c>
      <c r="B225" s="268" t="s">
        <v>359</v>
      </c>
      <c r="C225" s="269" t="s">
        <v>360</v>
      </c>
      <c r="D225" s="269" t="s">
        <v>126</v>
      </c>
      <c r="E225" s="270"/>
      <c r="F225" s="270"/>
      <c r="G225" s="269" t="s">
        <v>288</v>
      </c>
      <c r="H225" s="270" t="s">
        <v>1061</v>
      </c>
      <c r="I225" s="270" t="s">
        <v>105</v>
      </c>
      <c r="J225" s="354" t="s">
        <v>106</v>
      </c>
      <c r="K225" s="355">
        <v>0.82</v>
      </c>
      <c r="L225" s="356">
        <v>1175.0</v>
      </c>
      <c r="M225" s="357">
        <v>0.12</v>
      </c>
      <c r="N225" s="272">
        <v>171.0</v>
      </c>
      <c r="O225" s="271">
        <v>0.0</v>
      </c>
      <c r="P225" s="272">
        <v>0.0</v>
      </c>
      <c r="Q225" s="273">
        <f t="shared" ref="Q225:R225" si="772">M225-O225</f>
        <v>0.12</v>
      </c>
      <c r="R225" s="274">
        <f t="shared" si="772"/>
        <v>171</v>
      </c>
      <c r="S225" s="275">
        <v>1433.3</v>
      </c>
      <c r="T225" s="276">
        <v>15.0</v>
      </c>
      <c r="U225" s="277" t="s">
        <v>107</v>
      </c>
      <c r="V225" s="277"/>
      <c r="W225" s="358"/>
      <c r="X225" s="358"/>
      <c r="Y225" s="358"/>
      <c r="Z225" s="358"/>
      <c r="AA225" s="358"/>
      <c r="AB225" s="359"/>
      <c r="AC225" s="360">
        <f t="shared" ref="AC225:AD225" si="773">K225</f>
        <v>0.82</v>
      </c>
      <c r="AD225" s="361">
        <f t="shared" si="773"/>
        <v>1175</v>
      </c>
      <c r="AE225" s="362"/>
      <c r="AF225" s="358"/>
      <c r="AG225" s="358"/>
      <c r="AH225" s="358"/>
      <c r="AI225" s="363">
        <f t="shared" ref="AI225:AJ225" si="774">Q225</f>
        <v>0.12</v>
      </c>
      <c r="AJ225" s="364">
        <f t="shared" si="774"/>
        <v>171</v>
      </c>
      <c r="AK225" s="358"/>
      <c r="AL225" s="358"/>
      <c r="AM225" s="365"/>
      <c r="AN225" s="366"/>
    </row>
    <row r="226" ht="12.75" customHeight="1">
      <c r="A226" s="245" t="s">
        <v>448</v>
      </c>
      <c r="B226" s="246" t="s">
        <v>359</v>
      </c>
      <c r="C226" s="247" t="s">
        <v>360</v>
      </c>
      <c r="D226" s="247" t="s">
        <v>125</v>
      </c>
      <c r="E226" s="248"/>
      <c r="F226" s="248"/>
      <c r="G226" s="247" t="s">
        <v>127</v>
      </c>
      <c r="H226" s="248" t="s">
        <v>1062</v>
      </c>
      <c r="I226" s="248" t="s">
        <v>105</v>
      </c>
      <c r="J226" s="300" t="s">
        <v>106</v>
      </c>
      <c r="K226" s="301">
        <v>4.98</v>
      </c>
      <c r="L226" s="302">
        <v>7235.0</v>
      </c>
      <c r="M226" s="303">
        <v>0.75</v>
      </c>
      <c r="N226" s="250">
        <v>1089.0</v>
      </c>
      <c r="O226" s="249">
        <v>0.4</v>
      </c>
      <c r="P226" s="250">
        <v>581.0</v>
      </c>
      <c r="Q226" s="251">
        <f t="shared" ref="Q226:R226" si="775">M226-O226</f>
        <v>0.35</v>
      </c>
      <c r="R226" s="252">
        <f t="shared" si="775"/>
        <v>508</v>
      </c>
      <c r="S226" s="253">
        <v>1453.0</v>
      </c>
      <c r="T226" s="254">
        <v>15.0</v>
      </c>
      <c r="U226" s="255" t="s">
        <v>107</v>
      </c>
      <c r="V226" s="255"/>
      <c r="W226" s="304">
        <v>0.8294</v>
      </c>
      <c r="X226" s="304">
        <v>0.392741</v>
      </c>
      <c r="Y226" s="304">
        <v>0.436659</v>
      </c>
      <c r="Z226" s="305">
        <f>IFERROR(ROUND(K226/W226,0),0)</f>
        <v>6</v>
      </c>
      <c r="AA226" s="306">
        <f t="shared" ref="AA226:AA227" si="777">Z226*W226</f>
        <v>4.9764</v>
      </c>
      <c r="AB226" s="307">
        <f t="shared" ref="AB226:AB227" si="778">ROUND(AA226*S226,0)</f>
        <v>7231</v>
      </c>
      <c r="AC226" s="308">
        <f t="shared" ref="AC226:AC227" si="779">AA226</f>
        <v>4.9764</v>
      </c>
      <c r="AD226" s="309">
        <f t="shared" ref="AD226:AD249" si="780">ROUND(AC226*S226,0)</f>
        <v>7231</v>
      </c>
      <c r="AE226" s="310">
        <f t="shared" ref="AE226:AE249" si="781">IFERROR(ROUND(Z226*Y226,2),0)</f>
        <v>2.62</v>
      </c>
      <c r="AF226" s="252">
        <f t="shared" ref="AF226:AF249" si="782">ROUND(AE226*S226,0)</f>
        <v>3807</v>
      </c>
      <c r="AG226" s="306">
        <f t="shared" ref="AG226:AG227" si="783">ROUND(AC226*0.15,2)</f>
        <v>0.75</v>
      </c>
      <c r="AH226" s="252">
        <f t="shared" ref="AH226:AH227" si="784">ROUND(AD226*0.15,0)</f>
        <v>1085</v>
      </c>
      <c r="AI226" s="311"/>
      <c r="AJ226" s="311"/>
      <c r="AK226" s="311"/>
      <c r="AL226" s="311"/>
      <c r="AM226" s="312"/>
      <c r="AN226" s="313"/>
    </row>
    <row r="227" ht="12.75" customHeight="1">
      <c r="A227" s="245" t="s">
        <v>450</v>
      </c>
      <c r="B227" s="246" t="s">
        <v>359</v>
      </c>
      <c r="C227" s="247" t="s">
        <v>360</v>
      </c>
      <c r="D227" s="247" t="s">
        <v>125</v>
      </c>
      <c r="E227" s="248"/>
      <c r="F227" s="248"/>
      <c r="G227" s="247" t="s">
        <v>127</v>
      </c>
      <c r="H227" s="248" t="s">
        <v>1063</v>
      </c>
      <c r="I227" s="248" t="s">
        <v>105</v>
      </c>
      <c r="J227" s="300" t="s">
        <v>106</v>
      </c>
      <c r="K227" s="314">
        <f t="shared" ref="K227:R227" si="776">-K226</f>
        <v>-4.98</v>
      </c>
      <c r="L227" s="309">
        <f t="shared" si="776"/>
        <v>-7235</v>
      </c>
      <c r="M227" s="315">
        <f t="shared" si="776"/>
        <v>-0.75</v>
      </c>
      <c r="N227" s="252">
        <f t="shared" si="776"/>
        <v>-1089</v>
      </c>
      <c r="O227" s="251">
        <f t="shared" si="776"/>
        <v>-0.4</v>
      </c>
      <c r="P227" s="252">
        <f t="shared" si="776"/>
        <v>-581</v>
      </c>
      <c r="Q227" s="251">
        <f t="shared" si="776"/>
        <v>-0.35</v>
      </c>
      <c r="R227" s="252">
        <f t="shared" si="776"/>
        <v>-508</v>
      </c>
      <c r="S227" s="253">
        <v>1453.0</v>
      </c>
      <c r="T227" s="254">
        <v>15.0</v>
      </c>
      <c r="U227" s="255" t="s">
        <v>107</v>
      </c>
      <c r="V227" s="255"/>
      <c r="W227" s="304">
        <v>0.8294</v>
      </c>
      <c r="X227" s="304">
        <v>0.392741</v>
      </c>
      <c r="Y227" s="304">
        <v>0.436659</v>
      </c>
      <c r="Z227" s="305">
        <f>-Z226</f>
        <v>-6</v>
      </c>
      <c r="AA227" s="306">
        <f t="shared" si="777"/>
        <v>-4.9764</v>
      </c>
      <c r="AB227" s="307">
        <f t="shared" si="778"/>
        <v>-7231</v>
      </c>
      <c r="AC227" s="308">
        <f t="shared" si="779"/>
        <v>-4.9764</v>
      </c>
      <c r="AD227" s="309">
        <f t="shared" si="780"/>
        <v>-7231</v>
      </c>
      <c r="AE227" s="310">
        <f t="shared" si="781"/>
        <v>-2.62</v>
      </c>
      <c r="AF227" s="252">
        <f t="shared" si="782"/>
        <v>-3807</v>
      </c>
      <c r="AG227" s="306">
        <f t="shared" si="783"/>
        <v>-0.75</v>
      </c>
      <c r="AH227" s="252">
        <f t="shared" si="784"/>
        <v>-1085</v>
      </c>
      <c r="AI227" s="311"/>
      <c r="AJ227" s="311"/>
      <c r="AK227" s="311"/>
      <c r="AL227" s="311"/>
      <c r="AM227" s="312"/>
      <c r="AN227" s="313"/>
    </row>
    <row r="228" ht="12.75" customHeight="1">
      <c r="A228" s="256" t="s">
        <v>452</v>
      </c>
      <c r="B228" s="257" t="s">
        <v>359</v>
      </c>
      <c r="C228" s="258" t="s">
        <v>360</v>
      </c>
      <c r="D228" s="258" t="s">
        <v>125</v>
      </c>
      <c r="E228" s="259"/>
      <c r="F228" s="259"/>
      <c r="G228" s="258" t="s">
        <v>127</v>
      </c>
      <c r="H228" s="259" t="s">
        <v>1064</v>
      </c>
      <c r="I228" s="259" t="s">
        <v>105</v>
      </c>
      <c r="J228" s="316" t="s">
        <v>106</v>
      </c>
      <c r="K228" s="317">
        <f>ROUND(M228/0.15,2)</f>
        <v>2.33</v>
      </c>
      <c r="L228" s="318">
        <f>ROUND(N228/0.15,0)</f>
        <v>3387</v>
      </c>
      <c r="M228" s="319">
        <f t="shared" ref="M228:N228" si="785">Q228</f>
        <v>0.35</v>
      </c>
      <c r="N228" s="261">
        <f t="shared" si="785"/>
        <v>508</v>
      </c>
      <c r="O228" s="262">
        <v>0.4</v>
      </c>
      <c r="P228" s="263">
        <v>581.0</v>
      </c>
      <c r="Q228" s="260">
        <f t="shared" ref="Q228:R228" si="786">M226-O228</f>
        <v>0.35</v>
      </c>
      <c r="R228" s="261">
        <f t="shared" si="786"/>
        <v>508</v>
      </c>
      <c r="S228" s="264">
        <v>1453.0</v>
      </c>
      <c r="T228" s="265">
        <v>15.0</v>
      </c>
      <c r="U228" s="266" t="s">
        <v>107</v>
      </c>
      <c r="V228" s="266" t="s">
        <v>1065</v>
      </c>
      <c r="W228" s="320">
        <v>0.8294</v>
      </c>
      <c r="X228" s="320">
        <v>0.392741</v>
      </c>
      <c r="Y228" s="320">
        <v>0.436659</v>
      </c>
      <c r="Z228" s="321">
        <f>Z226</f>
        <v>6</v>
      </c>
      <c r="AA228" s="311"/>
      <c r="AB228" s="322"/>
      <c r="AC228" s="323">
        <f>IFERROR(ROUND(Z228*X228,2),0)</f>
        <v>2.36</v>
      </c>
      <c r="AD228" s="318">
        <f t="shared" si="780"/>
        <v>3429</v>
      </c>
      <c r="AE228" s="324">
        <f t="shared" si="781"/>
        <v>2.62</v>
      </c>
      <c r="AF228" s="261">
        <f t="shared" si="782"/>
        <v>3807</v>
      </c>
      <c r="AG228" s="311"/>
      <c r="AH228" s="311"/>
      <c r="AI228" s="325">
        <f>ROUND(AC228*0.15,2)</f>
        <v>0.35</v>
      </c>
      <c r="AJ228" s="261">
        <f>ROUND(AD228*0.15,0)</f>
        <v>514</v>
      </c>
      <c r="AK228" s="325">
        <f>ROUND(AE228*0.15,2)</f>
        <v>0.39</v>
      </c>
      <c r="AL228" s="261">
        <f>ROUND(AF228*0.15,0)</f>
        <v>571</v>
      </c>
      <c r="AM228" s="326">
        <f>IFERROR(AC228/K228,IFERROR(AK228/O228,""))</f>
        <v>1.012875536</v>
      </c>
      <c r="AN228" s="313"/>
    </row>
    <row r="229" ht="12.75" customHeight="1">
      <c r="A229" s="245" t="s">
        <v>455</v>
      </c>
      <c r="B229" s="246" t="s">
        <v>359</v>
      </c>
      <c r="C229" s="247" t="s">
        <v>360</v>
      </c>
      <c r="D229" s="247" t="s">
        <v>365</v>
      </c>
      <c r="E229" s="248"/>
      <c r="F229" s="248"/>
      <c r="G229" s="247" t="s">
        <v>131</v>
      </c>
      <c r="H229" s="248" t="s">
        <v>1066</v>
      </c>
      <c r="I229" s="248" t="s">
        <v>105</v>
      </c>
      <c r="J229" s="300" t="s">
        <v>106</v>
      </c>
      <c r="K229" s="301">
        <v>8.37</v>
      </c>
      <c r="L229" s="302">
        <v>12164.0</v>
      </c>
      <c r="M229" s="303">
        <v>1.26</v>
      </c>
      <c r="N229" s="250">
        <v>1831.0</v>
      </c>
      <c r="O229" s="249">
        <v>1.22</v>
      </c>
      <c r="P229" s="250">
        <v>1773.0</v>
      </c>
      <c r="Q229" s="251">
        <f t="shared" ref="Q229:R229" si="787">M229-O229</f>
        <v>0.04</v>
      </c>
      <c r="R229" s="252">
        <f t="shared" si="787"/>
        <v>58</v>
      </c>
      <c r="S229" s="253">
        <v>1453.4</v>
      </c>
      <c r="T229" s="254">
        <v>15.0</v>
      </c>
      <c r="U229" s="255" t="s">
        <v>107</v>
      </c>
      <c r="V229" s="255"/>
      <c r="W229" s="304">
        <v>1.0468</v>
      </c>
      <c r="X229" s="304">
        <v>0.030917</v>
      </c>
      <c r="Y229" s="304">
        <v>1.015883</v>
      </c>
      <c r="Z229" s="305">
        <f>IFERROR(ROUND(K229/W229,0),0)</f>
        <v>8</v>
      </c>
      <c r="AA229" s="306">
        <f t="shared" ref="AA229:AA230" si="789">Z229*W229</f>
        <v>8.3744</v>
      </c>
      <c r="AB229" s="307">
        <f t="shared" ref="AB229:AB230" si="790">ROUND(AA229*S229,0)</f>
        <v>12171</v>
      </c>
      <c r="AC229" s="308">
        <f t="shared" ref="AC229:AC230" si="791">AA229</f>
        <v>8.3744</v>
      </c>
      <c r="AD229" s="309">
        <f t="shared" si="780"/>
        <v>12171</v>
      </c>
      <c r="AE229" s="310">
        <f t="shared" si="781"/>
        <v>8.13</v>
      </c>
      <c r="AF229" s="252">
        <f t="shared" si="782"/>
        <v>11816</v>
      </c>
      <c r="AG229" s="306">
        <f t="shared" ref="AG229:AG230" si="792">ROUND(AC229*0.15,2)</f>
        <v>1.26</v>
      </c>
      <c r="AH229" s="252">
        <f t="shared" ref="AH229:AH230" si="793">ROUND(AD229*0.15,0)</f>
        <v>1826</v>
      </c>
      <c r="AI229" s="311"/>
      <c r="AJ229" s="311"/>
      <c r="AK229" s="311"/>
      <c r="AL229" s="311"/>
      <c r="AM229" s="312"/>
      <c r="AN229" s="313"/>
    </row>
    <row r="230" ht="12.75" customHeight="1">
      <c r="A230" s="245" t="s">
        <v>457</v>
      </c>
      <c r="B230" s="246" t="s">
        <v>359</v>
      </c>
      <c r="C230" s="247" t="s">
        <v>360</v>
      </c>
      <c r="D230" s="247" t="s">
        <v>365</v>
      </c>
      <c r="E230" s="248"/>
      <c r="F230" s="248"/>
      <c r="G230" s="247" t="s">
        <v>131</v>
      </c>
      <c r="H230" s="248" t="s">
        <v>1067</v>
      </c>
      <c r="I230" s="248" t="s">
        <v>105</v>
      </c>
      <c r="J230" s="300" t="s">
        <v>106</v>
      </c>
      <c r="K230" s="314">
        <f t="shared" ref="K230:R230" si="788">-K229</f>
        <v>-8.37</v>
      </c>
      <c r="L230" s="309">
        <f t="shared" si="788"/>
        <v>-12164</v>
      </c>
      <c r="M230" s="315">
        <f t="shared" si="788"/>
        <v>-1.26</v>
      </c>
      <c r="N230" s="252">
        <f t="shared" si="788"/>
        <v>-1831</v>
      </c>
      <c r="O230" s="251">
        <f t="shared" si="788"/>
        <v>-1.22</v>
      </c>
      <c r="P230" s="252">
        <f t="shared" si="788"/>
        <v>-1773</v>
      </c>
      <c r="Q230" s="251">
        <f t="shared" si="788"/>
        <v>-0.04</v>
      </c>
      <c r="R230" s="252">
        <f t="shared" si="788"/>
        <v>-58</v>
      </c>
      <c r="S230" s="253">
        <v>1453.4</v>
      </c>
      <c r="T230" s="254">
        <v>15.0</v>
      </c>
      <c r="U230" s="255" t="s">
        <v>107</v>
      </c>
      <c r="V230" s="255"/>
      <c r="W230" s="304">
        <v>1.0468</v>
      </c>
      <c r="X230" s="304">
        <v>0.030917</v>
      </c>
      <c r="Y230" s="304">
        <v>1.015883</v>
      </c>
      <c r="Z230" s="305">
        <f>-Z229</f>
        <v>-8</v>
      </c>
      <c r="AA230" s="306">
        <f t="shared" si="789"/>
        <v>-8.3744</v>
      </c>
      <c r="AB230" s="307">
        <f t="shared" si="790"/>
        <v>-12171</v>
      </c>
      <c r="AC230" s="308">
        <f t="shared" si="791"/>
        <v>-8.3744</v>
      </c>
      <c r="AD230" s="309">
        <f t="shared" si="780"/>
        <v>-12171</v>
      </c>
      <c r="AE230" s="310">
        <f t="shared" si="781"/>
        <v>-8.13</v>
      </c>
      <c r="AF230" s="252">
        <f t="shared" si="782"/>
        <v>-11816</v>
      </c>
      <c r="AG230" s="306">
        <f t="shared" si="792"/>
        <v>-1.26</v>
      </c>
      <c r="AH230" s="252">
        <f t="shared" si="793"/>
        <v>-1826</v>
      </c>
      <c r="AI230" s="311"/>
      <c r="AJ230" s="311"/>
      <c r="AK230" s="311"/>
      <c r="AL230" s="311"/>
      <c r="AM230" s="312"/>
      <c r="AN230" s="313"/>
    </row>
    <row r="231" ht="12.75" customHeight="1">
      <c r="A231" s="256" t="s">
        <v>459</v>
      </c>
      <c r="B231" s="257" t="s">
        <v>359</v>
      </c>
      <c r="C231" s="258" t="s">
        <v>360</v>
      </c>
      <c r="D231" s="258" t="s">
        <v>365</v>
      </c>
      <c r="E231" s="259"/>
      <c r="F231" s="259"/>
      <c r="G231" s="258" t="s">
        <v>131</v>
      </c>
      <c r="H231" s="259" t="s">
        <v>1068</v>
      </c>
      <c r="I231" s="259" t="s">
        <v>105</v>
      </c>
      <c r="J231" s="316" t="s">
        <v>106</v>
      </c>
      <c r="K231" s="317">
        <f>ROUND(M231/0.15,2)</f>
        <v>0.27</v>
      </c>
      <c r="L231" s="318">
        <f>ROUND(N231/0.15,0)</f>
        <v>387</v>
      </c>
      <c r="M231" s="319">
        <f t="shared" ref="M231:N231" si="794">Q231</f>
        <v>0.04</v>
      </c>
      <c r="N231" s="261">
        <f t="shared" si="794"/>
        <v>58</v>
      </c>
      <c r="O231" s="262">
        <v>1.22</v>
      </c>
      <c r="P231" s="263">
        <v>1773.0</v>
      </c>
      <c r="Q231" s="260">
        <f t="shared" ref="Q231:R231" si="795">M229-O231</f>
        <v>0.04</v>
      </c>
      <c r="R231" s="261">
        <f t="shared" si="795"/>
        <v>58</v>
      </c>
      <c r="S231" s="264">
        <v>1453.4</v>
      </c>
      <c r="T231" s="265">
        <v>15.0</v>
      </c>
      <c r="U231" s="266" t="s">
        <v>107</v>
      </c>
      <c r="V231" s="266" t="s">
        <v>1069</v>
      </c>
      <c r="W231" s="320">
        <v>1.0468</v>
      </c>
      <c r="X231" s="320">
        <v>0.030917</v>
      </c>
      <c r="Y231" s="320">
        <v>1.015883</v>
      </c>
      <c r="Z231" s="321">
        <f>Z229</f>
        <v>8</v>
      </c>
      <c r="AA231" s="311"/>
      <c r="AB231" s="322"/>
      <c r="AC231" s="323">
        <f>IFERROR(ROUND(Z231*X231,2),0)</f>
        <v>0.25</v>
      </c>
      <c r="AD231" s="318">
        <f t="shared" si="780"/>
        <v>363</v>
      </c>
      <c r="AE231" s="324">
        <f t="shared" si="781"/>
        <v>8.13</v>
      </c>
      <c r="AF231" s="261">
        <f t="shared" si="782"/>
        <v>11816</v>
      </c>
      <c r="AG231" s="311"/>
      <c r="AH231" s="311"/>
      <c r="AI231" s="325">
        <f>ROUND(AC231*0.15,2)</f>
        <v>0.04</v>
      </c>
      <c r="AJ231" s="261">
        <f>ROUND(AD231*0.15,0)</f>
        <v>54</v>
      </c>
      <c r="AK231" s="325">
        <f>ROUND(AE231*0.15,2)</f>
        <v>1.22</v>
      </c>
      <c r="AL231" s="261">
        <f>ROUND(AF231*0.15,0)</f>
        <v>1772</v>
      </c>
      <c r="AM231" s="326">
        <f>IFERROR(AC231/K231,IFERROR(AK231/O231,""))</f>
        <v>0.9259259259</v>
      </c>
      <c r="AN231" s="313" t="s">
        <v>1055</v>
      </c>
    </row>
    <row r="232" ht="12.75" customHeight="1">
      <c r="A232" s="245" t="s">
        <v>462</v>
      </c>
      <c r="B232" s="246" t="s">
        <v>359</v>
      </c>
      <c r="C232" s="247" t="s">
        <v>360</v>
      </c>
      <c r="D232" s="247" t="s">
        <v>367</v>
      </c>
      <c r="E232" s="248"/>
      <c r="F232" s="248"/>
      <c r="G232" s="247" t="s">
        <v>135</v>
      </c>
      <c r="H232" s="248" t="s">
        <v>1070</v>
      </c>
      <c r="I232" s="248" t="s">
        <v>105</v>
      </c>
      <c r="J232" s="300" t="s">
        <v>106</v>
      </c>
      <c r="K232" s="301">
        <v>12.13</v>
      </c>
      <c r="L232" s="302">
        <v>17507.0</v>
      </c>
      <c r="M232" s="303">
        <v>1.82</v>
      </c>
      <c r="N232" s="250">
        <v>2626.0</v>
      </c>
      <c r="O232" s="249">
        <v>1.82</v>
      </c>
      <c r="P232" s="250">
        <v>2626.0</v>
      </c>
      <c r="Q232" s="251">
        <f t="shared" ref="Q232:R232" si="796">M232-O232</f>
        <v>0</v>
      </c>
      <c r="R232" s="252">
        <f t="shared" si="796"/>
        <v>0</v>
      </c>
      <c r="S232" s="253">
        <v>1443.3</v>
      </c>
      <c r="T232" s="254">
        <v>15.0</v>
      </c>
      <c r="U232" s="255" t="s">
        <v>107</v>
      </c>
      <c r="V232" s="255"/>
      <c r="W232" s="304">
        <v>2.0216</v>
      </c>
      <c r="X232" s="304">
        <v>0.0</v>
      </c>
      <c r="Y232" s="304">
        <v>2.0216</v>
      </c>
      <c r="Z232" s="305">
        <f>IFERROR(ROUND(K232/W232,0),0)</f>
        <v>6</v>
      </c>
      <c r="AA232" s="306">
        <f t="shared" ref="AA232:AA233" si="798">Z232*W232</f>
        <v>12.1296</v>
      </c>
      <c r="AB232" s="307">
        <f t="shared" ref="AB232:AB233" si="799">ROUND(AA232*S232,0)</f>
        <v>17507</v>
      </c>
      <c r="AC232" s="308">
        <f t="shared" ref="AC232:AC233" si="800">AA232</f>
        <v>12.1296</v>
      </c>
      <c r="AD232" s="309">
        <f t="shared" si="780"/>
        <v>17507</v>
      </c>
      <c r="AE232" s="310">
        <f t="shared" si="781"/>
        <v>12.13</v>
      </c>
      <c r="AF232" s="252">
        <f t="shared" si="782"/>
        <v>17507</v>
      </c>
      <c r="AG232" s="306">
        <f t="shared" ref="AG232:AG233" si="801">ROUND(AC232*0.15,2)</f>
        <v>1.82</v>
      </c>
      <c r="AH232" s="252">
        <f t="shared" ref="AH232:AH233" si="802">ROUND(AD232*0.15,0)</f>
        <v>2626</v>
      </c>
      <c r="AI232" s="311"/>
      <c r="AJ232" s="311"/>
      <c r="AK232" s="311"/>
      <c r="AL232" s="311"/>
      <c r="AM232" s="312"/>
      <c r="AN232" s="313"/>
    </row>
    <row r="233" ht="12.75" customHeight="1">
      <c r="A233" s="245" t="s">
        <v>463</v>
      </c>
      <c r="B233" s="246" t="s">
        <v>359</v>
      </c>
      <c r="C233" s="247" t="s">
        <v>360</v>
      </c>
      <c r="D233" s="247" t="s">
        <v>367</v>
      </c>
      <c r="E233" s="248"/>
      <c r="F233" s="248"/>
      <c r="G233" s="247" t="s">
        <v>135</v>
      </c>
      <c r="H233" s="248" t="s">
        <v>1071</v>
      </c>
      <c r="I233" s="248" t="s">
        <v>105</v>
      </c>
      <c r="J233" s="300" t="s">
        <v>106</v>
      </c>
      <c r="K233" s="314">
        <f t="shared" ref="K233:R233" si="797">-K232</f>
        <v>-12.13</v>
      </c>
      <c r="L233" s="309">
        <f t="shared" si="797"/>
        <v>-17507</v>
      </c>
      <c r="M233" s="315">
        <f t="shared" si="797"/>
        <v>-1.82</v>
      </c>
      <c r="N233" s="252">
        <f t="shared" si="797"/>
        <v>-2626</v>
      </c>
      <c r="O233" s="251">
        <f t="shared" si="797"/>
        <v>-1.82</v>
      </c>
      <c r="P233" s="252">
        <f t="shared" si="797"/>
        <v>-2626</v>
      </c>
      <c r="Q233" s="251">
        <f t="shared" si="797"/>
        <v>0</v>
      </c>
      <c r="R233" s="252">
        <f t="shared" si="797"/>
        <v>0</v>
      </c>
      <c r="S233" s="253">
        <v>1443.3</v>
      </c>
      <c r="T233" s="254">
        <v>15.0</v>
      </c>
      <c r="U233" s="255" t="s">
        <v>107</v>
      </c>
      <c r="V233" s="255"/>
      <c r="W233" s="304">
        <v>2.0216</v>
      </c>
      <c r="X233" s="304">
        <v>0.0</v>
      </c>
      <c r="Y233" s="304">
        <v>2.0216</v>
      </c>
      <c r="Z233" s="305">
        <f>-Z232</f>
        <v>-6</v>
      </c>
      <c r="AA233" s="306">
        <f t="shared" si="798"/>
        <v>-12.1296</v>
      </c>
      <c r="AB233" s="307">
        <f t="shared" si="799"/>
        <v>-17507</v>
      </c>
      <c r="AC233" s="308">
        <f t="shared" si="800"/>
        <v>-12.1296</v>
      </c>
      <c r="AD233" s="309">
        <f t="shared" si="780"/>
        <v>-17507</v>
      </c>
      <c r="AE233" s="310">
        <f t="shared" si="781"/>
        <v>-12.13</v>
      </c>
      <c r="AF233" s="252">
        <f t="shared" si="782"/>
        <v>-17507</v>
      </c>
      <c r="AG233" s="306">
        <f t="shared" si="801"/>
        <v>-1.82</v>
      </c>
      <c r="AH233" s="252">
        <f t="shared" si="802"/>
        <v>-2626</v>
      </c>
      <c r="AI233" s="311"/>
      <c r="AJ233" s="311"/>
      <c r="AK233" s="311"/>
      <c r="AL233" s="311"/>
      <c r="AM233" s="312"/>
      <c r="AN233" s="313"/>
    </row>
    <row r="234" ht="12.75" customHeight="1">
      <c r="A234" s="256" t="s">
        <v>464</v>
      </c>
      <c r="B234" s="257" t="s">
        <v>359</v>
      </c>
      <c r="C234" s="258" t="s">
        <v>360</v>
      </c>
      <c r="D234" s="258" t="s">
        <v>367</v>
      </c>
      <c r="E234" s="259"/>
      <c r="F234" s="259"/>
      <c r="G234" s="258" t="s">
        <v>135</v>
      </c>
      <c r="H234" s="259" t="s">
        <v>1072</v>
      </c>
      <c r="I234" s="259" t="s">
        <v>105</v>
      </c>
      <c r="J234" s="316" t="s">
        <v>106</v>
      </c>
      <c r="K234" s="317">
        <f>ROUND(M234/0.15,2)</f>
        <v>0</v>
      </c>
      <c r="L234" s="318">
        <f>ROUND(N234/0.15,0)</f>
        <v>0</v>
      </c>
      <c r="M234" s="319">
        <f t="shared" ref="M234:N234" si="803">Q234</f>
        <v>0</v>
      </c>
      <c r="N234" s="261">
        <f t="shared" si="803"/>
        <v>0</v>
      </c>
      <c r="O234" s="262">
        <v>1.82</v>
      </c>
      <c r="P234" s="263">
        <v>2626.0</v>
      </c>
      <c r="Q234" s="260">
        <f t="shared" ref="Q234:R234" si="804">M232-O234</f>
        <v>0</v>
      </c>
      <c r="R234" s="261">
        <f t="shared" si="804"/>
        <v>0</v>
      </c>
      <c r="S234" s="264">
        <v>1443.3</v>
      </c>
      <c r="T234" s="265">
        <v>15.0</v>
      </c>
      <c r="U234" s="266" t="s">
        <v>107</v>
      </c>
      <c r="V234" s="266" t="s">
        <v>1073</v>
      </c>
      <c r="W234" s="320">
        <v>2.0216</v>
      </c>
      <c r="X234" s="320">
        <v>0.0</v>
      </c>
      <c r="Y234" s="320">
        <v>2.0216</v>
      </c>
      <c r="Z234" s="321">
        <f>Z232</f>
        <v>6</v>
      </c>
      <c r="AA234" s="311"/>
      <c r="AB234" s="322"/>
      <c r="AC234" s="323">
        <f>IFERROR(ROUND(Z234*X234,2),0)</f>
        <v>0</v>
      </c>
      <c r="AD234" s="318">
        <f t="shared" si="780"/>
        <v>0</v>
      </c>
      <c r="AE234" s="324">
        <f t="shared" si="781"/>
        <v>12.13</v>
      </c>
      <c r="AF234" s="261">
        <f t="shared" si="782"/>
        <v>17507</v>
      </c>
      <c r="AG234" s="311"/>
      <c r="AH234" s="311"/>
      <c r="AI234" s="325">
        <f>ROUND(AC234*0.15,2)</f>
        <v>0</v>
      </c>
      <c r="AJ234" s="261">
        <f>ROUND(AD234*0.15,0)</f>
        <v>0</v>
      </c>
      <c r="AK234" s="325">
        <f>ROUND(AE234*0.15,2)</f>
        <v>1.82</v>
      </c>
      <c r="AL234" s="261">
        <f>ROUND(AF234*0.15,0)</f>
        <v>2626</v>
      </c>
      <c r="AM234" s="326">
        <f>IFERROR(AC234/K234,IFERROR(AK234/O234,""))</f>
        <v>1</v>
      </c>
      <c r="AN234" s="313"/>
    </row>
    <row r="235" ht="12.75" customHeight="1">
      <c r="A235" s="245" t="s">
        <v>471</v>
      </c>
      <c r="B235" s="246" t="s">
        <v>359</v>
      </c>
      <c r="C235" s="247" t="s">
        <v>360</v>
      </c>
      <c r="D235" s="247" t="s">
        <v>137</v>
      </c>
      <c r="E235" s="248"/>
      <c r="F235" s="248"/>
      <c r="G235" s="247" t="s">
        <v>139</v>
      </c>
      <c r="H235" s="248" t="s">
        <v>1074</v>
      </c>
      <c r="I235" s="248" t="s">
        <v>105</v>
      </c>
      <c r="J235" s="300" t="s">
        <v>106</v>
      </c>
      <c r="K235" s="301">
        <v>5.21</v>
      </c>
      <c r="L235" s="302">
        <v>7471.0</v>
      </c>
      <c r="M235" s="303">
        <v>0.78</v>
      </c>
      <c r="N235" s="250">
        <v>1118.0</v>
      </c>
      <c r="O235" s="249">
        <v>0.57</v>
      </c>
      <c r="P235" s="250">
        <v>817.0</v>
      </c>
      <c r="Q235" s="251">
        <f t="shared" ref="Q235:R235" si="805">M235-O235</f>
        <v>0.21</v>
      </c>
      <c r="R235" s="252">
        <f t="shared" si="805"/>
        <v>301</v>
      </c>
      <c r="S235" s="253">
        <v>1434.1</v>
      </c>
      <c r="T235" s="254">
        <v>15.0</v>
      </c>
      <c r="U235" s="255" t="s">
        <v>107</v>
      </c>
      <c r="V235" s="255"/>
      <c r="W235" s="304">
        <v>0.5793</v>
      </c>
      <c r="X235" s="304">
        <v>0.156589</v>
      </c>
      <c r="Y235" s="304">
        <v>0.422711</v>
      </c>
      <c r="Z235" s="305">
        <f>IFERROR(ROUND(K235/W235,0),0)</f>
        <v>9</v>
      </c>
      <c r="AA235" s="306">
        <f t="shared" ref="AA235:AA236" si="807">Z235*W235</f>
        <v>5.2137</v>
      </c>
      <c r="AB235" s="307">
        <f t="shared" ref="AB235:AB236" si="808">ROUND(AA235*S235,0)</f>
        <v>7477</v>
      </c>
      <c r="AC235" s="308">
        <f t="shared" ref="AC235:AC236" si="809">AA235</f>
        <v>5.2137</v>
      </c>
      <c r="AD235" s="309">
        <f t="shared" si="780"/>
        <v>7477</v>
      </c>
      <c r="AE235" s="310">
        <f t="shared" si="781"/>
        <v>3.8</v>
      </c>
      <c r="AF235" s="252">
        <f t="shared" si="782"/>
        <v>5450</v>
      </c>
      <c r="AG235" s="306">
        <f t="shared" ref="AG235:AG236" si="810">ROUND(AC235*0.15,2)</f>
        <v>0.78</v>
      </c>
      <c r="AH235" s="252">
        <f t="shared" ref="AH235:AH236" si="811">ROUND(AD235*0.15,0)</f>
        <v>1122</v>
      </c>
      <c r="AI235" s="311"/>
      <c r="AJ235" s="311"/>
      <c r="AK235" s="311"/>
      <c r="AL235" s="311"/>
      <c r="AM235" s="312"/>
      <c r="AN235" s="313"/>
    </row>
    <row r="236" ht="12.75" customHeight="1">
      <c r="A236" s="245" t="s">
        <v>472</v>
      </c>
      <c r="B236" s="246" t="s">
        <v>359</v>
      </c>
      <c r="C236" s="247" t="s">
        <v>360</v>
      </c>
      <c r="D236" s="247" t="s">
        <v>137</v>
      </c>
      <c r="E236" s="248"/>
      <c r="F236" s="248"/>
      <c r="G236" s="247" t="s">
        <v>139</v>
      </c>
      <c r="H236" s="248" t="s">
        <v>1075</v>
      </c>
      <c r="I236" s="248" t="s">
        <v>105</v>
      </c>
      <c r="J236" s="300" t="s">
        <v>106</v>
      </c>
      <c r="K236" s="314">
        <f t="shared" ref="K236:R236" si="806">-K235</f>
        <v>-5.21</v>
      </c>
      <c r="L236" s="309">
        <f t="shared" si="806"/>
        <v>-7471</v>
      </c>
      <c r="M236" s="315">
        <f t="shared" si="806"/>
        <v>-0.78</v>
      </c>
      <c r="N236" s="252">
        <f t="shared" si="806"/>
        <v>-1118</v>
      </c>
      <c r="O236" s="251">
        <f t="shared" si="806"/>
        <v>-0.57</v>
      </c>
      <c r="P236" s="252">
        <f t="shared" si="806"/>
        <v>-817</v>
      </c>
      <c r="Q236" s="251">
        <f t="shared" si="806"/>
        <v>-0.21</v>
      </c>
      <c r="R236" s="252">
        <f t="shared" si="806"/>
        <v>-301</v>
      </c>
      <c r="S236" s="253">
        <v>1434.1</v>
      </c>
      <c r="T236" s="254">
        <v>15.0</v>
      </c>
      <c r="U236" s="255" t="s">
        <v>107</v>
      </c>
      <c r="V236" s="255"/>
      <c r="W236" s="304">
        <v>0.5793</v>
      </c>
      <c r="X236" s="304">
        <v>0.156589</v>
      </c>
      <c r="Y236" s="304">
        <v>0.422711</v>
      </c>
      <c r="Z236" s="305">
        <f>-Z235</f>
        <v>-9</v>
      </c>
      <c r="AA236" s="306">
        <f t="shared" si="807"/>
        <v>-5.2137</v>
      </c>
      <c r="AB236" s="307">
        <f t="shared" si="808"/>
        <v>-7477</v>
      </c>
      <c r="AC236" s="308">
        <f t="shared" si="809"/>
        <v>-5.2137</v>
      </c>
      <c r="AD236" s="309">
        <f t="shared" si="780"/>
        <v>-7477</v>
      </c>
      <c r="AE236" s="310">
        <f t="shared" si="781"/>
        <v>-3.8</v>
      </c>
      <c r="AF236" s="252">
        <f t="shared" si="782"/>
        <v>-5450</v>
      </c>
      <c r="AG236" s="306">
        <f t="shared" si="810"/>
        <v>-0.78</v>
      </c>
      <c r="AH236" s="252">
        <f t="shared" si="811"/>
        <v>-1122</v>
      </c>
      <c r="AI236" s="311"/>
      <c r="AJ236" s="311"/>
      <c r="AK236" s="311"/>
      <c r="AL236" s="311"/>
      <c r="AM236" s="312"/>
      <c r="AN236" s="313"/>
    </row>
    <row r="237" ht="12.75" customHeight="1">
      <c r="A237" s="256" t="s">
        <v>473</v>
      </c>
      <c r="B237" s="257" t="s">
        <v>359</v>
      </c>
      <c r="C237" s="258" t="s">
        <v>360</v>
      </c>
      <c r="D237" s="258" t="s">
        <v>137</v>
      </c>
      <c r="E237" s="259"/>
      <c r="F237" s="259"/>
      <c r="G237" s="258" t="s">
        <v>139</v>
      </c>
      <c r="H237" s="259" t="s">
        <v>1076</v>
      </c>
      <c r="I237" s="259" t="s">
        <v>105</v>
      </c>
      <c r="J237" s="316" t="s">
        <v>106</v>
      </c>
      <c r="K237" s="317">
        <f>ROUND(M237/0.15,2)</f>
        <v>1.4</v>
      </c>
      <c r="L237" s="318">
        <f>ROUND(N237/0.15,0)</f>
        <v>2007</v>
      </c>
      <c r="M237" s="319">
        <f t="shared" ref="M237:N237" si="812">Q237</f>
        <v>0.21</v>
      </c>
      <c r="N237" s="261">
        <f t="shared" si="812"/>
        <v>301</v>
      </c>
      <c r="O237" s="262">
        <v>0.57</v>
      </c>
      <c r="P237" s="263">
        <v>817.0</v>
      </c>
      <c r="Q237" s="260">
        <f t="shared" ref="Q237:R237" si="813">M235-O237</f>
        <v>0.21</v>
      </c>
      <c r="R237" s="261">
        <f t="shared" si="813"/>
        <v>301</v>
      </c>
      <c r="S237" s="264">
        <v>1434.1</v>
      </c>
      <c r="T237" s="265">
        <v>15.0</v>
      </c>
      <c r="U237" s="266" t="s">
        <v>107</v>
      </c>
      <c r="V237" s="266" t="s">
        <v>1077</v>
      </c>
      <c r="W237" s="320">
        <v>0.5793</v>
      </c>
      <c r="X237" s="320">
        <v>0.156589</v>
      </c>
      <c r="Y237" s="320">
        <v>0.422711</v>
      </c>
      <c r="Z237" s="321">
        <f>Z235</f>
        <v>9</v>
      </c>
      <c r="AA237" s="311"/>
      <c r="AB237" s="322"/>
      <c r="AC237" s="323">
        <f>IFERROR(ROUND(Z237*X237,2),0)</f>
        <v>1.41</v>
      </c>
      <c r="AD237" s="318">
        <f t="shared" si="780"/>
        <v>2022</v>
      </c>
      <c r="AE237" s="324">
        <f t="shared" si="781"/>
        <v>3.8</v>
      </c>
      <c r="AF237" s="261">
        <f t="shared" si="782"/>
        <v>5450</v>
      </c>
      <c r="AG237" s="311"/>
      <c r="AH237" s="311"/>
      <c r="AI237" s="325">
        <f>ROUND(AC237*0.15,2)</f>
        <v>0.21</v>
      </c>
      <c r="AJ237" s="261">
        <f>ROUND(AD237*0.15,0)</f>
        <v>303</v>
      </c>
      <c r="AK237" s="325">
        <f>ROUND(AE237*0.15,2)</f>
        <v>0.57</v>
      </c>
      <c r="AL237" s="261">
        <f>ROUND(AF237*0.15,0)</f>
        <v>818</v>
      </c>
      <c r="AM237" s="326">
        <f>IFERROR(AC237/K237,IFERROR(AK237/O237,""))</f>
        <v>1.007142857</v>
      </c>
      <c r="AN237" s="313"/>
    </row>
    <row r="238" ht="12.75" customHeight="1">
      <c r="A238" s="245" t="s">
        <v>475</v>
      </c>
      <c r="B238" s="246" t="s">
        <v>359</v>
      </c>
      <c r="C238" s="247" t="s">
        <v>360</v>
      </c>
      <c r="D238" s="247" t="s">
        <v>370</v>
      </c>
      <c r="E238" s="248"/>
      <c r="F238" s="248"/>
      <c r="G238" s="247" t="s">
        <v>127</v>
      </c>
      <c r="H238" s="248" t="s">
        <v>1078</v>
      </c>
      <c r="I238" s="248" t="s">
        <v>105</v>
      </c>
      <c r="J238" s="300" t="s">
        <v>106</v>
      </c>
      <c r="K238" s="301">
        <v>9.67</v>
      </c>
      <c r="L238" s="302">
        <v>14114.0</v>
      </c>
      <c r="M238" s="303">
        <v>1.45</v>
      </c>
      <c r="N238" s="250">
        <v>2116.0</v>
      </c>
      <c r="O238" s="249">
        <v>0.76</v>
      </c>
      <c r="P238" s="250">
        <v>1109.0</v>
      </c>
      <c r="Q238" s="251">
        <f t="shared" ref="Q238:R238" si="814">M238-O238</f>
        <v>0.69</v>
      </c>
      <c r="R238" s="252">
        <f t="shared" si="814"/>
        <v>1007</v>
      </c>
      <c r="S238" s="253">
        <v>1459.6</v>
      </c>
      <c r="T238" s="254">
        <v>15.0</v>
      </c>
      <c r="U238" s="255" t="s">
        <v>107</v>
      </c>
      <c r="V238" s="255"/>
      <c r="W238" s="304">
        <v>1.6118</v>
      </c>
      <c r="X238" s="304">
        <v>0.763226</v>
      </c>
      <c r="Y238" s="304">
        <v>0.848574</v>
      </c>
      <c r="Z238" s="305">
        <f>IFERROR(ROUND(K238/W238,0),0)</f>
        <v>6</v>
      </c>
      <c r="AA238" s="306">
        <f t="shared" ref="AA238:AA239" si="816">Z238*W238</f>
        <v>9.6708</v>
      </c>
      <c r="AB238" s="307">
        <f t="shared" ref="AB238:AB239" si="817">ROUND(AA238*S238,0)</f>
        <v>14115</v>
      </c>
      <c r="AC238" s="308">
        <f t="shared" ref="AC238:AC239" si="818">AA238</f>
        <v>9.6708</v>
      </c>
      <c r="AD238" s="309">
        <f t="shared" si="780"/>
        <v>14115</v>
      </c>
      <c r="AE238" s="310">
        <f t="shared" si="781"/>
        <v>5.09</v>
      </c>
      <c r="AF238" s="252">
        <f t="shared" si="782"/>
        <v>7429</v>
      </c>
      <c r="AG238" s="306">
        <f t="shared" ref="AG238:AG239" si="819">ROUND(AC238*0.15,2)</f>
        <v>1.45</v>
      </c>
      <c r="AH238" s="252">
        <f t="shared" ref="AH238:AH239" si="820">ROUND(AD238*0.15,0)</f>
        <v>2117</v>
      </c>
      <c r="AI238" s="311"/>
      <c r="AJ238" s="311"/>
      <c r="AK238" s="311"/>
      <c r="AL238" s="311"/>
      <c r="AM238" s="312"/>
      <c r="AN238" s="313"/>
    </row>
    <row r="239" ht="12.75" customHeight="1">
      <c r="A239" s="245" t="s">
        <v>476</v>
      </c>
      <c r="B239" s="246" t="s">
        <v>359</v>
      </c>
      <c r="C239" s="247" t="s">
        <v>360</v>
      </c>
      <c r="D239" s="247" t="s">
        <v>370</v>
      </c>
      <c r="E239" s="248"/>
      <c r="F239" s="248"/>
      <c r="G239" s="247" t="s">
        <v>127</v>
      </c>
      <c r="H239" s="248" t="s">
        <v>1079</v>
      </c>
      <c r="I239" s="248" t="s">
        <v>105</v>
      </c>
      <c r="J239" s="300" t="s">
        <v>106</v>
      </c>
      <c r="K239" s="314">
        <f t="shared" ref="K239:R239" si="815">-K238</f>
        <v>-9.67</v>
      </c>
      <c r="L239" s="309">
        <f t="shared" si="815"/>
        <v>-14114</v>
      </c>
      <c r="M239" s="315">
        <f t="shared" si="815"/>
        <v>-1.45</v>
      </c>
      <c r="N239" s="252">
        <f t="shared" si="815"/>
        <v>-2116</v>
      </c>
      <c r="O239" s="251">
        <f t="shared" si="815"/>
        <v>-0.76</v>
      </c>
      <c r="P239" s="252">
        <f t="shared" si="815"/>
        <v>-1109</v>
      </c>
      <c r="Q239" s="251">
        <f t="shared" si="815"/>
        <v>-0.69</v>
      </c>
      <c r="R239" s="252">
        <f t="shared" si="815"/>
        <v>-1007</v>
      </c>
      <c r="S239" s="253">
        <v>1459.6</v>
      </c>
      <c r="T239" s="254">
        <v>15.0</v>
      </c>
      <c r="U239" s="255" t="s">
        <v>107</v>
      </c>
      <c r="V239" s="255"/>
      <c r="W239" s="304">
        <v>1.6118</v>
      </c>
      <c r="X239" s="304">
        <v>0.763226</v>
      </c>
      <c r="Y239" s="304">
        <v>0.848574</v>
      </c>
      <c r="Z239" s="305">
        <f>-Z238</f>
        <v>-6</v>
      </c>
      <c r="AA239" s="306">
        <f t="shared" si="816"/>
        <v>-9.6708</v>
      </c>
      <c r="AB239" s="307">
        <f t="shared" si="817"/>
        <v>-14115</v>
      </c>
      <c r="AC239" s="308">
        <f t="shared" si="818"/>
        <v>-9.6708</v>
      </c>
      <c r="AD239" s="309">
        <f t="shared" si="780"/>
        <v>-14115</v>
      </c>
      <c r="AE239" s="310">
        <f t="shared" si="781"/>
        <v>-5.09</v>
      </c>
      <c r="AF239" s="252">
        <f t="shared" si="782"/>
        <v>-7429</v>
      </c>
      <c r="AG239" s="306">
        <f t="shared" si="819"/>
        <v>-1.45</v>
      </c>
      <c r="AH239" s="252">
        <f t="shared" si="820"/>
        <v>-2117</v>
      </c>
      <c r="AI239" s="311"/>
      <c r="AJ239" s="311"/>
      <c r="AK239" s="311"/>
      <c r="AL239" s="311"/>
      <c r="AM239" s="312"/>
      <c r="AN239" s="313"/>
    </row>
    <row r="240" ht="12.75" customHeight="1">
      <c r="A240" s="256" t="s">
        <v>477</v>
      </c>
      <c r="B240" s="257" t="s">
        <v>359</v>
      </c>
      <c r="C240" s="258" t="s">
        <v>360</v>
      </c>
      <c r="D240" s="258" t="s">
        <v>370</v>
      </c>
      <c r="E240" s="259"/>
      <c r="F240" s="259"/>
      <c r="G240" s="258" t="s">
        <v>127</v>
      </c>
      <c r="H240" s="259" t="s">
        <v>1080</v>
      </c>
      <c r="I240" s="259" t="s">
        <v>105</v>
      </c>
      <c r="J240" s="316" t="s">
        <v>106</v>
      </c>
      <c r="K240" s="317">
        <f>ROUND(M240/0.15,2)</f>
        <v>4.6</v>
      </c>
      <c r="L240" s="318">
        <f>ROUND(N240/0.15,0)</f>
        <v>6713</v>
      </c>
      <c r="M240" s="319">
        <f t="shared" ref="M240:N240" si="821">Q240</f>
        <v>0.69</v>
      </c>
      <c r="N240" s="261">
        <f t="shared" si="821"/>
        <v>1007</v>
      </c>
      <c r="O240" s="262">
        <v>0.76</v>
      </c>
      <c r="P240" s="263">
        <v>1109.0</v>
      </c>
      <c r="Q240" s="260">
        <f t="shared" ref="Q240:R240" si="822">M238-O240</f>
        <v>0.69</v>
      </c>
      <c r="R240" s="261">
        <f t="shared" si="822"/>
        <v>1007</v>
      </c>
      <c r="S240" s="264">
        <v>1459.6</v>
      </c>
      <c r="T240" s="265">
        <v>15.0</v>
      </c>
      <c r="U240" s="266" t="s">
        <v>107</v>
      </c>
      <c r="V240" s="266" t="s">
        <v>1081</v>
      </c>
      <c r="W240" s="320">
        <v>1.6118</v>
      </c>
      <c r="X240" s="320">
        <v>0.763226</v>
      </c>
      <c r="Y240" s="320">
        <v>0.848574</v>
      </c>
      <c r="Z240" s="321">
        <f>Z238</f>
        <v>6</v>
      </c>
      <c r="AA240" s="311"/>
      <c r="AB240" s="322"/>
      <c r="AC240" s="323">
        <f>IFERROR(ROUND(Z240*X240,2),0)</f>
        <v>4.58</v>
      </c>
      <c r="AD240" s="318">
        <f t="shared" si="780"/>
        <v>6685</v>
      </c>
      <c r="AE240" s="324">
        <f t="shared" si="781"/>
        <v>5.09</v>
      </c>
      <c r="AF240" s="261">
        <f t="shared" si="782"/>
        <v>7429</v>
      </c>
      <c r="AG240" s="311"/>
      <c r="AH240" s="311"/>
      <c r="AI240" s="325">
        <f>ROUND(AC240*0.15,2)</f>
        <v>0.69</v>
      </c>
      <c r="AJ240" s="261">
        <f>ROUND(AD240*0.15,0)</f>
        <v>1003</v>
      </c>
      <c r="AK240" s="325">
        <f>ROUND(AE240*0.15,2)</f>
        <v>0.76</v>
      </c>
      <c r="AL240" s="261">
        <f>ROUND(AF240*0.15,0)</f>
        <v>1114</v>
      </c>
      <c r="AM240" s="326">
        <f>IFERROR(AC240/K240,IFERROR(AK240/O240,""))</f>
        <v>0.9956521739</v>
      </c>
      <c r="AN240" s="313"/>
    </row>
    <row r="241" ht="12.75" customHeight="1">
      <c r="A241" s="245" t="s">
        <v>479</v>
      </c>
      <c r="B241" s="246" t="s">
        <v>359</v>
      </c>
      <c r="C241" s="247" t="s">
        <v>360</v>
      </c>
      <c r="D241" s="247" t="s">
        <v>146</v>
      </c>
      <c r="E241" s="248"/>
      <c r="F241" s="248"/>
      <c r="G241" s="247" t="s">
        <v>131</v>
      </c>
      <c r="H241" s="248" t="s">
        <v>1082</v>
      </c>
      <c r="I241" s="248" t="s">
        <v>105</v>
      </c>
      <c r="J241" s="300" t="s">
        <v>106</v>
      </c>
      <c r="K241" s="301">
        <v>4.79</v>
      </c>
      <c r="L241" s="302">
        <v>6952.0</v>
      </c>
      <c r="M241" s="303">
        <v>0.72</v>
      </c>
      <c r="N241" s="250">
        <v>1045.0</v>
      </c>
      <c r="O241" s="249">
        <v>0.7</v>
      </c>
      <c r="P241" s="250">
        <v>1016.0</v>
      </c>
      <c r="Q241" s="251">
        <f t="shared" ref="Q241:R241" si="823">M241-O241</f>
        <v>0.02</v>
      </c>
      <c r="R241" s="252">
        <f t="shared" si="823"/>
        <v>29</v>
      </c>
      <c r="S241" s="253">
        <v>1451.5</v>
      </c>
      <c r="T241" s="254">
        <v>15.0</v>
      </c>
      <c r="U241" s="255" t="s">
        <v>107</v>
      </c>
      <c r="V241" s="255"/>
      <c r="W241" s="304">
        <v>0.5989</v>
      </c>
      <c r="X241" s="304">
        <v>0.017688</v>
      </c>
      <c r="Y241" s="304">
        <v>0.581212</v>
      </c>
      <c r="Z241" s="305">
        <f>IFERROR(ROUND(K241/W241,0),0)</f>
        <v>8</v>
      </c>
      <c r="AA241" s="306">
        <f t="shared" ref="AA241:AA242" si="825">Z241*W241</f>
        <v>4.7912</v>
      </c>
      <c r="AB241" s="307">
        <f t="shared" ref="AB241:AB242" si="826">ROUND(AA241*S241,0)</f>
        <v>6954</v>
      </c>
      <c r="AC241" s="308">
        <f t="shared" ref="AC241:AC242" si="827">AA241</f>
        <v>4.7912</v>
      </c>
      <c r="AD241" s="309">
        <f t="shared" si="780"/>
        <v>6954</v>
      </c>
      <c r="AE241" s="310">
        <f t="shared" si="781"/>
        <v>4.65</v>
      </c>
      <c r="AF241" s="252">
        <f t="shared" si="782"/>
        <v>6749</v>
      </c>
      <c r="AG241" s="306">
        <f t="shared" ref="AG241:AG242" si="828">ROUND(AC241*0.15,2)</f>
        <v>0.72</v>
      </c>
      <c r="AH241" s="252">
        <f t="shared" ref="AH241:AH242" si="829">ROUND(AD241*0.15,0)</f>
        <v>1043</v>
      </c>
      <c r="AI241" s="311"/>
      <c r="AJ241" s="311"/>
      <c r="AK241" s="311"/>
      <c r="AL241" s="311"/>
      <c r="AM241" s="312"/>
      <c r="AN241" s="313"/>
    </row>
    <row r="242" ht="12.75" customHeight="1">
      <c r="A242" s="245" t="s">
        <v>480</v>
      </c>
      <c r="B242" s="246" t="s">
        <v>359</v>
      </c>
      <c r="C242" s="247" t="s">
        <v>360</v>
      </c>
      <c r="D242" s="247" t="s">
        <v>146</v>
      </c>
      <c r="E242" s="248"/>
      <c r="F242" s="248"/>
      <c r="G242" s="247" t="s">
        <v>131</v>
      </c>
      <c r="H242" s="248" t="s">
        <v>1083</v>
      </c>
      <c r="I242" s="248" t="s">
        <v>105</v>
      </c>
      <c r="J242" s="300" t="s">
        <v>106</v>
      </c>
      <c r="K242" s="314">
        <f t="shared" ref="K242:R242" si="824">-K241</f>
        <v>-4.79</v>
      </c>
      <c r="L242" s="309">
        <f t="shared" si="824"/>
        <v>-6952</v>
      </c>
      <c r="M242" s="315">
        <f t="shared" si="824"/>
        <v>-0.72</v>
      </c>
      <c r="N242" s="252">
        <f t="shared" si="824"/>
        <v>-1045</v>
      </c>
      <c r="O242" s="251">
        <f t="shared" si="824"/>
        <v>-0.7</v>
      </c>
      <c r="P242" s="252">
        <f t="shared" si="824"/>
        <v>-1016</v>
      </c>
      <c r="Q242" s="251">
        <f t="shared" si="824"/>
        <v>-0.02</v>
      </c>
      <c r="R242" s="252">
        <f t="shared" si="824"/>
        <v>-29</v>
      </c>
      <c r="S242" s="253">
        <v>1451.5</v>
      </c>
      <c r="T242" s="254">
        <v>15.0</v>
      </c>
      <c r="U242" s="255" t="s">
        <v>107</v>
      </c>
      <c r="V242" s="255"/>
      <c r="W242" s="304">
        <v>0.5989</v>
      </c>
      <c r="X242" s="304">
        <v>0.017688</v>
      </c>
      <c r="Y242" s="304">
        <v>0.581212</v>
      </c>
      <c r="Z242" s="305">
        <f>-Z241</f>
        <v>-8</v>
      </c>
      <c r="AA242" s="306">
        <f t="shared" si="825"/>
        <v>-4.7912</v>
      </c>
      <c r="AB242" s="307">
        <f t="shared" si="826"/>
        <v>-6954</v>
      </c>
      <c r="AC242" s="308">
        <f t="shared" si="827"/>
        <v>-4.7912</v>
      </c>
      <c r="AD242" s="309">
        <f t="shared" si="780"/>
        <v>-6954</v>
      </c>
      <c r="AE242" s="310">
        <f t="shared" si="781"/>
        <v>-4.65</v>
      </c>
      <c r="AF242" s="252">
        <f t="shared" si="782"/>
        <v>-6749</v>
      </c>
      <c r="AG242" s="306">
        <f t="shared" si="828"/>
        <v>-0.72</v>
      </c>
      <c r="AH242" s="252">
        <f t="shared" si="829"/>
        <v>-1043</v>
      </c>
      <c r="AI242" s="311"/>
      <c r="AJ242" s="311"/>
      <c r="AK242" s="311"/>
      <c r="AL242" s="311"/>
      <c r="AM242" s="312"/>
      <c r="AN242" s="313"/>
    </row>
    <row r="243" ht="12.75" customHeight="1">
      <c r="A243" s="256" t="s">
        <v>481</v>
      </c>
      <c r="B243" s="257" t="s">
        <v>359</v>
      </c>
      <c r="C243" s="258" t="s">
        <v>360</v>
      </c>
      <c r="D243" s="258" t="s">
        <v>146</v>
      </c>
      <c r="E243" s="259"/>
      <c r="F243" s="259"/>
      <c r="G243" s="258" t="s">
        <v>131</v>
      </c>
      <c r="H243" s="259" t="s">
        <v>1084</v>
      </c>
      <c r="I243" s="259" t="s">
        <v>105</v>
      </c>
      <c r="J243" s="316" t="s">
        <v>106</v>
      </c>
      <c r="K243" s="317">
        <f>ROUND(M243/0.15,2)</f>
        <v>0.13</v>
      </c>
      <c r="L243" s="318">
        <f>ROUND(N243/0.15,0)</f>
        <v>193</v>
      </c>
      <c r="M243" s="319">
        <f t="shared" ref="M243:N243" si="830">Q243</f>
        <v>0.02</v>
      </c>
      <c r="N243" s="261">
        <f t="shared" si="830"/>
        <v>29</v>
      </c>
      <c r="O243" s="262">
        <v>0.7</v>
      </c>
      <c r="P243" s="263">
        <v>1016.0</v>
      </c>
      <c r="Q243" s="260">
        <f t="shared" ref="Q243:R243" si="831">M241-O243</f>
        <v>0.02</v>
      </c>
      <c r="R243" s="261">
        <f t="shared" si="831"/>
        <v>29</v>
      </c>
      <c r="S243" s="264">
        <v>1451.5</v>
      </c>
      <c r="T243" s="265">
        <v>15.0</v>
      </c>
      <c r="U243" s="266" t="s">
        <v>107</v>
      </c>
      <c r="V243" s="266" t="s">
        <v>1085</v>
      </c>
      <c r="W243" s="320">
        <v>0.5989</v>
      </c>
      <c r="X243" s="320">
        <v>0.017688</v>
      </c>
      <c r="Y243" s="320">
        <v>0.581212</v>
      </c>
      <c r="Z243" s="321">
        <f>Z241</f>
        <v>8</v>
      </c>
      <c r="AA243" s="311"/>
      <c r="AB243" s="322"/>
      <c r="AC243" s="323">
        <f>IFERROR(ROUND(Z243*X243,2),0)</f>
        <v>0.14</v>
      </c>
      <c r="AD243" s="318">
        <f t="shared" si="780"/>
        <v>203</v>
      </c>
      <c r="AE243" s="324">
        <f t="shared" si="781"/>
        <v>4.65</v>
      </c>
      <c r="AF243" s="261">
        <f t="shared" si="782"/>
        <v>6749</v>
      </c>
      <c r="AG243" s="311"/>
      <c r="AH243" s="311"/>
      <c r="AI243" s="325">
        <f>ROUND(AC243*0.15,2)</f>
        <v>0.02</v>
      </c>
      <c r="AJ243" s="261">
        <f>ROUND(AD243*0.15,0)</f>
        <v>30</v>
      </c>
      <c r="AK243" s="325">
        <f>ROUND(AE243*0.15,2)</f>
        <v>0.7</v>
      </c>
      <c r="AL243" s="261">
        <f>ROUND(AF243*0.15,0)</f>
        <v>1012</v>
      </c>
      <c r="AM243" s="326">
        <f>IFERROR(AC243/K243,IFERROR(AK243/O243,""))</f>
        <v>1.076923077</v>
      </c>
      <c r="AN243" s="313" t="s">
        <v>1055</v>
      </c>
    </row>
    <row r="244" ht="12.75" customHeight="1">
      <c r="A244" s="245" t="s">
        <v>483</v>
      </c>
      <c r="B244" s="246" t="s">
        <v>359</v>
      </c>
      <c r="C244" s="247" t="s">
        <v>360</v>
      </c>
      <c r="D244" s="247" t="s">
        <v>152</v>
      </c>
      <c r="E244" s="248"/>
      <c r="F244" s="248"/>
      <c r="G244" s="247" t="s">
        <v>135</v>
      </c>
      <c r="H244" s="248" t="s">
        <v>1086</v>
      </c>
      <c r="I244" s="248" t="s">
        <v>105</v>
      </c>
      <c r="J244" s="300" t="s">
        <v>106</v>
      </c>
      <c r="K244" s="301">
        <v>8.27</v>
      </c>
      <c r="L244" s="302">
        <v>11974.0</v>
      </c>
      <c r="M244" s="303">
        <v>1.24</v>
      </c>
      <c r="N244" s="250">
        <v>1795.0</v>
      </c>
      <c r="O244" s="249">
        <v>1.24</v>
      </c>
      <c r="P244" s="250">
        <v>1795.0</v>
      </c>
      <c r="Q244" s="251">
        <f t="shared" ref="Q244:R244" si="832">M244-O244</f>
        <v>0</v>
      </c>
      <c r="R244" s="252">
        <f t="shared" si="832"/>
        <v>0</v>
      </c>
      <c r="S244" s="253">
        <v>1448.0</v>
      </c>
      <c r="T244" s="254">
        <v>15.0</v>
      </c>
      <c r="U244" s="255" t="s">
        <v>107</v>
      </c>
      <c r="V244" s="255"/>
      <c r="W244" s="304">
        <v>1.3775</v>
      </c>
      <c r="X244" s="304">
        <v>0.0</v>
      </c>
      <c r="Y244" s="304">
        <v>1.3775</v>
      </c>
      <c r="Z244" s="305">
        <f>IFERROR(ROUND(K244/W244,0),0)</f>
        <v>6</v>
      </c>
      <c r="AA244" s="306">
        <f t="shared" ref="AA244:AA245" si="834">Z244*W244</f>
        <v>8.265</v>
      </c>
      <c r="AB244" s="307">
        <f t="shared" ref="AB244:AB245" si="835">ROUND(AA244*S244,0)</f>
        <v>11968</v>
      </c>
      <c r="AC244" s="308">
        <f t="shared" ref="AC244:AC245" si="836">AA244</f>
        <v>8.265</v>
      </c>
      <c r="AD244" s="309">
        <f t="shared" si="780"/>
        <v>11968</v>
      </c>
      <c r="AE244" s="310">
        <f t="shared" si="781"/>
        <v>8.27</v>
      </c>
      <c r="AF244" s="252">
        <f t="shared" si="782"/>
        <v>11975</v>
      </c>
      <c r="AG244" s="306">
        <f t="shared" ref="AG244:AG245" si="837">ROUND(AC244*0.15,2)</f>
        <v>1.24</v>
      </c>
      <c r="AH244" s="252">
        <f t="shared" ref="AH244:AH245" si="838">ROUND(AD244*0.15,0)</f>
        <v>1795</v>
      </c>
      <c r="AI244" s="311"/>
      <c r="AJ244" s="311"/>
      <c r="AK244" s="311"/>
      <c r="AL244" s="311"/>
      <c r="AM244" s="312"/>
      <c r="AN244" s="313"/>
    </row>
    <row r="245" ht="12.75" customHeight="1">
      <c r="A245" s="245" t="s">
        <v>484</v>
      </c>
      <c r="B245" s="246" t="s">
        <v>359</v>
      </c>
      <c r="C245" s="247" t="s">
        <v>360</v>
      </c>
      <c r="D245" s="247" t="s">
        <v>152</v>
      </c>
      <c r="E245" s="248"/>
      <c r="F245" s="248"/>
      <c r="G245" s="247" t="s">
        <v>135</v>
      </c>
      <c r="H245" s="248" t="s">
        <v>1087</v>
      </c>
      <c r="I245" s="248" t="s">
        <v>105</v>
      </c>
      <c r="J245" s="300" t="s">
        <v>106</v>
      </c>
      <c r="K245" s="314">
        <f t="shared" ref="K245:R245" si="833">-K244</f>
        <v>-8.27</v>
      </c>
      <c r="L245" s="309">
        <f t="shared" si="833"/>
        <v>-11974</v>
      </c>
      <c r="M245" s="315">
        <f t="shared" si="833"/>
        <v>-1.24</v>
      </c>
      <c r="N245" s="252">
        <f t="shared" si="833"/>
        <v>-1795</v>
      </c>
      <c r="O245" s="251">
        <f t="shared" si="833"/>
        <v>-1.24</v>
      </c>
      <c r="P245" s="252">
        <f t="shared" si="833"/>
        <v>-1795</v>
      </c>
      <c r="Q245" s="251">
        <f t="shared" si="833"/>
        <v>0</v>
      </c>
      <c r="R245" s="252">
        <f t="shared" si="833"/>
        <v>0</v>
      </c>
      <c r="S245" s="253">
        <v>1448.0</v>
      </c>
      <c r="T245" s="254">
        <v>15.0</v>
      </c>
      <c r="U245" s="255" t="s">
        <v>107</v>
      </c>
      <c r="V245" s="255"/>
      <c r="W245" s="304">
        <v>1.3775</v>
      </c>
      <c r="X245" s="304">
        <v>0.0</v>
      </c>
      <c r="Y245" s="304">
        <v>1.3775</v>
      </c>
      <c r="Z245" s="305">
        <f>-Z244</f>
        <v>-6</v>
      </c>
      <c r="AA245" s="306">
        <f t="shared" si="834"/>
        <v>-8.265</v>
      </c>
      <c r="AB245" s="307">
        <f t="shared" si="835"/>
        <v>-11968</v>
      </c>
      <c r="AC245" s="308">
        <f t="shared" si="836"/>
        <v>-8.265</v>
      </c>
      <c r="AD245" s="309">
        <f t="shared" si="780"/>
        <v>-11968</v>
      </c>
      <c r="AE245" s="310">
        <f t="shared" si="781"/>
        <v>-8.27</v>
      </c>
      <c r="AF245" s="252">
        <f t="shared" si="782"/>
        <v>-11975</v>
      </c>
      <c r="AG245" s="306">
        <f t="shared" si="837"/>
        <v>-1.24</v>
      </c>
      <c r="AH245" s="252">
        <f t="shared" si="838"/>
        <v>-1795</v>
      </c>
      <c r="AI245" s="311"/>
      <c r="AJ245" s="311"/>
      <c r="AK245" s="311"/>
      <c r="AL245" s="311"/>
      <c r="AM245" s="312"/>
      <c r="AN245" s="313"/>
    </row>
    <row r="246" ht="12.75" customHeight="1">
      <c r="A246" s="256" t="s">
        <v>485</v>
      </c>
      <c r="B246" s="257" t="s">
        <v>359</v>
      </c>
      <c r="C246" s="258" t="s">
        <v>360</v>
      </c>
      <c r="D246" s="258" t="s">
        <v>152</v>
      </c>
      <c r="E246" s="259"/>
      <c r="F246" s="259"/>
      <c r="G246" s="258" t="s">
        <v>135</v>
      </c>
      <c r="H246" s="259" t="s">
        <v>1088</v>
      </c>
      <c r="I246" s="259" t="s">
        <v>105</v>
      </c>
      <c r="J246" s="316" t="s">
        <v>106</v>
      </c>
      <c r="K246" s="317">
        <f>ROUND(M246/0.15,2)</f>
        <v>0</v>
      </c>
      <c r="L246" s="318">
        <f>ROUND(N246/0.15,0)</f>
        <v>0</v>
      </c>
      <c r="M246" s="319">
        <f t="shared" ref="M246:N246" si="839">Q246</f>
        <v>0</v>
      </c>
      <c r="N246" s="261">
        <f t="shared" si="839"/>
        <v>0</v>
      </c>
      <c r="O246" s="262">
        <v>1.24</v>
      </c>
      <c r="P246" s="263">
        <v>1795.0</v>
      </c>
      <c r="Q246" s="260">
        <f t="shared" ref="Q246:R246" si="840">M244-O246</f>
        <v>0</v>
      </c>
      <c r="R246" s="261">
        <f t="shared" si="840"/>
        <v>0</v>
      </c>
      <c r="S246" s="264">
        <v>1448.0</v>
      </c>
      <c r="T246" s="265">
        <v>15.0</v>
      </c>
      <c r="U246" s="266" t="s">
        <v>107</v>
      </c>
      <c r="V246" s="266" t="s">
        <v>1089</v>
      </c>
      <c r="W246" s="320">
        <v>1.3775</v>
      </c>
      <c r="X246" s="320">
        <v>0.0</v>
      </c>
      <c r="Y246" s="320">
        <v>1.3775</v>
      </c>
      <c r="Z246" s="321">
        <f>Z244</f>
        <v>6</v>
      </c>
      <c r="AA246" s="311"/>
      <c r="AB246" s="322"/>
      <c r="AC246" s="323">
        <f>IFERROR(ROUND(Z246*X246,2),0)</f>
        <v>0</v>
      </c>
      <c r="AD246" s="318">
        <f t="shared" si="780"/>
        <v>0</v>
      </c>
      <c r="AE246" s="324">
        <f t="shared" si="781"/>
        <v>8.27</v>
      </c>
      <c r="AF246" s="261">
        <f t="shared" si="782"/>
        <v>11975</v>
      </c>
      <c r="AG246" s="311"/>
      <c r="AH246" s="311"/>
      <c r="AI246" s="325">
        <f>ROUND(AC246*0.15,2)</f>
        <v>0</v>
      </c>
      <c r="AJ246" s="261">
        <f>ROUND(AD246*0.15,0)</f>
        <v>0</v>
      </c>
      <c r="AK246" s="325">
        <f>ROUND(AE246*0.15,2)</f>
        <v>1.24</v>
      </c>
      <c r="AL246" s="261">
        <f>ROUND(AF246*0.15,0)</f>
        <v>1796</v>
      </c>
      <c r="AM246" s="326">
        <f>IFERROR(AC246/K246,IFERROR(AK246/O246,""))</f>
        <v>1</v>
      </c>
      <c r="AN246" s="313"/>
    </row>
    <row r="247" ht="12.75" customHeight="1">
      <c r="A247" s="245" t="s">
        <v>487</v>
      </c>
      <c r="B247" s="246" t="s">
        <v>359</v>
      </c>
      <c r="C247" s="247" t="s">
        <v>360</v>
      </c>
      <c r="D247" s="247" t="s">
        <v>155</v>
      </c>
      <c r="E247" s="248"/>
      <c r="F247" s="248"/>
      <c r="G247" s="247" t="s">
        <v>139</v>
      </c>
      <c r="H247" s="248" t="s">
        <v>1090</v>
      </c>
      <c r="I247" s="248" t="s">
        <v>105</v>
      </c>
      <c r="J247" s="300" t="s">
        <v>106</v>
      </c>
      <c r="K247" s="301">
        <v>4.17</v>
      </c>
      <c r="L247" s="302">
        <v>6116.0</v>
      </c>
      <c r="M247" s="303">
        <v>0.63</v>
      </c>
      <c r="N247" s="250">
        <v>924.0</v>
      </c>
      <c r="O247" s="249">
        <v>0.46</v>
      </c>
      <c r="P247" s="250">
        <v>674.0</v>
      </c>
      <c r="Q247" s="251">
        <f t="shared" ref="Q247:R247" si="841">M247-O247</f>
        <v>0.17</v>
      </c>
      <c r="R247" s="252">
        <f t="shared" si="841"/>
        <v>250</v>
      </c>
      <c r="S247" s="253">
        <v>1466.9</v>
      </c>
      <c r="T247" s="254">
        <v>15.0</v>
      </c>
      <c r="U247" s="255" t="s">
        <v>107</v>
      </c>
      <c r="V247" s="255"/>
      <c r="W247" s="304">
        <v>0.4638</v>
      </c>
      <c r="X247" s="304">
        <v>0.125368</v>
      </c>
      <c r="Y247" s="304">
        <v>0.338432</v>
      </c>
      <c r="Z247" s="305">
        <f>IFERROR(ROUND(K247/W247,0),0)</f>
        <v>9</v>
      </c>
      <c r="AA247" s="306">
        <f t="shared" ref="AA247:AA248" si="843">Z247*W247</f>
        <v>4.1742</v>
      </c>
      <c r="AB247" s="307">
        <f t="shared" ref="AB247:AB248" si="844">ROUND(AA247*S247,0)</f>
        <v>6123</v>
      </c>
      <c r="AC247" s="308">
        <f t="shared" ref="AC247:AC248" si="845">AA247</f>
        <v>4.1742</v>
      </c>
      <c r="AD247" s="309">
        <f t="shared" si="780"/>
        <v>6123</v>
      </c>
      <c r="AE247" s="310">
        <f t="shared" si="781"/>
        <v>3.05</v>
      </c>
      <c r="AF247" s="252">
        <f t="shared" si="782"/>
        <v>4474</v>
      </c>
      <c r="AG247" s="306">
        <f t="shared" ref="AG247:AG248" si="846">ROUND(AC247*0.15,2)</f>
        <v>0.63</v>
      </c>
      <c r="AH247" s="252">
        <f t="shared" ref="AH247:AH248" si="847">ROUND(AD247*0.15,0)</f>
        <v>918</v>
      </c>
      <c r="AI247" s="311"/>
      <c r="AJ247" s="311"/>
      <c r="AK247" s="311"/>
      <c r="AL247" s="311"/>
      <c r="AM247" s="312"/>
      <c r="AN247" s="313"/>
    </row>
    <row r="248" ht="12.75" customHeight="1">
      <c r="A248" s="245" t="s">
        <v>488</v>
      </c>
      <c r="B248" s="246" t="s">
        <v>359</v>
      </c>
      <c r="C248" s="247" t="s">
        <v>360</v>
      </c>
      <c r="D248" s="247" t="s">
        <v>155</v>
      </c>
      <c r="E248" s="248"/>
      <c r="F248" s="248"/>
      <c r="G248" s="247" t="s">
        <v>139</v>
      </c>
      <c r="H248" s="248" t="s">
        <v>1091</v>
      </c>
      <c r="I248" s="248" t="s">
        <v>105</v>
      </c>
      <c r="J248" s="300" t="s">
        <v>106</v>
      </c>
      <c r="K248" s="314">
        <f t="shared" ref="K248:R248" si="842">-K247</f>
        <v>-4.17</v>
      </c>
      <c r="L248" s="309">
        <f t="shared" si="842"/>
        <v>-6116</v>
      </c>
      <c r="M248" s="315">
        <f t="shared" si="842"/>
        <v>-0.63</v>
      </c>
      <c r="N248" s="252">
        <f t="shared" si="842"/>
        <v>-924</v>
      </c>
      <c r="O248" s="251">
        <f t="shared" si="842"/>
        <v>-0.46</v>
      </c>
      <c r="P248" s="252">
        <f t="shared" si="842"/>
        <v>-674</v>
      </c>
      <c r="Q248" s="251">
        <f t="shared" si="842"/>
        <v>-0.17</v>
      </c>
      <c r="R248" s="252">
        <f t="shared" si="842"/>
        <v>-250</v>
      </c>
      <c r="S248" s="253">
        <v>1466.9</v>
      </c>
      <c r="T248" s="254">
        <v>15.0</v>
      </c>
      <c r="U248" s="255" t="s">
        <v>107</v>
      </c>
      <c r="V248" s="255"/>
      <c r="W248" s="304">
        <v>0.4638</v>
      </c>
      <c r="X248" s="304">
        <v>0.125368</v>
      </c>
      <c r="Y248" s="304">
        <v>0.338432</v>
      </c>
      <c r="Z248" s="305">
        <f>-Z247</f>
        <v>-9</v>
      </c>
      <c r="AA248" s="306">
        <f t="shared" si="843"/>
        <v>-4.1742</v>
      </c>
      <c r="AB248" s="307">
        <f t="shared" si="844"/>
        <v>-6123</v>
      </c>
      <c r="AC248" s="308">
        <f t="shared" si="845"/>
        <v>-4.1742</v>
      </c>
      <c r="AD248" s="309">
        <f t="shared" si="780"/>
        <v>-6123</v>
      </c>
      <c r="AE248" s="310">
        <f t="shared" si="781"/>
        <v>-3.05</v>
      </c>
      <c r="AF248" s="252">
        <f t="shared" si="782"/>
        <v>-4474</v>
      </c>
      <c r="AG248" s="306">
        <f t="shared" si="846"/>
        <v>-0.63</v>
      </c>
      <c r="AH248" s="252">
        <f t="shared" si="847"/>
        <v>-918</v>
      </c>
      <c r="AI248" s="311"/>
      <c r="AJ248" s="311"/>
      <c r="AK248" s="311"/>
      <c r="AL248" s="311"/>
      <c r="AM248" s="312"/>
      <c r="AN248" s="313"/>
    </row>
    <row r="249" ht="12.75" customHeight="1">
      <c r="A249" s="256" t="s">
        <v>489</v>
      </c>
      <c r="B249" s="257" t="s">
        <v>359</v>
      </c>
      <c r="C249" s="258" t="s">
        <v>360</v>
      </c>
      <c r="D249" s="258" t="s">
        <v>155</v>
      </c>
      <c r="E249" s="259"/>
      <c r="F249" s="259"/>
      <c r="G249" s="258" t="s">
        <v>139</v>
      </c>
      <c r="H249" s="259" t="s">
        <v>1092</v>
      </c>
      <c r="I249" s="259" t="s">
        <v>105</v>
      </c>
      <c r="J249" s="316" t="s">
        <v>106</v>
      </c>
      <c r="K249" s="317">
        <f>ROUND(M249/0.15,2)</f>
        <v>1.13</v>
      </c>
      <c r="L249" s="318">
        <f>ROUND(N249/0.15,0)</f>
        <v>1667</v>
      </c>
      <c r="M249" s="319">
        <f t="shared" ref="M249:N249" si="848">Q249</f>
        <v>0.17</v>
      </c>
      <c r="N249" s="261">
        <f t="shared" si="848"/>
        <v>250</v>
      </c>
      <c r="O249" s="262">
        <v>0.46</v>
      </c>
      <c r="P249" s="263">
        <v>674.0</v>
      </c>
      <c r="Q249" s="260">
        <f t="shared" ref="Q249:R249" si="849">M247-O249</f>
        <v>0.17</v>
      </c>
      <c r="R249" s="261">
        <f t="shared" si="849"/>
        <v>250</v>
      </c>
      <c r="S249" s="264">
        <v>1466.9</v>
      </c>
      <c r="T249" s="265">
        <v>15.0</v>
      </c>
      <c r="U249" s="266" t="s">
        <v>107</v>
      </c>
      <c r="V249" s="266" t="s">
        <v>1093</v>
      </c>
      <c r="W249" s="320">
        <v>0.4638</v>
      </c>
      <c r="X249" s="320">
        <v>0.125368</v>
      </c>
      <c r="Y249" s="320">
        <v>0.338432</v>
      </c>
      <c r="Z249" s="321">
        <f>Z247</f>
        <v>9</v>
      </c>
      <c r="AA249" s="311"/>
      <c r="AB249" s="322"/>
      <c r="AC249" s="323">
        <f>IFERROR(ROUND(Z249*X249,2),0)</f>
        <v>1.13</v>
      </c>
      <c r="AD249" s="318">
        <f t="shared" si="780"/>
        <v>1658</v>
      </c>
      <c r="AE249" s="324">
        <f t="shared" si="781"/>
        <v>3.05</v>
      </c>
      <c r="AF249" s="261">
        <f t="shared" si="782"/>
        <v>4474</v>
      </c>
      <c r="AG249" s="311"/>
      <c r="AH249" s="311"/>
      <c r="AI249" s="325">
        <f>ROUND(AC249*0.15,2)</f>
        <v>0.17</v>
      </c>
      <c r="AJ249" s="261">
        <f>ROUND(AD249*0.15,0)</f>
        <v>249</v>
      </c>
      <c r="AK249" s="325">
        <f>ROUND(AE249*0.15,2)</f>
        <v>0.46</v>
      </c>
      <c r="AL249" s="261">
        <f>ROUND(AF249*0.15,0)</f>
        <v>671</v>
      </c>
      <c r="AM249" s="326">
        <f>IFERROR(AC249/K249,IFERROR(AK249/O249,""))</f>
        <v>1</v>
      </c>
      <c r="AN249" s="313"/>
    </row>
    <row r="250" ht="12.75" customHeight="1">
      <c r="A250" s="267" t="s">
        <v>767</v>
      </c>
      <c r="B250" s="268" t="s">
        <v>359</v>
      </c>
      <c r="C250" s="269" t="s">
        <v>360</v>
      </c>
      <c r="D250" s="269" t="s">
        <v>158</v>
      </c>
      <c r="E250" s="270"/>
      <c r="F250" s="270"/>
      <c r="G250" s="269" t="s">
        <v>288</v>
      </c>
      <c r="H250" s="270" t="s">
        <v>1094</v>
      </c>
      <c r="I250" s="270" t="s">
        <v>105</v>
      </c>
      <c r="J250" s="354" t="s">
        <v>106</v>
      </c>
      <c r="K250" s="355">
        <v>4.79</v>
      </c>
      <c r="L250" s="356">
        <v>7024.0</v>
      </c>
      <c r="M250" s="357">
        <v>0.72</v>
      </c>
      <c r="N250" s="272">
        <v>1055.0</v>
      </c>
      <c r="O250" s="271">
        <v>0.0</v>
      </c>
      <c r="P250" s="272">
        <v>0.0</v>
      </c>
      <c r="Q250" s="273">
        <f t="shared" ref="Q250:R250" si="850">M250-O250</f>
        <v>0.72</v>
      </c>
      <c r="R250" s="274">
        <f t="shared" si="850"/>
        <v>1055</v>
      </c>
      <c r="S250" s="275">
        <v>1466.5</v>
      </c>
      <c r="T250" s="276">
        <v>15.0</v>
      </c>
      <c r="U250" s="277" t="s">
        <v>107</v>
      </c>
      <c r="V250" s="277"/>
      <c r="W250" s="358"/>
      <c r="X250" s="358"/>
      <c r="Y250" s="358"/>
      <c r="Z250" s="358"/>
      <c r="AA250" s="358"/>
      <c r="AB250" s="359"/>
      <c r="AC250" s="360">
        <f t="shared" ref="AC250:AD250" si="851">K250</f>
        <v>4.79</v>
      </c>
      <c r="AD250" s="361">
        <f t="shared" si="851"/>
        <v>7024</v>
      </c>
      <c r="AE250" s="362"/>
      <c r="AF250" s="358"/>
      <c r="AG250" s="358"/>
      <c r="AH250" s="358"/>
      <c r="AI250" s="363">
        <f t="shared" ref="AI250:AJ250" si="852">Q250</f>
        <v>0.72</v>
      </c>
      <c r="AJ250" s="364">
        <f t="shared" si="852"/>
        <v>1055</v>
      </c>
      <c r="AK250" s="358"/>
      <c r="AL250" s="358"/>
      <c r="AM250" s="365"/>
      <c r="AN250" s="366"/>
    </row>
    <row r="251" ht="12.75" customHeight="1">
      <c r="A251" s="245" t="s">
        <v>769</v>
      </c>
      <c r="B251" s="246" t="s">
        <v>359</v>
      </c>
      <c r="C251" s="247" t="s">
        <v>360</v>
      </c>
      <c r="D251" s="247" t="s">
        <v>158</v>
      </c>
      <c r="E251" s="248"/>
      <c r="F251" s="248"/>
      <c r="G251" s="247" t="s">
        <v>127</v>
      </c>
      <c r="H251" s="248" t="s">
        <v>1095</v>
      </c>
      <c r="I251" s="248" t="s">
        <v>105</v>
      </c>
      <c r="J251" s="300" t="s">
        <v>106</v>
      </c>
      <c r="K251" s="301">
        <v>4.72</v>
      </c>
      <c r="L251" s="302">
        <v>6921.0</v>
      </c>
      <c r="M251" s="303">
        <v>0.71</v>
      </c>
      <c r="N251" s="250">
        <v>1041.0</v>
      </c>
      <c r="O251" s="249">
        <v>0.38</v>
      </c>
      <c r="P251" s="250">
        <v>557.0</v>
      </c>
      <c r="Q251" s="251">
        <f t="shared" ref="Q251:R251" si="853">M251-O251</f>
        <v>0.33</v>
      </c>
      <c r="R251" s="252">
        <f t="shared" si="853"/>
        <v>484</v>
      </c>
      <c r="S251" s="253">
        <v>1466.5</v>
      </c>
      <c r="T251" s="254">
        <v>15.0</v>
      </c>
      <c r="U251" s="255" t="s">
        <v>107</v>
      </c>
      <c r="V251" s="255"/>
      <c r="W251" s="304">
        <v>0.7874</v>
      </c>
      <c r="X251" s="304">
        <v>0.372853</v>
      </c>
      <c r="Y251" s="304">
        <v>0.414547</v>
      </c>
      <c r="Z251" s="305">
        <f>IFERROR(ROUND(K251/W251,0),0)</f>
        <v>6</v>
      </c>
      <c r="AA251" s="306">
        <f t="shared" ref="AA251:AA252" si="855">Z251*W251</f>
        <v>4.7244</v>
      </c>
      <c r="AB251" s="307">
        <f t="shared" ref="AB251:AB252" si="856">ROUND(AA251*S251,0)</f>
        <v>6928</v>
      </c>
      <c r="AC251" s="308">
        <f t="shared" ref="AC251:AC252" si="857">AA251</f>
        <v>4.7244</v>
      </c>
      <c r="AD251" s="309">
        <f t="shared" ref="AD251:AD255" si="858">ROUND(AC251*S251,0)</f>
        <v>6928</v>
      </c>
      <c r="AE251" s="310">
        <f t="shared" ref="AE251:AE255" si="859">IFERROR(ROUND(Z251*Y251,2),0)</f>
        <v>2.49</v>
      </c>
      <c r="AF251" s="252">
        <f t="shared" ref="AF251:AF255" si="860">ROUND(AE251*S251,0)</f>
        <v>3652</v>
      </c>
      <c r="AG251" s="306">
        <f t="shared" ref="AG251:AG252" si="861">ROUND(AC251*0.15,2)</f>
        <v>0.71</v>
      </c>
      <c r="AH251" s="252">
        <f t="shared" ref="AH251:AH252" si="862">ROUND(AD251*0.15,0)</f>
        <v>1039</v>
      </c>
      <c r="AI251" s="311"/>
      <c r="AJ251" s="311"/>
      <c r="AK251" s="311"/>
      <c r="AL251" s="311"/>
      <c r="AM251" s="312"/>
      <c r="AN251" s="313"/>
    </row>
    <row r="252" ht="12.75" customHeight="1">
      <c r="A252" s="245" t="s">
        <v>771</v>
      </c>
      <c r="B252" s="246" t="s">
        <v>359</v>
      </c>
      <c r="C252" s="247" t="s">
        <v>360</v>
      </c>
      <c r="D252" s="247" t="s">
        <v>158</v>
      </c>
      <c r="E252" s="248"/>
      <c r="F252" s="248"/>
      <c r="G252" s="247" t="s">
        <v>127</v>
      </c>
      <c r="H252" s="248" t="s">
        <v>1096</v>
      </c>
      <c r="I252" s="248" t="s">
        <v>105</v>
      </c>
      <c r="J252" s="300" t="s">
        <v>106</v>
      </c>
      <c r="K252" s="314">
        <f t="shared" ref="K252:R252" si="854">-K251</f>
        <v>-4.72</v>
      </c>
      <c r="L252" s="309">
        <f t="shared" si="854"/>
        <v>-6921</v>
      </c>
      <c r="M252" s="315">
        <f t="shared" si="854"/>
        <v>-0.71</v>
      </c>
      <c r="N252" s="252">
        <f t="shared" si="854"/>
        <v>-1041</v>
      </c>
      <c r="O252" s="251">
        <f t="shared" si="854"/>
        <v>-0.38</v>
      </c>
      <c r="P252" s="252">
        <f t="shared" si="854"/>
        <v>-557</v>
      </c>
      <c r="Q252" s="251">
        <f t="shared" si="854"/>
        <v>-0.33</v>
      </c>
      <c r="R252" s="252">
        <f t="shared" si="854"/>
        <v>-484</v>
      </c>
      <c r="S252" s="253">
        <v>1466.5</v>
      </c>
      <c r="T252" s="254">
        <v>15.0</v>
      </c>
      <c r="U252" s="255" t="s">
        <v>107</v>
      </c>
      <c r="V252" s="255"/>
      <c r="W252" s="304">
        <v>0.7874</v>
      </c>
      <c r="X252" s="304">
        <v>0.372853</v>
      </c>
      <c r="Y252" s="304">
        <v>0.414547</v>
      </c>
      <c r="Z252" s="305">
        <f>-Z251</f>
        <v>-6</v>
      </c>
      <c r="AA252" s="306">
        <f t="shared" si="855"/>
        <v>-4.7244</v>
      </c>
      <c r="AB252" s="307">
        <f t="shared" si="856"/>
        <v>-6928</v>
      </c>
      <c r="AC252" s="308">
        <f t="shared" si="857"/>
        <v>-4.7244</v>
      </c>
      <c r="AD252" s="309">
        <f t="shared" si="858"/>
        <v>-6928</v>
      </c>
      <c r="AE252" s="310">
        <f t="shared" si="859"/>
        <v>-2.49</v>
      </c>
      <c r="AF252" s="252">
        <f t="shared" si="860"/>
        <v>-3652</v>
      </c>
      <c r="AG252" s="306">
        <f t="shared" si="861"/>
        <v>-0.71</v>
      </c>
      <c r="AH252" s="252">
        <f t="shared" si="862"/>
        <v>-1039</v>
      </c>
      <c r="AI252" s="311"/>
      <c r="AJ252" s="311"/>
      <c r="AK252" s="311"/>
      <c r="AL252" s="311"/>
      <c r="AM252" s="312"/>
      <c r="AN252" s="313"/>
    </row>
    <row r="253" ht="12.75" customHeight="1">
      <c r="A253" s="256" t="s">
        <v>773</v>
      </c>
      <c r="B253" s="257" t="s">
        <v>359</v>
      </c>
      <c r="C253" s="258" t="s">
        <v>360</v>
      </c>
      <c r="D253" s="258" t="s">
        <v>158</v>
      </c>
      <c r="E253" s="259"/>
      <c r="F253" s="259"/>
      <c r="G253" s="258" t="s">
        <v>127</v>
      </c>
      <c r="H253" s="259" t="s">
        <v>1097</v>
      </c>
      <c r="I253" s="259" t="s">
        <v>105</v>
      </c>
      <c r="J253" s="316" t="s">
        <v>106</v>
      </c>
      <c r="K253" s="317">
        <f>ROUND(M253/0.15,2)</f>
        <v>2.2</v>
      </c>
      <c r="L253" s="318">
        <f>ROUND(N253/0.15,0)</f>
        <v>3227</v>
      </c>
      <c r="M253" s="319">
        <f t="shared" ref="M253:N253" si="863">Q253</f>
        <v>0.33</v>
      </c>
      <c r="N253" s="261">
        <f t="shared" si="863"/>
        <v>484</v>
      </c>
      <c r="O253" s="262">
        <v>0.38</v>
      </c>
      <c r="P253" s="263">
        <v>557.0</v>
      </c>
      <c r="Q253" s="260">
        <f t="shared" ref="Q253:R253" si="864">M251-O253</f>
        <v>0.33</v>
      </c>
      <c r="R253" s="261">
        <f t="shared" si="864"/>
        <v>484</v>
      </c>
      <c r="S253" s="264">
        <v>1466.5</v>
      </c>
      <c r="T253" s="265">
        <v>15.0</v>
      </c>
      <c r="U253" s="266" t="s">
        <v>107</v>
      </c>
      <c r="V253" s="266" t="s">
        <v>1098</v>
      </c>
      <c r="W253" s="320">
        <v>0.7874</v>
      </c>
      <c r="X253" s="320">
        <v>0.372853</v>
      </c>
      <c r="Y253" s="320">
        <v>0.414547</v>
      </c>
      <c r="Z253" s="321">
        <f>Z251</f>
        <v>6</v>
      </c>
      <c r="AA253" s="311"/>
      <c r="AB253" s="322"/>
      <c r="AC253" s="323">
        <f>IFERROR(ROUND(Z253*X253,2),0)</f>
        <v>2.24</v>
      </c>
      <c r="AD253" s="318">
        <f t="shared" si="858"/>
        <v>3285</v>
      </c>
      <c r="AE253" s="324">
        <f t="shared" si="859"/>
        <v>2.49</v>
      </c>
      <c r="AF253" s="261">
        <f t="shared" si="860"/>
        <v>3652</v>
      </c>
      <c r="AG253" s="311"/>
      <c r="AH253" s="311"/>
      <c r="AI253" s="325">
        <f>ROUND(AC253*0.15,2)</f>
        <v>0.34</v>
      </c>
      <c r="AJ253" s="261">
        <f>ROUND(AD253*0.15,0)</f>
        <v>493</v>
      </c>
      <c r="AK253" s="325">
        <f>ROUND(AE253*0.15,2)</f>
        <v>0.37</v>
      </c>
      <c r="AL253" s="261">
        <f>ROUND(AF253*0.15,0)</f>
        <v>548</v>
      </c>
      <c r="AM253" s="326">
        <f>IFERROR(AC253/K253,IFERROR(AK253/O253,""))</f>
        <v>1.018181818</v>
      </c>
      <c r="AN253" s="313"/>
    </row>
    <row r="254" ht="12.75" customHeight="1">
      <c r="A254" s="245" t="s">
        <v>497</v>
      </c>
      <c r="B254" s="246" t="s">
        <v>359</v>
      </c>
      <c r="C254" s="247" t="s">
        <v>360</v>
      </c>
      <c r="D254" s="247" t="s">
        <v>166</v>
      </c>
      <c r="E254" s="248"/>
      <c r="F254" s="248"/>
      <c r="G254" s="247" t="s">
        <v>377</v>
      </c>
      <c r="H254" s="248" t="s">
        <v>1099</v>
      </c>
      <c r="I254" s="248" t="s">
        <v>105</v>
      </c>
      <c r="J254" s="300" t="s">
        <v>106</v>
      </c>
      <c r="K254" s="301">
        <v>0.2</v>
      </c>
      <c r="L254" s="302">
        <v>293.0</v>
      </c>
      <c r="M254" s="303">
        <v>0.03</v>
      </c>
      <c r="N254" s="250">
        <v>44.0</v>
      </c>
      <c r="O254" s="249">
        <v>0.03</v>
      </c>
      <c r="P254" s="250">
        <v>44.0</v>
      </c>
      <c r="Q254" s="251">
        <f t="shared" ref="Q254:R254" si="865">M254-O254</f>
        <v>0</v>
      </c>
      <c r="R254" s="252">
        <f t="shared" si="865"/>
        <v>0</v>
      </c>
      <c r="S254" s="253">
        <v>1467.0</v>
      </c>
      <c r="T254" s="254">
        <v>15.0</v>
      </c>
      <c r="U254" s="255" t="s">
        <v>107</v>
      </c>
      <c r="V254" s="255"/>
      <c r="W254" s="304">
        <v>0.197726</v>
      </c>
      <c r="X254" s="304">
        <v>0.197726</v>
      </c>
      <c r="Y254" s="304">
        <v>0.0</v>
      </c>
      <c r="Z254" s="305">
        <f>IFERROR(ROUND(K254/W254,0),0)</f>
        <v>1</v>
      </c>
      <c r="AA254" s="306">
        <f t="shared" ref="AA254:AA255" si="867">Z254*W254</f>
        <v>0.197726</v>
      </c>
      <c r="AB254" s="307">
        <f t="shared" ref="AB254:AB255" si="868">ROUND(AA254*S254,0)</f>
        <v>290</v>
      </c>
      <c r="AC254" s="308">
        <f t="shared" ref="AC254:AC255" si="869">AA254</f>
        <v>0.197726</v>
      </c>
      <c r="AD254" s="309">
        <f t="shared" si="858"/>
        <v>290</v>
      </c>
      <c r="AE254" s="310">
        <f t="shared" si="859"/>
        <v>0</v>
      </c>
      <c r="AF254" s="252">
        <f t="shared" si="860"/>
        <v>0</v>
      </c>
      <c r="AG254" s="306">
        <f t="shared" ref="AG254:AG255" si="870">ROUND(AC254*0.15,2)</f>
        <v>0.03</v>
      </c>
      <c r="AH254" s="252">
        <f t="shared" ref="AH254:AH255" si="871">ROUND(AD254*0.15,0)</f>
        <v>44</v>
      </c>
      <c r="AI254" s="311"/>
      <c r="AJ254" s="311"/>
      <c r="AK254" s="311"/>
      <c r="AL254" s="311"/>
      <c r="AM254" s="312"/>
      <c r="AN254" s="313"/>
    </row>
    <row r="255" ht="12.75" customHeight="1">
      <c r="A255" s="245" t="s">
        <v>498</v>
      </c>
      <c r="B255" s="246" t="s">
        <v>359</v>
      </c>
      <c r="C255" s="247" t="s">
        <v>360</v>
      </c>
      <c r="D255" s="247" t="s">
        <v>166</v>
      </c>
      <c r="E255" s="248"/>
      <c r="F255" s="248"/>
      <c r="G255" s="247" t="s">
        <v>377</v>
      </c>
      <c r="H255" s="248" t="s">
        <v>1100</v>
      </c>
      <c r="I255" s="248" t="s">
        <v>105</v>
      </c>
      <c r="J255" s="300" t="s">
        <v>106</v>
      </c>
      <c r="K255" s="314">
        <f t="shared" ref="K255:R255" si="866">-K254</f>
        <v>-0.2</v>
      </c>
      <c r="L255" s="309">
        <f t="shared" si="866"/>
        <v>-293</v>
      </c>
      <c r="M255" s="315">
        <f t="shared" si="866"/>
        <v>-0.03</v>
      </c>
      <c r="N255" s="252">
        <f t="shared" si="866"/>
        <v>-44</v>
      </c>
      <c r="O255" s="251">
        <f t="shared" si="866"/>
        <v>-0.03</v>
      </c>
      <c r="P255" s="252">
        <f t="shared" si="866"/>
        <v>-44</v>
      </c>
      <c r="Q255" s="251">
        <f t="shared" si="866"/>
        <v>0</v>
      </c>
      <c r="R255" s="252">
        <f t="shared" si="866"/>
        <v>0</v>
      </c>
      <c r="S255" s="253">
        <v>1467.0</v>
      </c>
      <c r="T255" s="254">
        <v>15.0</v>
      </c>
      <c r="U255" s="255" t="s">
        <v>107</v>
      </c>
      <c r="V255" s="255"/>
      <c r="W255" s="304">
        <v>0.197726</v>
      </c>
      <c r="X255" s="304">
        <v>0.197726</v>
      </c>
      <c r="Y255" s="304">
        <v>0.0</v>
      </c>
      <c r="Z255" s="305">
        <f>-Z254</f>
        <v>-1</v>
      </c>
      <c r="AA255" s="306">
        <f t="shared" si="867"/>
        <v>-0.197726</v>
      </c>
      <c r="AB255" s="307">
        <f t="shared" si="868"/>
        <v>-290</v>
      </c>
      <c r="AC255" s="308">
        <f t="shared" si="869"/>
        <v>-0.197726</v>
      </c>
      <c r="AD255" s="309">
        <f t="shared" si="858"/>
        <v>-290</v>
      </c>
      <c r="AE255" s="310">
        <f t="shared" si="859"/>
        <v>0</v>
      </c>
      <c r="AF255" s="252">
        <f t="shared" si="860"/>
        <v>0</v>
      </c>
      <c r="AG255" s="306">
        <f t="shared" si="870"/>
        <v>-0.03</v>
      </c>
      <c r="AH255" s="252">
        <f t="shared" si="871"/>
        <v>-44</v>
      </c>
      <c r="AI255" s="311"/>
      <c r="AJ255" s="311"/>
      <c r="AK255" s="311"/>
      <c r="AL255" s="311"/>
      <c r="AM255" s="312"/>
      <c r="AN255" s="313"/>
    </row>
    <row r="256" ht="12.75" customHeight="1">
      <c r="A256" s="327" t="s">
        <v>499</v>
      </c>
      <c r="B256" s="328" t="s">
        <v>359</v>
      </c>
      <c r="C256" s="329" t="s">
        <v>360</v>
      </c>
      <c r="D256" s="329" t="s">
        <v>166</v>
      </c>
      <c r="E256" s="330"/>
      <c r="F256" s="330"/>
      <c r="G256" s="329" t="s">
        <v>377</v>
      </c>
      <c r="H256" s="330" t="s">
        <v>1101</v>
      </c>
      <c r="I256" s="330" t="s">
        <v>105</v>
      </c>
      <c r="J256" s="331" t="s">
        <v>106</v>
      </c>
      <c r="K256" s="332">
        <f>ROUND(M256/0.15,2)</f>
        <v>0</v>
      </c>
      <c r="L256" s="333">
        <f>ROUND(N256/0.15,0)</f>
        <v>0</v>
      </c>
      <c r="M256" s="334">
        <f t="shared" ref="M256:N256" si="872">Q256</f>
        <v>0</v>
      </c>
      <c r="N256" s="335">
        <f t="shared" si="872"/>
        <v>0</v>
      </c>
      <c r="O256" s="336">
        <v>0.03</v>
      </c>
      <c r="P256" s="337">
        <v>44.0</v>
      </c>
      <c r="Q256" s="338">
        <f t="shared" ref="Q256:R256" si="873">M254-O256</f>
        <v>0</v>
      </c>
      <c r="R256" s="335">
        <f t="shared" si="873"/>
        <v>0</v>
      </c>
      <c r="S256" s="339">
        <v>1467.0</v>
      </c>
      <c r="T256" s="340">
        <v>15.0</v>
      </c>
      <c r="U256" s="341" t="s">
        <v>107</v>
      </c>
      <c r="V256" s="341" t="s">
        <v>1102</v>
      </c>
      <c r="W256" s="342">
        <v>0.197726</v>
      </c>
      <c r="X256" s="342">
        <v>0.197726</v>
      </c>
      <c r="Y256" s="342">
        <v>0.0</v>
      </c>
      <c r="Z256" s="343">
        <f>Z254</f>
        <v>1</v>
      </c>
      <c r="AA256" s="344"/>
      <c r="AB256" s="345"/>
      <c r="AC256" s="346">
        <f t="shared" ref="AC256:AD256" si="874">K256</f>
        <v>0</v>
      </c>
      <c r="AD256" s="347">
        <f t="shared" si="874"/>
        <v>0</v>
      </c>
      <c r="AE256" s="348">
        <f t="shared" ref="AE256:AF256" si="875">round(AK256/0.15,2)</f>
        <v>0.2</v>
      </c>
      <c r="AF256" s="348">
        <f t="shared" si="875"/>
        <v>293.33</v>
      </c>
      <c r="AG256" s="349"/>
      <c r="AH256" s="349"/>
      <c r="AI256" s="350">
        <f>ROUND(AC256*0.15,2)</f>
        <v>0</v>
      </c>
      <c r="AJ256" s="351">
        <f>ROUND(AD256*0.15,0)</f>
        <v>0</v>
      </c>
      <c r="AK256" s="350">
        <f t="shared" ref="AK256:AL256" si="876">O256</f>
        <v>0.03</v>
      </c>
      <c r="AL256" s="350">
        <f t="shared" si="876"/>
        <v>44</v>
      </c>
      <c r="AM256" s="352">
        <f>IFERROR(AC256/K256,IFERROR(AK256/O256,""))</f>
        <v>1</v>
      </c>
      <c r="AN256" s="353" t="s">
        <v>983</v>
      </c>
    </row>
    <row r="257" ht="12.75" customHeight="1">
      <c r="A257" s="267" t="s">
        <v>501</v>
      </c>
      <c r="B257" s="268" t="s">
        <v>359</v>
      </c>
      <c r="C257" s="269" t="s">
        <v>360</v>
      </c>
      <c r="D257" s="269" t="s">
        <v>169</v>
      </c>
      <c r="E257" s="270"/>
      <c r="F257" s="270"/>
      <c r="G257" s="269" t="s">
        <v>379</v>
      </c>
      <c r="H257" s="270" t="s">
        <v>1103</v>
      </c>
      <c r="I257" s="270" t="s">
        <v>105</v>
      </c>
      <c r="J257" s="354" t="s">
        <v>106</v>
      </c>
      <c r="K257" s="355">
        <v>6.76</v>
      </c>
      <c r="L257" s="356">
        <v>9729.0</v>
      </c>
      <c r="M257" s="357">
        <v>1.01</v>
      </c>
      <c r="N257" s="272">
        <v>1453.0</v>
      </c>
      <c r="O257" s="271">
        <v>0.0</v>
      </c>
      <c r="P257" s="272">
        <v>0.0</v>
      </c>
      <c r="Q257" s="273">
        <f t="shared" ref="Q257:R257" si="877">M257-O257</f>
        <v>1.01</v>
      </c>
      <c r="R257" s="274">
        <f t="shared" si="877"/>
        <v>1453</v>
      </c>
      <c r="S257" s="275">
        <v>1439.3</v>
      </c>
      <c r="T257" s="276">
        <v>15.0</v>
      </c>
      <c r="U257" s="277" t="s">
        <v>107</v>
      </c>
      <c r="V257" s="277"/>
      <c r="W257" s="358"/>
      <c r="X257" s="358"/>
      <c r="Y257" s="358"/>
      <c r="Z257" s="358"/>
      <c r="AA257" s="358"/>
      <c r="AB257" s="359"/>
      <c r="AC257" s="360">
        <f t="shared" ref="AC257:AD257" si="878">K257</f>
        <v>6.76</v>
      </c>
      <c r="AD257" s="361">
        <f t="shared" si="878"/>
        <v>9729</v>
      </c>
      <c r="AE257" s="362"/>
      <c r="AF257" s="358"/>
      <c r="AG257" s="358"/>
      <c r="AH257" s="358"/>
      <c r="AI257" s="363">
        <f t="shared" ref="AI257:AJ257" si="879">Q257</f>
        <v>1.01</v>
      </c>
      <c r="AJ257" s="364">
        <f t="shared" si="879"/>
        <v>1453</v>
      </c>
      <c r="AK257" s="358"/>
      <c r="AL257" s="358"/>
      <c r="AM257" s="365"/>
      <c r="AN257" s="366"/>
    </row>
    <row r="258" ht="12.75" customHeight="1">
      <c r="A258" s="245" t="s">
        <v>503</v>
      </c>
      <c r="B258" s="246" t="s">
        <v>359</v>
      </c>
      <c r="C258" s="247" t="s">
        <v>360</v>
      </c>
      <c r="D258" s="247" t="s">
        <v>165</v>
      </c>
      <c r="E258" s="248"/>
      <c r="F258" s="248"/>
      <c r="G258" s="247" t="s">
        <v>131</v>
      </c>
      <c r="H258" s="248" t="s">
        <v>1104</v>
      </c>
      <c r="I258" s="248" t="s">
        <v>105</v>
      </c>
      <c r="J258" s="300" t="s">
        <v>106</v>
      </c>
      <c r="K258" s="301">
        <v>3.5</v>
      </c>
      <c r="L258" s="302">
        <v>5130.0</v>
      </c>
      <c r="M258" s="303">
        <v>0.53</v>
      </c>
      <c r="N258" s="250">
        <v>776.0</v>
      </c>
      <c r="O258" s="249">
        <v>0.51</v>
      </c>
      <c r="P258" s="250">
        <v>747.0</v>
      </c>
      <c r="Q258" s="251">
        <f t="shared" ref="Q258:R258" si="880">M258-O258</f>
        <v>0.02</v>
      </c>
      <c r="R258" s="252">
        <f t="shared" si="880"/>
        <v>29</v>
      </c>
      <c r="S258" s="253">
        <v>1465.9</v>
      </c>
      <c r="T258" s="254">
        <v>15.0</v>
      </c>
      <c r="U258" s="255" t="s">
        <v>107</v>
      </c>
      <c r="V258" s="255"/>
      <c r="W258" s="304">
        <v>0.4381</v>
      </c>
      <c r="X258" s="304">
        <v>0.012939</v>
      </c>
      <c r="Y258" s="304">
        <v>0.425161</v>
      </c>
      <c r="Z258" s="305">
        <f>IFERROR(ROUND(K258/W258,0),0)</f>
        <v>8</v>
      </c>
      <c r="AA258" s="306">
        <f t="shared" ref="AA258:AA259" si="882">Z258*W258</f>
        <v>3.5048</v>
      </c>
      <c r="AB258" s="307">
        <f t="shared" ref="AB258:AB259" si="883">ROUND(AA258*S258,0)</f>
        <v>5138</v>
      </c>
      <c r="AC258" s="308">
        <f t="shared" ref="AC258:AC259" si="884">AA258</f>
        <v>3.5048</v>
      </c>
      <c r="AD258" s="309">
        <f t="shared" ref="AD258:AD269" si="885">ROUND(AC258*S258,0)</f>
        <v>5138</v>
      </c>
      <c r="AE258" s="310">
        <f t="shared" ref="AE258:AE269" si="886">IFERROR(ROUND(Z258*Y258,2),0)</f>
        <v>3.4</v>
      </c>
      <c r="AF258" s="252">
        <f t="shared" ref="AF258:AF269" si="887">ROUND(AE258*S258,0)</f>
        <v>4984</v>
      </c>
      <c r="AG258" s="306">
        <f t="shared" ref="AG258:AG259" si="888">ROUND(AC258*0.15,2)</f>
        <v>0.53</v>
      </c>
      <c r="AH258" s="252">
        <f t="shared" ref="AH258:AH259" si="889">ROUND(AD258*0.15,0)</f>
        <v>771</v>
      </c>
      <c r="AI258" s="311"/>
      <c r="AJ258" s="311"/>
      <c r="AK258" s="311"/>
      <c r="AL258" s="311"/>
      <c r="AM258" s="312"/>
      <c r="AN258" s="313"/>
    </row>
    <row r="259" ht="12.75" customHeight="1">
      <c r="A259" s="245" t="s">
        <v>504</v>
      </c>
      <c r="B259" s="246" t="s">
        <v>359</v>
      </c>
      <c r="C259" s="247" t="s">
        <v>360</v>
      </c>
      <c r="D259" s="247" t="s">
        <v>165</v>
      </c>
      <c r="E259" s="248"/>
      <c r="F259" s="248"/>
      <c r="G259" s="247" t="s">
        <v>131</v>
      </c>
      <c r="H259" s="248" t="s">
        <v>1105</v>
      </c>
      <c r="I259" s="248" t="s">
        <v>105</v>
      </c>
      <c r="J259" s="300" t="s">
        <v>106</v>
      </c>
      <c r="K259" s="314">
        <f t="shared" ref="K259:R259" si="881">-K258</f>
        <v>-3.5</v>
      </c>
      <c r="L259" s="309">
        <f t="shared" si="881"/>
        <v>-5130</v>
      </c>
      <c r="M259" s="315">
        <f t="shared" si="881"/>
        <v>-0.53</v>
      </c>
      <c r="N259" s="252">
        <f t="shared" si="881"/>
        <v>-776</v>
      </c>
      <c r="O259" s="251">
        <f t="shared" si="881"/>
        <v>-0.51</v>
      </c>
      <c r="P259" s="252">
        <f t="shared" si="881"/>
        <v>-747</v>
      </c>
      <c r="Q259" s="251">
        <f t="shared" si="881"/>
        <v>-0.02</v>
      </c>
      <c r="R259" s="252">
        <f t="shared" si="881"/>
        <v>-29</v>
      </c>
      <c r="S259" s="253">
        <v>1465.9</v>
      </c>
      <c r="T259" s="254">
        <v>15.0</v>
      </c>
      <c r="U259" s="255" t="s">
        <v>107</v>
      </c>
      <c r="V259" s="255"/>
      <c r="W259" s="304">
        <v>0.4381</v>
      </c>
      <c r="X259" s="304">
        <v>0.012939</v>
      </c>
      <c r="Y259" s="304">
        <v>0.425161</v>
      </c>
      <c r="Z259" s="305">
        <f>-Z258</f>
        <v>-8</v>
      </c>
      <c r="AA259" s="306">
        <f t="shared" si="882"/>
        <v>-3.5048</v>
      </c>
      <c r="AB259" s="307">
        <f t="shared" si="883"/>
        <v>-5138</v>
      </c>
      <c r="AC259" s="308">
        <f t="shared" si="884"/>
        <v>-3.5048</v>
      </c>
      <c r="AD259" s="309">
        <f t="shared" si="885"/>
        <v>-5138</v>
      </c>
      <c r="AE259" s="310">
        <f t="shared" si="886"/>
        <v>-3.4</v>
      </c>
      <c r="AF259" s="252">
        <f t="shared" si="887"/>
        <v>-4984</v>
      </c>
      <c r="AG259" s="306">
        <f t="shared" si="888"/>
        <v>-0.53</v>
      </c>
      <c r="AH259" s="252">
        <f t="shared" si="889"/>
        <v>-771</v>
      </c>
      <c r="AI259" s="311"/>
      <c r="AJ259" s="311"/>
      <c r="AK259" s="311"/>
      <c r="AL259" s="311"/>
      <c r="AM259" s="312"/>
      <c r="AN259" s="313"/>
    </row>
    <row r="260" ht="12.75" customHeight="1">
      <c r="A260" s="256" t="s">
        <v>505</v>
      </c>
      <c r="B260" s="257" t="s">
        <v>359</v>
      </c>
      <c r="C260" s="258" t="s">
        <v>360</v>
      </c>
      <c r="D260" s="258" t="s">
        <v>165</v>
      </c>
      <c r="E260" s="259"/>
      <c r="F260" s="259"/>
      <c r="G260" s="258" t="s">
        <v>131</v>
      </c>
      <c r="H260" s="259" t="s">
        <v>1106</v>
      </c>
      <c r="I260" s="259" t="s">
        <v>105</v>
      </c>
      <c r="J260" s="316" t="s">
        <v>106</v>
      </c>
      <c r="K260" s="317">
        <f>ROUND(M260/0.15,2)</f>
        <v>0.13</v>
      </c>
      <c r="L260" s="318">
        <f>ROUND(N260/0.15,0)</f>
        <v>193</v>
      </c>
      <c r="M260" s="319">
        <f t="shared" ref="M260:N260" si="890">Q260</f>
        <v>0.02</v>
      </c>
      <c r="N260" s="261">
        <f t="shared" si="890"/>
        <v>29</v>
      </c>
      <c r="O260" s="262">
        <v>0.51</v>
      </c>
      <c r="P260" s="263">
        <v>747.0</v>
      </c>
      <c r="Q260" s="260">
        <f t="shared" ref="Q260:R260" si="891">M258-O260</f>
        <v>0.02</v>
      </c>
      <c r="R260" s="261">
        <f t="shared" si="891"/>
        <v>29</v>
      </c>
      <c r="S260" s="264">
        <v>1465.9</v>
      </c>
      <c r="T260" s="265">
        <v>15.0</v>
      </c>
      <c r="U260" s="266" t="s">
        <v>107</v>
      </c>
      <c r="V260" s="266" t="s">
        <v>1107</v>
      </c>
      <c r="W260" s="320">
        <v>0.4381</v>
      </c>
      <c r="X260" s="320">
        <v>0.012939</v>
      </c>
      <c r="Y260" s="320">
        <v>0.425161</v>
      </c>
      <c r="Z260" s="321">
        <f>Z258</f>
        <v>8</v>
      </c>
      <c r="AA260" s="311"/>
      <c r="AB260" s="322"/>
      <c r="AC260" s="323">
        <f>IFERROR(ROUND(Z260*X260,2),0)</f>
        <v>0.1</v>
      </c>
      <c r="AD260" s="318">
        <f t="shared" si="885"/>
        <v>147</v>
      </c>
      <c r="AE260" s="324">
        <f t="shared" si="886"/>
        <v>3.4</v>
      </c>
      <c r="AF260" s="261">
        <f t="shared" si="887"/>
        <v>4984</v>
      </c>
      <c r="AG260" s="311"/>
      <c r="AH260" s="311"/>
      <c r="AI260" s="325">
        <f>ROUND(AC260*0.15,2)</f>
        <v>0.02</v>
      </c>
      <c r="AJ260" s="261">
        <f>ROUND(AD260*0.15,0)</f>
        <v>22</v>
      </c>
      <c r="AK260" s="325">
        <f>ROUND(AE260*0.15,2)</f>
        <v>0.51</v>
      </c>
      <c r="AL260" s="261">
        <f>ROUND(AF260*0.15,0)</f>
        <v>748</v>
      </c>
      <c r="AM260" s="326">
        <f>IFERROR(AC260/K260,IFERROR(AK260/O260,""))</f>
        <v>0.7692307692</v>
      </c>
      <c r="AN260" s="313" t="s">
        <v>1055</v>
      </c>
    </row>
    <row r="261" ht="12.75" customHeight="1">
      <c r="A261" s="245" t="s">
        <v>507</v>
      </c>
      <c r="B261" s="246" t="s">
        <v>359</v>
      </c>
      <c r="C261" s="247" t="s">
        <v>360</v>
      </c>
      <c r="D261" s="247" t="s">
        <v>170</v>
      </c>
      <c r="E261" s="248"/>
      <c r="F261" s="248"/>
      <c r="G261" s="247" t="s">
        <v>135</v>
      </c>
      <c r="H261" s="248" t="s">
        <v>1108</v>
      </c>
      <c r="I261" s="248" t="s">
        <v>105</v>
      </c>
      <c r="J261" s="300" t="s">
        <v>106</v>
      </c>
      <c r="K261" s="301">
        <v>8.01</v>
      </c>
      <c r="L261" s="302">
        <v>11433.0</v>
      </c>
      <c r="M261" s="303">
        <v>1.2</v>
      </c>
      <c r="N261" s="250">
        <v>1712.0</v>
      </c>
      <c r="O261" s="249">
        <v>1.2</v>
      </c>
      <c r="P261" s="250">
        <v>1712.0</v>
      </c>
      <c r="Q261" s="251">
        <f t="shared" ref="Q261:R261" si="892">M261-O261</f>
        <v>0</v>
      </c>
      <c r="R261" s="252">
        <f t="shared" si="892"/>
        <v>0</v>
      </c>
      <c r="S261" s="253">
        <v>1427.4</v>
      </c>
      <c r="T261" s="254">
        <v>15.0</v>
      </c>
      <c r="U261" s="255" t="s">
        <v>107</v>
      </c>
      <c r="V261" s="255"/>
      <c r="W261" s="304">
        <v>1.3356</v>
      </c>
      <c r="X261" s="304">
        <v>0.0</v>
      </c>
      <c r="Y261" s="304">
        <v>1.3356</v>
      </c>
      <c r="Z261" s="305">
        <f>IFERROR(ROUND(K261/W261,0),0)</f>
        <v>6</v>
      </c>
      <c r="AA261" s="306">
        <f t="shared" ref="AA261:AA262" si="894">Z261*W261</f>
        <v>8.0136</v>
      </c>
      <c r="AB261" s="307">
        <f t="shared" ref="AB261:AB262" si="895">ROUND(AA261*S261,0)</f>
        <v>11439</v>
      </c>
      <c r="AC261" s="308">
        <f t="shared" ref="AC261:AC262" si="896">AA261</f>
        <v>8.0136</v>
      </c>
      <c r="AD261" s="309">
        <f t="shared" si="885"/>
        <v>11439</v>
      </c>
      <c r="AE261" s="310">
        <f t="shared" si="886"/>
        <v>8.01</v>
      </c>
      <c r="AF261" s="252">
        <f t="shared" si="887"/>
        <v>11433</v>
      </c>
      <c r="AG261" s="306">
        <f t="shared" ref="AG261:AG262" si="897">ROUND(AC261*0.15,2)</f>
        <v>1.2</v>
      </c>
      <c r="AH261" s="252">
        <f t="shared" ref="AH261:AH262" si="898">ROUND(AD261*0.15,0)</f>
        <v>1716</v>
      </c>
      <c r="AI261" s="311"/>
      <c r="AJ261" s="311"/>
      <c r="AK261" s="311"/>
      <c r="AL261" s="311"/>
      <c r="AM261" s="312"/>
      <c r="AN261" s="313"/>
    </row>
    <row r="262" ht="12.75" customHeight="1">
      <c r="A262" s="245" t="s">
        <v>508</v>
      </c>
      <c r="B262" s="246" t="s">
        <v>359</v>
      </c>
      <c r="C262" s="247" t="s">
        <v>360</v>
      </c>
      <c r="D262" s="247" t="s">
        <v>170</v>
      </c>
      <c r="E262" s="248"/>
      <c r="F262" s="248"/>
      <c r="G262" s="247" t="s">
        <v>135</v>
      </c>
      <c r="H262" s="248" t="s">
        <v>1109</v>
      </c>
      <c r="I262" s="248" t="s">
        <v>105</v>
      </c>
      <c r="J262" s="300" t="s">
        <v>106</v>
      </c>
      <c r="K262" s="314">
        <f t="shared" ref="K262:R262" si="893">-K261</f>
        <v>-8.01</v>
      </c>
      <c r="L262" s="309">
        <f t="shared" si="893"/>
        <v>-11433</v>
      </c>
      <c r="M262" s="315">
        <f t="shared" si="893"/>
        <v>-1.2</v>
      </c>
      <c r="N262" s="252">
        <f t="shared" si="893"/>
        <v>-1712</v>
      </c>
      <c r="O262" s="251">
        <f t="shared" si="893"/>
        <v>-1.2</v>
      </c>
      <c r="P262" s="252">
        <f t="shared" si="893"/>
        <v>-1712</v>
      </c>
      <c r="Q262" s="251">
        <f t="shared" si="893"/>
        <v>0</v>
      </c>
      <c r="R262" s="252">
        <f t="shared" si="893"/>
        <v>0</v>
      </c>
      <c r="S262" s="253">
        <v>1427.4</v>
      </c>
      <c r="T262" s="254">
        <v>15.0</v>
      </c>
      <c r="U262" s="255" t="s">
        <v>107</v>
      </c>
      <c r="V262" s="255"/>
      <c r="W262" s="304">
        <v>1.3356</v>
      </c>
      <c r="X262" s="304">
        <v>0.0</v>
      </c>
      <c r="Y262" s="304">
        <v>1.3356</v>
      </c>
      <c r="Z262" s="305">
        <f>-Z261</f>
        <v>-6</v>
      </c>
      <c r="AA262" s="306">
        <f t="shared" si="894"/>
        <v>-8.0136</v>
      </c>
      <c r="AB262" s="307">
        <f t="shared" si="895"/>
        <v>-11439</v>
      </c>
      <c r="AC262" s="308">
        <f t="shared" si="896"/>
        <v>-8.0136</v>
      </c>
      <c r="AD262" s="309">
        <f t="shared" si="885"/>
        <v>-11439</v>
      </c>
      <c r="AE262" s="310">
        <f t="shared" si="886"/>
        <v>-8.01</v>
      </c>
      <c r="AF262" s="252">
        <f t="shared" si="887"/>
        <v>-11433</v>
      </c>
      <c r="AG262" s="306">
        <f t="shared" si="897"/>
        <v>-1.2</v>
      </c>
      <c r="AH262" s="252">
        <f t="shared" si="898"/>
        <v>-1716</v>
      </c>
      <c r="AI262" s="311"/>
      <c r="AJ262" s="311"/>
      <c r="AK262" s="311"/>
      <c r="AL262" s="311"/>
      <c r="AM262" s="312"/>
      <c r="AN262" s="313"/>
    </row>
    <row r="263" ht="12.75" customHeight="1">
      <c r="A263" s="256" t="s">
        <v>509</v>
      </c>
      <c r="B263" s="257" t="s">
        <v>359</v>
      </c>
      <c r="C263" s="258" t="s">
        <v>360</v>
      </c>
      <c r="D263" s="258" t="s">
        <v>170</v>
      </c>
      <c r="E263" s="259"/>
      <c r="F263" s="259"/>
      <c r="G263" s="258" t="s">
        <v>135</v>
      </c>
      <c r="H263" s="259" t="s">
        <v>1110</v>
      </c>
      <c r="I263" s="259" t="s">
        <v>105</v>
      </c>
      <c r="J263" s="316" t="s">
        <v>106</v>
      </c>
      <c r="K263" s="317">
        <f>ROUND(M263/0.15,2)</f>
        <v>0</v>
      </c>
      <c r="L263" s="318">
        <f>ROUND(N263/0.15,0)</f>
        <v>0</v>
      </c>
      <c r="M263" s="319">
        <f t="shared" ref="M263:N263" si="899">Q263</f>
        <v>0</v>
      </c>
      <c r="N263" s="261">
        <f t="shared" si="899"/>
        <v>0</v>
      </c>
      <c r="O263" s="262">
        <v>1.2</v>
      </c>
      <c r="P263" s="263">
        <v>1712.0</v>
      </c>
      <c r="Q263" s="260">
        <f t="shared" ref="Q263:R263" si="900">M261-O263</f>
        <v>0</v>
      </c>
      <c r="R263" s="261">
        <f t="shared" si="900"/>
        <v>0</v>
      </c>
      <c r="S263" s="264">
        <v>1427.4</v>
      </c>
      <c r="T263" s="265">
        <v>15.0</v>
      </c>
      <c r="U263" s="266" t="s">
        <v>107</v>
      </c>
      <c r="V263" s="266" t="s">
        <v>1111</v>
      </c>
      <c r="W263" s="320">
        <v>1.3356</v>
      </c>
      <c r="X263" s="320">
        <v>0.0</v>
      </c>
      <c r="Y263" s="320">
        <v>1.3356</v>
      </c>
      <c r="Z263" s="321">
        <f>Z261</f>
        <v>6</v>
      </c>
      <c r="AA263" s="311"/>
      <c r="AB263" s="322"/>
      <c r="AC263" s="323">
        <f>IFERROR(ROUND(Z263*X263,2),0)</f>
        <v>0</v>
      </c>
      <c r="AD263" s="318">
        <f t="shared" si="885"/>
        <v>0</v>
      </c>
      <c r="AE263" s="324">
        <f t="shared" si="886"/>
        <v>8.01</v>
      </c>
      <c r="AF263" s="261">
        <f t="shared" si="887"/>
        <v>11433</v>
      </c>
      <c r="AG263" s="311"/>
      <c r="AH263" s="311"/>
      <c r="AI263" s="325">
        <f>ROUND(AC263*0.15,2)</f>
        <v>0</v>
      </c>
      <c r="AJ263" s="261">
        <f>ROUND(AD263*0.15,0)</f>
        <v>0</v>
      </c>
      <c r="AK263" s="325">
        <f>ROUND(AE263*0.15,2)</f>
        <v>1.2</v>
      </c>
      <c r="AL263" s="261">
        <f>ROUND(AF263*0.15,0)</f>
        <v>1715</v>
      </c>
      <c r="AM263" s="326">
        <f>IFERROR(AC263/K263,IFERROR(AK263/O263,""))</f>
        <v>1</v>
      </c>
      <c r="AN263" s="313"/>
    </row>
    <row r="264" ht="12.75" customHeight="1">
      <c r="A264" s="245" t="s">
        <v>511</v>
      </c>
      <c r="B264" s="246" t="s">
        <v>359</v>
      </c>
      <c r="C264" s="247" t="s">
        <v>360</v>
      </c>
      <c r="D264" s="247" t="s">
        <v>179</v>
      </c>
      <c r="E264" s="248"/>
      <c r="F264" s="248"/>
      <c r="G264" s="247" t="s">
        <v>139</v>
      </c>
      <c r="H264" s="248" t="s">
        <v>1112</v>
      </c>
      <c r="I264" s="248" t="s">
        <v>105</v>
      </c>
      <c r="J264" s="300" t="s">
        <v>106</v>
      </c>
      <c r="K264" s="301">
        <v>5.94</v>
      </c>
      <c r="L264" s="302">
        <v>8443.0</v>
      </c>
      <c r="M264" s="303">
        <v>0.89</v>
      </c>
      <c r="N264" s="250">
        <v>1265.0</v>
      </c>
      <c r="O264" s="249">
        <v>0.65</v>
      </c>
      <c r="P264" s="250">
        <v>923.0</v>
      </c>
      <c r="Q264" s="251">
        <f t="shared" ref="Q264:R264" si="901">M264-O264</f>
        <v>0.24</v>
      </c>
      <c r="R264" s="252">
        <f t="shared" si="901"/>
        <v>342</v>
      </c>
      <c r="S264" s="253">
        <v>1421.5</v>
      </c>
      <c r="T264" s="254">
        <v>15.0</v>
      </c>
      <c r="U264" s="255" t="s">
        <v>107</v>
      </c>
      <c r="V264" s="255"/>
      <c r="W264" s="304">
        <v>0.6598</v>
      </c>
      <c r="X264" s="304">
        <v>0.178349</v>
      </c>
      <c r="Y264" s="304">
        <v>0.481451</v>
      </c>
      <c r="Z264" s="305">
        <f>IFERROR(ROUND(K264/W264,0),0)</f>
        <v>9</v>
      </c>
      <c r="AA264" s="306">
        <f t="shared" ref="AA264:AA265" si="903">Z264*W264</f>
        <v>5.9382</v>
      </c>
      <c r="AB264" s="307">
        <f t="shared" ref="AB264:AB265" si="904">ROUND(AA264*S264,0)</f>
        <v>8441</v>
      </c>
      <c r="AC264" s="308">
        <f t="shared" ref="AC264:AC265" si="905">AA264</f>
        <v>5.9382</v>
      </c>
      <c r="AD264" s="309">
        <f t="shared" si="885"/>
        <v>8441</v>
      </c>
      <c r="AE264" s="310">
        <f t="shared" si="886"/>
        <v>4.33</v>
      </c>
      <c r="AF264" s="252">
        <f t="shared" si="887"/>
        <v>6155</v>
      </c>
      <c r="AG264" s="306">
        <f t="shared" ref="AG264:AG265" si="906">ROUND(AC264*0.15,2)</f>
        <v>0.89</v>
      </c>
      <c r="AH264" s="252">
        <f t="shared" ref="AH264:AH265" si="907">ROUND(AD264*0.15,0)</f>
        <v>1266</v>
      </c>
      <c r="AI264" s="311"/>
      <c r="AJ264" s="311"/>
      <c r="AK264" s="311"/>
      <c r="AL264" s="311"/>
      <c r="AM264" s="312"/>
      <c r="AN264" s="313"/>
    </row>
    <row r="265" ht="12.75" customHeight="1">
      <c r="A265" s="245" t="s">
        <v>512</v>
      </c>
      <c r="B265" s="246" t="s">
        <v>359</v>
      </c>
      <c r="C265" s="247" t="s">
        <v>360</v>
      </c>
      <c r="D265" s="247" t="s">
        <v>179</v>
      </c>
      <c r="E265" s="248"/>
      <c r="F265" s="248"/>
      <c r="G265" s="247" t="s">
        <v>139</v>
      </c>
      <c r="H265" s="248" t="s">
        <v>1113</v>
      </c>
      <c r="I265" s="248" t="s">
        <v>105</v>
      </c>
      <c r="J265" s="300" t="s">
        <v>106</v>
      </c>
      <c r="K265" s="314">
        <f t="shared" ref="K265:R265" si="902">-K264</f>
        <v>-5.94</v>
      </c>
      <c r="L265" s="309">
        <f t="shared" si="902"/>
        <v>-8443</v>
      </c>
      <c r="M265" s="315">
        <f t="shared" si="902"/>
        <v>-0.89</v>
      </c>
      <c r="N265" s="252">
        <f t="shared" si="902"/>
        <v>-1265</v>
      </c>
      <c r="O265" s="251">
        <f t="shared" si="902"/>
        <v>-0.65</v>
      </c>
      <c r="P265" s="252">
        <f t="shared" si="902"/>
        <v>-923</v>
      </c>
      <c r="Q265" s="251">
        <f t="shared" si="902"/>
        <v>-0.24</v>
      </c>
      <c r="R265" s="252">
        <f t="shared" si="902"/>
        <v>-342</v>
      </c>
      <c r="S265" s="253">
        <v>1421.5</v>
      </c>
      <c r="T265" s="254">
        <v>15.0</v>
      </c>
      <c r="U265" s="255" t="s">
        <v>107</v>
      </c>
      <c r="V265" s="255"/>
      <c r="W265" s="304">
        <v>0.6598</v>
      </c>
      <c r="X265" s="304">
        <v>0.178349</v>
      </c>
      <c r="Y265" s="304">
        <v>0.481451</v>
      </c>
      <c r="Z265" s="305">
        <f>-Z264</f>
        <v>-9</v>
      </c>
      <c r="AA265" s="306">
        <f t="shared" si="903"/>
        <v>-5.9382</v>
      </c>
      <c r="AB265" s="307">
        <f t="shared" si="904"/>
        <v>-8441</v>
      </c>
      <c r="AC265" s="308">
        <f t="shared" si="905"/>
        <v>-5.9382</v>
      </c>
      <c r="AD265" s="309">
        <f t="shared" si="885"/>
        <v>-8441</v>
      </c>
      <c r="AE265" s="310">
        <f t="shared" si="886"/>
        <v>-4.33</v>
      </c>
      <c r="AF265" s="252">
        <f t="shared" si="887"/>
        <v>-6155</v>
      </c>
      <c r="AG265" s="306">
        <f t="shared" si="906"/>
        <v>-0.89</v>
      </c>
      <c r="AH265" s="252">
        <f t="shared" si="907"/>
        <v>-1266</v>
      </c>
      <c r="AI265" s="311"/>
      <c r="AJ265" s="311"/>
      <c r="AK265" s="311"/>
      <c r="AL265" s="311"/>
      <c r="AM265" s="312"/>
      <c r="AN265" s="313"/>
    </row>
    <row r="266" ht="12.75" customHeight="1">
      <c r="A266" s="256" t="s">
        <v>513</v>
      </c>
      <c r="B266" s="257" t="s">
        <v>359</v>
      </c>
      <c r="C266" s="258" t="s">
        <v>360</v>
      </c>
      <c r="D266" s="258" t="s">
        <v>179</v>
      </c>
      <c r="E266" s="259"/>
      <c r="F266" s="259"/>
      <c r="G266" s="258" t="s">
        <v>139</v>
      </c>
      <c r="H266" s="259" t="s">
        <v>1114</v>
      </c>
      <c r="I266" s="259" t="s">
        <v>105</v>
      </c>
      <c r="J266" s="316" t="s">
        <v>106</v>
      </c>
      <c r="K266" s="317">
        <f>ROUND(M266/0.15,2)</f>
        <v>1.6</v>
      </c>
      <c r="L266" s="318">
        <f>ROUND(N266/0.15,0)</f>
        <v>2280</v>
      </c>
      <c r="M266" s="319">
        <f t="shared" ref="M266:N266" si="908">Q266</f>
        <v>0.24</v>
      </c>
      <c r="N266" s="261">
        <f t="shared" si="908"/>
        <v>342</v>
      </c>
      <c r="O266" s="262">
        <v>0.65</v>
      </c>
      <c r="P266" s="263">
        <v>923.0</v>
      </c>
      <c r="Q266" s="260">
        <f t="shared" ref="Q266:R266" si="909">M264-O266</f>
        <v>0.24</v>
      </c>
      <c r="R266" s="261">
        <f t="shared" si="909"/>
        <v>342</v>
      </c>
      <c r="S266" s="264">
        <v>1421.5</v>
      </c>
      <c r="T266" s="265">
        <v>15.0</v>
      </c>
      <c r="U266" s="266" t="s">
        <v>107</v>
      </c>
      <c r="V266" s="266" t="s">
        <v>1115</v>
      </c>
      <c r="W266" s="320">
        <v>0.6598</v>
      </c>
      <c r="X266" s="320">
        <v>0.178349</v>
      </c>
      <c r="Y266" s="320">
        <v>0.481451</v>
      </c>
      <c r="Z266" s="321">
        <f>Z264</f>
        <v>9</v>
      </c>
      <c r="AA266" s="311"/>
      <c r="AB266" s="322"/>
      <c r="AC266" s="323">
        <f>IFERROR(ROUND(Z266*X266,2),0)</f>
        <v>1.61</v>
      </c>
      <c r="AD266" s="318">
        <f t="shared" si="885"/>
        <v>2289</v>
      </c>
      <c r="AE266" s="324">
        <f t="shared" si="886"/>
        <v>4.33</v>
      </c>
      <c r="AF266" s="261">
        <f t="shared" si="887"/>
        <v>6155</v>
      </c>
      <c r="AG266" s="311"/>
      <c r="AH266" s="311"/>
      <c r="AI266" s="325">
        <f>ROUND(AC266*0.15,2)</f>
        <v>0.24</v>
      </c>
      <c r="AJ266" s="261">
        <f>ROUND(AD266*0.15,0)</f>
        <v>343</v>
      </c>
      <c r="AK266" s="325">
        <f>ROUND(AE266*0.15,2)</f>
        <v>0.65</v>
      </c>
      <c r="AL266" s="261">
        <f>ROUND(AF266*0.15,0)</f>
        <v>923</v>
      </c>
      <c r="AM266" s="326">
        <f>IFERROR(AC266/K266,IFERROR(AK266/O266,""))</f>
        <v>1.00625</v>
      </c>
      <c r="AN266" s="313"/>
    </row>
    <row r="267" ht="12.75" customHeight="1">
      <c r="A267" s="245" t="s">
        <v>793</v>
      </c>
      <c r="B267" s="246" t="s">
        <v>359</v>
      </c>
      <c r="C267" s="247" t="s">
        <v>360</v>
      </c>
      <c r="D267" s="247" t="s">
        <v>185</v>
      </c>
      <c r="E267" s="248"/>
      <c r="F267" s="248"/>
      <c r="G267" s="247" t="s">
        <v>127</v>
      </c>
      <c r="H267" s="248" t="s">
        <v>1116</v>
      </c>
      <c r="I267" s="248" t="s">
        <v>105</v>
      </c>
      <c r="J267" s="300" t="s">
        <v>106</v>
      </c>
      <c r="K267" s="301">
        <v>4.04</v>
      </c>
      <c r="L267" s="302">
        <v>5814.0</v>
      </c>
      <c r="M267" s="303">
        <v>0.61</v>
      </c>
      <c r="N267" s="250">
        <v>877.0</v>
      </c>
      <c r="O267" s="249">
        <v>0.32</v>
      </c>
      <c r="P267" s="250">
        <v>460.0</v>
      </c>
      <c r="Q267" s="251">
        <f t="shared" ref="Q267:R267" si="910">M267-O267</f>
        <v>0.29</v>
      </c>
      <c r="R267" s="252">
        <f t="shared" si="910"/>
        <v>417</v>
      </c>
      <c r="S267" s="253">
        <v>1439.3</v>
      </c>
      <c r="T267" s="254">
        <v>15.0</v>
      </c>
      <c r="U267" s="255" t="s">
        <v>107</v>
      </c>
      <c r="V267" s="255"/>
      <c r="W267" s="304">
        <v>0.6734</v>
      </c>
      <c r="X267" s="304">
        <v>0.318871</v>
      </c>
      <c r="Y267" s="304">
        <v>0.354529</v>
      </c>
      <c r="Z267" s="305">
        <f>IFERROR(ROUND(K267/W267,0),0)</f>
        <v>6</v>
      </c>
      <c r="AA267" s="306">
        <f t="shared" ref="AA267:AA268" si="912">Z267*W267</f>
        <v>4.0404</v>
      </c>
      <c r="AB267" s="307">
        <f t="shared" ref="AB267:AB268" si="913">ROUND(AA267*S267,0)</f>
        <v>5815</v>
      </c>
      <c r="AC267" s="308">
        <f t="shared" ref="AC267:AC268" si="914">AA267</f>
        <v>4.0404</v>
      </c>
      <c r="AD267" s="309">
        <f t="shared" si="885"/>
        <v>5815</v>
      </c>
      <c r="AE267" s="310">
        <f t="shared" si="886"/>
        <v>2.13</v>
      </c>
      <c r="AF267" s="252">
        <f t="shared" si="887"/>
        <v>3066</v>
      </c>
      <c r="AG267" s="306">
        <f t="shared" ref="AG267:AG268" si="915">ROUND(AC267*0.15,2)</f>
        <v>0.61</v>
      </c>
      <c r="AH267" s="252">
        <f t="shared" ref="AH267:AH268" si="916">ROUND(AD267*0.15,0)</f>
        <v>872</v>
      </c>
      <c r="AI267" s="311"/>
      <c r="AJ267" s="311"/>
      <c r="AK267" s="311"/>
      <c r="AL267" s="311"/>
      <c r="AM267" s="312"/>
      <c r="AN267" s="313"/>
    </row>
    <row r="268" ht="12.75" customHeight="1">
      <c r="A268" s="245" t="s">
        <v>795</v>
      </c>
      <c r="B268" s="246" t="s">
        <v>359</v>
      </c>
      <c r="C268" s="247" t="s">
        <v>360</v>
      </c>
      <c r="D268" s="247" t="s">
        <v>185</v>
      </c>
      <c r="E268" s="248"/>
      <c r="F268" s="248"/>
      <c r="G268" s="247" t="s">
        <v>127</v>
      </c>
      <c r="H268" s="248" t="s">
        <v>1117</v>
      </c>
      <c r="I268" s="248" t="s">
        <v>105</v>
      </c>
      <c r="J268" s="300" t="s">
        <v>106</v>
      </c>
      <c r="K268" s="314">
        <f t="shared" ref="K268:R268" si="911">-K267</f>
        <v>-4.04</v>
      </c>
      <c r="L268" s="309">
        <f t="shared" si="911"/>
        <v>-5814</v>
      </c>
      <c r="M268" s="315">
        <f t="shared" si="911"/>
        <v>-0.61</v>
      </c>
      <c r="N268" s="252">
        <f t="shared" si="911"/>
        <v>-877</v>
      </c>
      <c r="O268" s="251">
        <f t="shared" si="911"/>
        <v>-0.32</v>
      </c>
      <c r="P268" s="252">
        <f t="shared" si="911"/>
        <v>-460</v>
      </c>
      <c r="Q268" s="251">
        <f t="shared" si="911"/>
        <v>-0.29</v>
      </c>
      <c r="R268" s="252">
        <f t="shared" si="911"/>
        <v>-417</v>
      </c>
      <c r="S268" s="253">
        <v>1439.3</v>
      </c>
      <c r="T268" s="254">
        <v>15.0</v>
      </c>
      <c r="U268" s="255" t="s">
        <v>107</v>
      </c>
      <c r="V268" s="255"/>
      <c r="W268" s="304">
        <v>0.6734</v>
      </c>
      <c r="X268" s="304">
        <v>0.318871</v>
      </c>
      <c r="Y268" s="304">
        <v>0.354529</v>
      </c>
      <c r="Z268" s="305">
        <f>-Z267</f>
        <v>-6</v>
      </c>
      <c r="AA268" s="306">
        <f t="shared" si="912"/>
        <v>-4.0404</v>
      </c>
      <c r="AB268" s="307">
        <f t="shared" si="913"/>
        <v>-5815</v>
      </c>
      <c r="AC268" s="308">
        <f t="shared" si="914"/>
        <v>-4.0404</v>
      </c>
      <c r="AD268" s="309">
        <f t="shared" si="885"/>
        <v>-5815</v>
      </c>
      <c r="AE268" s="310">
        <f t="shared" si="886"/>
        <v>-2.13</v>
      </c>
      <c r="AF268" s="252">
        <f t="shared" si="887"/>
        <v>-3066</v>
      </c>
      <c r="AG268" s="306">
        <f t="shared" si="915"/>
        <v>-0.61</v>
      </c>
      <c r="AH268" s="252">
        <f t="shared" si="916"/>
        <v>-872</v>
      </c>
      <c r="AI268" s="311"/>
      <c r="AJ268" s="311"/>
      <c r="AK268" s="311"/>
      <c r="AL268" s="311"/>
      <c r="AM268" s="312"/>
      <c r="AN268" s="313"/>
    </row>
    <row r="269" ht="12.75" customHeight="1">
      <c r="A269" s="256" t="s">
        <v>797</v>
      </c>
      <c r="B269" s="257" t="s">
        <v>359</v>
      </c>
      <c r="C269" s="258" t="s">
        <v>360</v>
      </c>
      <c r="D269" s="258" t="s">
        <v>185</v>
      </c>
      <c r="E269" s="259"/>
      <c r="F269" s="259"/>
      <c r="G269" s="258" t="s">
        <v>127</v>
      </c>
      <c r="H269" s="259" t="s">
        <v>1118</v>
      </c>
      <c r="I269" s="259" t="s">
        <v>105</v>
      </c>
      <c r="J269" s="316" t="s">
        <v>106</v>
      </c>
      <c r="K269" s="317">
        <f>ROUND(M269/0.15,2)</f>
        <v>1.93</v>
      </c>
      <c r="L269" s="318">
        <f>ROUND(N269/0.15,0)</f>
        <v>2780</v>
      </c>
      <c r="M269" s="319">
        <f t="shared" ref="M269:N269" si="917">Q269</f>
        <v>0.29</v>
      </c>
      <c r="N269" s="261">
        <f t="shared" si="917"/>
        <v>417</v>
      </c>
      <c r="O269" s="262">
        <v>0.32</v>
      </c>
      <c r="P269" s="263">
        <v>460.0</v>
      </c>
      <c r="Q269" s="260">
        <f t="shared" ref="Q269:R269" si="918">M267-O269</f>
        <v>0.29</v>
      </c>
      <c r="R269" s="261">
        <f t="shared" si="918"/>
        <v>417</v>
      </c>
      <c r="S269" s="264">
        <v>1439.3</v>
      </c>
      <c r="T269" s="265">
        <v>15.0</v>
      </c>
      <c r="U269" s="266" t="s">
        <v>107</v>
      </c>
      <c r="V269" s="266" t="s">
        <v>1119</v>
      </c>
      <c r="W269" s="320">
        <v>0.6734</v>
      </c>
      <c r="X269" s="320">
        <v>0.318871</v>
      </c>
      <c r="Y269" s="320">
        <v>0.354529</v>
      </c>
      <c r="Z269" s="321">
        <f>Z267</f>
        <v>6</v>
      </c>
      <c r="AA269" s="311"/>
      <c r="AB269" s="322"/>
      <c r="AC269" s="323">
        <f>IFERROR(ROUND(Z269*X269,2),0)</f>
        <v>1.91</v>
      </c>
      <c r="AD269" s="318">
        <f t="shared" si="885"/>
        <v>2749</v>
      </c>
      <c r="AE269" s="324">
        <f t="shared" si="886"/>
        <v>2.13</v>
      </c>
      <c r="AF269" s="261">
        <f t="shared" si="887"/>
        <v>3066</v>
      </c>
      <c r="AG269" s="311"/>
      <c r="AH269" s="311"/>
      <c r="AI269" s="325">
        <f>ROUND(AC269*0.15,2)</f>
        <v>0.29</v>
      </c>
      <c r="AJ269" s="261">
        <f>ROUND(AD269*0.15,0)</f>
        <v>412</v>
      </c>
      <c r="AK269" s="325">
        <f>ROUND(AE269*0.15,2)</f>
        <v>0.32</v>
      </c>
      <c r="AL269" s="261">
        <f>ROUND(AF269*0.15,0)</f>
        <v>460</v>
      </c>
      <c r="AM269" s="326">
        <f>IFERROR(AC269/K269,IFERROR(AK269/O269,""))</f>
        <v>0.9896373057</v>
      </c>
      <c r="AN269" s="313" t="s">
        <v>1055</v>
      </c>
    </row>
    <row r="270" ht="12.75" customHeight="1">
      <c r="A270" s="267" t="s">
        <v>517</v>
      </c>
      <c r="B270" s="268" t="s">
        <v>359</v>
      </c>
      <c r="C270" s="269" t="s">
        <v>360</v>
      </c>
      <c r="D270" s="269" t="s">
        <v>385</v>
      </c>
      <c r="E270" s="270"/>
      <c r="F270" s="270"/>
      <c r="G270" s="269" t="s">
        <v>288</v>
      </c>
      <c r="H270" s="270" t="s">
        <v>1120</v>
      </c>
      <c r="I270" s="270" t="s">
        <v>105</v>
      </c>
      <c r="J270" s="354" t="s">
        <v>106</v>
      </c>
      <c r="K270" s="355">
        <v>4.87</v>
      </c>
      <c r="L270" s="356">
        <v>7005.0</v>
      </c>
      <c r="M270" s="357">
        <v>0.73</v>
      </c>
      <c r="N270" s="272">
        <v>1050.0</v>
      </c>
      <c r="O270" s="271">
        <v>0.0</v>
      </c>
      <c r="P270" s="272">
        <v>0.0</v>
      </c>
      <c r="Q270" s="273">
        <f t="shared" ref="Q270:R270" si="919">M270-O270</f>
        <v>0.73</v>
      </c>
      <c r="R270" s="274">
        <f t="shared" si="919"/>
        <v>1050</v>
      </c>
      <c r="S270" s="275">
        <v>1438.5</v>
      </c>
      <c r="T270" s="276">
        <v>15.0</v>
      </c>
      <c r="U270" s="277" t="s">
        <v>107</v>
      </c>
      <c r="V270" s="277"/>
      <c r="W270" s="358"/>
      <c r="X270" s="358"/>
      <c r="Y270" s="358"/>
      <c r="Z270" s="358"/>
      <c r="AA270" s="358"/>
      <c r="AB270" s="359"/>
      <c r="AC270" s="360">
        <f t="shared" ref="AC270:AD270" si="920">K270</f>
        <v>4.87</v>
      </c>
      <c r="AD270" s="361">
        <f t="shared" si="920"/>
        <v>7005</v>
      </c>
      <c r="AE270" s="362"/>
      <c r="AF270" s="358"/>
      <c r="AG270" s="358"/>
      <c r="AH270" s="358"/>
      <c r="AI270" s="363">
        <f t="shared" ref="AI270:AJ270" si="921">Q270</f>
        <v>0.73</v>
      </c>
      <c r="AJ270" s="364">
        <f t="shared" si="921"/>
        <v>1050</v>
      </c>
      <c r="AK270" s="358"/>
      <c r="AL270" s="358"/>
      <c r="AM270" s="365"/>
      <c r="AN270" s="366"/>
    </row>
    <row r="271" ht="12.75" customHeight="1">
      <c r="A271" s="245" t="s">
        <v>519</v>
      </c>
      <c r="B271" s="246" t="s">
        <v>359</v>
      </c>
      <c r="C271" s="247" t="s">
        <v>360</v>
      </c>
      <c r="D271" s="247" t="s">
        <v>187</v>
      </c>
      <c r="E271" s="248"/>
      <c r="F271" s="248"/>
      <c r="G271" s="247" t="s">
        <v>131</v>
      </c>
      <c r="H271" s="248" t="s">
        <v>1121</v>
      </c>
      <c r="I271" s="248" t="s">
        <v>105</v>
      </c>
      <c r="J271" s="300" t="s">
        <v>106</v>
      </c>
      <c r="K271" s="301">
        <v>5.21</v>
      </c>
      <c r="L271" s="302">
        <v>7432.0</v>
      </c>
      <c r="M271" s="303">
        <v>0.78</v>
      </c>
      <c r="N271" s="250">
        <v>1112.0</v>
      </c>
      <c r="O271" s="249">
        <v>0.76</v>
      </c>
      <c r="P271" s="250">
        <v>1084.0</v>
      </c>
      <c r="Q271" s="251">
        <f t="shared" ref="Q271:R271" si="922">M271-O271</f>
        <v>0.02</v>
      </c>
      <c r="R271" s="252">
        <f t="shared" si="922"/>
        <v>28</v>
      </c>
      <c r="S271" s="253">
        <v>1426.6</v>
      </c>
      <c r="T271" s="254">
        <v>15.0</v>
      </c>
      <c r="U271" s="255" t="s">
        <v>107</v>
      </c>
      <c r="V271" s="255"/>
      <c r="W271" s="304">
        <v>0.651</v>
      </c>
      <c r="X271" s="304">
        <v>0.019227</v>
      </c>
      <c r="Y271" s="304">
        <v>0.631773</v>
      </c>
      <c r="Z271" s="305">
        <f>IFERROR(ROUND(K271/W271,0),0)</f>
        <v>8</v>
      </c>
      <c r="AA271" s="306">
        <f t="shared" ref="AA271:AA272" si="924">Z271*W271</f>
        <v>5.208</v>
      </c>
      <c r="AB271" s="307">
        <f t="shared" ref="AB271:AB272" si="925">ROUND(AA271*S271,0)</f>
        <v>7430</v>
      </c>
      <c r="AC271" s="308">
        <f t="shared" ref="AC271:AC272" si="926">AA271</f>
        <v>5.208</v>
      </c>
      <c r="AD271" s="309">
        <f t="shared" ref="AD271:AD282" si="927">ROUND(AC271*S271,0)</f>
        <v>7430</v>
      </c>
      <c r="AE271" s="310">
        <f t="shared" ref="AE271:AE282" si="928">IFERROR(ROUND(Z271*Y271,2),0)</f>
        <v>5.05</v>
      </c>
      <c r="AF271" s="252">
        <f t="shared" ref="AF271:AF282" si="929">ROUND(AE271*S271,0)</f>
        <v>7204</v>
      </c>
      <c r="AG271" s="306">
        <f t="shared" ref="AG271:AG272" si="930">ROUND(AC271*0.15,2)</f>
        <v>0.78</v>
      </c>
      <c r="AH271" s="252">
        <f t="shared" ref="AH271:AH272" si="931">ROUND(AD271*0.15,0)</f>
        <v>1115</v>
      </c>
      <c r="AI271" s="311"/>
      <c r="AJ271" s="311"/>
      <c r="AK271" s="311"/>
      <c r="AL271" s="311"/>
      <c r="AM271" s="312"/>
      <c r="AN271" s="313"/>
    </row>
    <row r="272" ht="12.75" customHeight="1">
      <c r="A272" s="245" t="s">
        <v>520</v>
      </c>
      <c r="B272" s="246" t="s">
        <v>359</v>
      </c>
      <c r="C272" s="247" t="s">
        <v>360</v>
      </c>
      <c r="D272" s="247" t="s">
        <v>187</v>
      </c>
      <c r="E272" s="248"/>
      <c r="F272" s="248"/>
      <c r="G272" s="247" t="s">
        <v>131</v>
      </c>
      <c r="H272" s="248" t="s">
        <v>1122</v>
      </c>
      <c r="I272" s="248" t="s">
        <v>105</v>
      </c>
      <c r="J272" s="300" t="s">
        <v>106</v>
      </c>
      <c r="K272" s="314">
        <f t="shared" ref="K272:R272" si="923">-K271</f>
        <v>-5.21</v>
      </c>
      <c r="L272" s="309">
        <f t="shared" si="923"/>
        <v>-7432</v>
      </c>
      <c r="M272" s="315">
        <f t="shared" si="923"/>
        <v>-0.78</v>
      </c>
      <c r="N272" s="252">
        <f t="shared" si="923"/>
        <v>-1112</v>
      </c>
      <c r="O272" s="251">
        <f t="shared" si="923"/>
        <v>-0.76</v>
      </c>
      <c r="P272" s="252">
        <f t="shared" si="923"/>
        <v>-1084</v>
      </c>
      <c r="Q272" s="251">
        <f t="shared" si="923"/>
        <v>-0.02</v>
      </c>
      <c r="R272" s="252">
        <f t="shared" si="923"/>
        <v>-28</v>
      </c>
      <c r="S272" s="253">
        <v>1426.6</v>
      </c>
      <c r="T272" s="254">
        <v>15.0</v>
      </c>
      <c r="U272" s="255" t="s">
        <v>107</v>
      </c>
      <c r="V272" s="255"/>
      <c r="W272" s="304">
        <v>0.651</v>
      </c>
      <c r="X272" s="304">
        <v>0.019227</v>
      </c>
      <c r="Y272" s="304">
        <v>0.631773</v>
      </c>
      <c r="Z272" s="305">
        <f>-Z271</f>
        <v>-8</v>
      </c>
      <c r="AA272" s="306">
        <f t="shared" si="924"/>
        <v>-5.208</v>
      </c>
      <c r="AB272" s="307">
        <f t="shared" si="925"/>
        <v>-7430</v>
      </c>
      <c r="AC272" s="308">
        <f t="shared" si="926"/>
        <v>-5.208</v>
      </c>
      <c r="AD272" s="309">
        <f t="shared" si="927"/>
        <v>-7430</v>
      </c>
      <c r="AE272" s="310">
        <f t="shared" si="928"/>
        <v>-5.05</v>
      </c>
      <c r="AF272" s="252">
        <f t="shared" si="929"/>
        <v>-7204</v>
      </c>
      <c r="AG272" s="306">
        <f t="shared" si="930"/>
        <v>-0.78</v>
      </c>
      <c r="AH272" s="252">
        <f t="shared" si="931"/>
        <v>-1115</v>
      </c>
      <c r="AI272" s="311"/>
      <c r="AJ272" s="311"/>
      <c r="AK272" s="311"/>
      <c r="AL272" s="311"/>
      <c r="AM272" s="312"/>
      <c r="AN272" s="313"/>
    </row>
    <row r="273" ht="12.75" customHeight="1">
      <c r="A273" s="256" t="s">
        <v>521</v>
      </c>
      <c r="B273" s="257" t="s">
        <v>359</v>
      </c>
      <c r="C273" s="258" t="s">
        <v>360</v>
      </c>
      <c r="D273" s="258" t="s">
        <v>187</v>
      </c>
      <c r="E273" s="259"/>
      <c r="F273" s="259"/>
      <c r="G273" s="258" t="s">
        <v>131</v>
      </c>
      <c r="H273" s="259" t="s">
        <v>1123</v>
      </c>
      <c r="I273" s="259" t="s">
        <v>105</v>
      </c>
      <c r="J273" s="316" t="s">
        <v>106</v>
      </c>
      <c r="K273" s="317">
        <f>ROUND(M273/0.15,2)</f>
        <v>0.13</v>
      </c>
      <c r="L273" s="318">
        <f>ROUND(N273/0.15,0)</f>
        <v>187</v>
      </c>
      <c r="M273" s="319">
        <f t="shared" ref="M273:N273" si="932">Q273</f>
        <v>0.02</v>
      </c>
      <c r="N273" s="261">
        <f t="shared" si="932"/>
        <v>28</v>
      </c>
      <c r="O273" s="262">
        <v>0.76</v>
      </c>
      <c r="P273" s="263">
        <v>1084.0</v>
      </c>
      <c r="Q273" s="260">
        <f t="shared" ref="Q273:R273" si="933">M271-O273</f>
        <v>0.02</v>
      </c>
      <c r="R273" s="261">
        <f t="shared" si="933"/>
        <v>28</v>
      </c>
      <c r="S273" s="264">
        <v>1426.6</v>
      </c>
      <c r="T273" s="265">
        <v>15.0</v>
      </c>
      <c r="U273" s="266" t="s">
        <v>107</v>
      </c>
      <c r="V273" s="266" t="s">
        <v>1124</v>
      </c>
      <c r="W273" s="320">
        <v>0.651</v>
      </c>
      <c r="X273" s="320">
        <v>0.019227</v>
      </c>
      <c r="Y273" s="320">
        <v>0.631773</v>
      </c>
      <c r="Z273" s="321">
        <f>Z271</f>
        <v>8</v>
      </c>
      <c r="AA273" s="311"/>
      <c r="AB273" s="322"/>
      <c r="AC273" s="323">
        <f>IFERROR(ROUND(Z273*X273,2),0)</f>
        <v>0.15</v>
      </c>
      <c r="AD273" s="318">
        <f t="shared" si="927"/>
        <v>214</v>
      </c>
      <c r="AE273" s="324">
        <f t="shared" si="928"/>
        <v>5.05</v>
      </c>
      <c r="AF273" s="261">
        <f t="shared" si="929"/>
        <v>7204</v>
      </c>
      <c r="AG273" s="311"/>
      <c r="AH273" s="311"/>
      <c r="AI273" s="325">
        <f>ROUND(AC273*0.15,2)</f>
        <v>0.02</v>
      </c>
      <c r="AJ273" s="261">
        <f>ROUND(AD273*0.15,0)</f>
        <v>32</v>
      </c>
      <c r="AK273" s="325">
        <f>ROUND(AE273*0.15,2)</f>
        <v>0.76</v>
      </c>
      <c r="AL273" s="261">
        <f>ROUND(AF273*0.15,0)</f>
        <v>1081</v>
      </c>
      <c r="AM273" s="326">
        <f>IFERROR(AC273/K273,IFERROR(AK273/O273,""))</f>
        <v>1.153846154</v>
      </c>
      <c r="AN273" s="313" t="s">
        <v>1055</v>
      </c>
    </row>
    <row r="274" ht="12.75" customHeight="1">
      <c r="A274" s="245" t="s">
        <v>523</v>
      </c>
      <c r="B274" s="246" t="s">
        <v>359</v>
      </c>
      <c r="C274" s="247" t="s">
        <v>360</v>
      </c>
      <c r="D274" s="247" t="s">
        <v>191</v>
      </c>
      <c r="E274" s="248"/>
      <c r="F274" s="248"/>
      <c r="G274" s="247" t="s">
        <v>135</v>
      </c>
      <c r="H274" s="248" t="s">
        <v>1125</v>
      </c>
      <c r="I274" s="248" t="s">
        <v>105</v>
      </c>
      <c r="J274" s="300" t="s">
        <v>106</v>
      </c>
      <c r="K274" s="301">
        <v>14.24</v>
      </c>
      <c r="L274" s="302">
        <v>19941.0</v>
      </c>
      <c r="M274" s="303">
        <v>2.14</v>
      </c>
      <c r="N274" s="250">
        <v>2996.0</v>
      </c>
      <c r="O274" s="249">
        <v>2.14</v>
      </c>
      <c r="P274" s="250">
        <v>2996.0</v>
      </c>
      <c r="Q274" s="251">
        <f t="shared" ref="Q274:R274" si="934">M274-O274</f>
        <v>0</v>
      </c>
      <c r="R274" s="252">
        <f t="shared" si="934"/>
        <v>0</v>
      </c>
      <c r="S274" s="253">
        <v>1400.4</v>
      </c>
      <c r="T274" s="254">
        <v>15.0</v>
      </c>
      <c r="U274" s="255" t="s">
        <v>107</v>
      </c>
      <c r="V274" s="255"/>
      <c r="W274" s="304">
        <v>2.3734</v>
      </c>
      <c r="X274" s="304">
        <v>0.0</v>
      </c>
      <c r="Y274" s="304">
        <v>2.3734</v>
      </c>
      <c r="Z274" s="305">
        <f>IFERROR(ROUND(K274/W274,0),0)</f>
        <v>6</v>
      </c>
      <c r="AA274" s="306">
        <f t="shared" ref="AA274:AA275" si="936">Z274*W274</f>
        <v>14.2404</v>
      </c>
      <c r="AB274" s="307">
        <f t="shared" ref="AB274:AB275" si="937">ROUND(AA274*S274,0)</f>
        <v>19942</v>
      </c>
      <c r="AC274" s="308">
        <f t="shared" ref="AC274:AC275" si="938">AA274</f>
        <v>14.2404</v>
      </c>
      <c r="AD274" s="309">
        <f t="shared" si="927"/>
        <v>19942</v>
      </c>
      <c r="AE274" s="310">
        <f t="shared" si="928"/>
        <v>14.24</v>
      </c>
      <c r="AF274" s="252">
        <f t="shared" si="929"/>
        <v>19942</v>
      </c>
      <c r="AG274" s="306">
        <f t="shared" ref="AG274:AG275" si="939">ROUND(AC274*0.15,2)</f>
        <v>2.14</v>
      </c>
      <c r="AH274" s="252">
        <f t="shared" ref="AH274:AH275" si="940">ROUND(AD274*0.15,0)</f>
        <v>2991</v>
      </c>
      <c r="AI274" s="311"/>
      <c r="AJ274" s="311"/>
      <c r="AK274" s="311"/>
      <c r="AL274" s="311"/>
      <c r="AM274" s="312"/>
      <c r="AN274" s="313"/>
    </row>
    <row r="275" ht="12.75" customHeight="1">
      <c r="A275" s="245" t="s">
        <v>524</v>
      </c>
      <c r="B275" s="246" t="s">
        <v>359</v>
      </c>
      <c r="C275" s="247" t="s">
        <v>360</v>
      </c>
      <c r="D275" s="247" t="s">
        <v>191</v>
      </c>
      <c r="E275" s="248"/>
      <c r="F275" s="248"/>
      <c r="G275" s="247" t="s">
        <v>135</v>
      </c>
      <c r="H275" s="248" t="s">
        <v>1126</v>
      </c>
      <c r="I275" s="248" t="s">
        <v>105</v>
      </c>
      <c r="J275" s="300" t="s">
        <v>106</v>
      </c>
      <c r="K275" s="314">
        <f t="shared" ref="K275:R275" si="935">-K274</f>
        <v>-14.24</v>
      </c>
      <c r="L275" s="309">
        <f t="shared" si="935"/>
        <v>-19941</v>
      </c>
      <c r="M275" s="315">
        <f t="shared" si="935"/>
        <v>-2.14</v>
      </c>
      <c r="N275" s="252">
        <f t="shared" si="935"/>
        <v>-2996</v>
      </c>
      <c r="O275" s="251">
        <f t="shared" si="935"/>
        <v>-2.14</v>
      </c>
      <c r="P275" s="252">
        <f t="shared" si="935"/>
        <v>-2996</v>
      </c>
      <c r="Q275" s="251">
        <f t="shared" si="935"/>
        <v>0</v>
      </c>
      <c r="R275" s="252">
        <f t="shared" si="935"/>
        <v>0</v>
      </c>
      <c r="S275" s="253">
        <v>1400.4</v>
      </c>
      <c r="T275" s="254">
        <v>15.0</v>
      </c>
      <c r="U275" s="255" t="s">
        <v>107</v>
      </c>
      <c r="V275" s="255"/>
      <c r="W275" s="304">
        <v>2.3734</v>
      </c>
      <c r="X275" s="304">
        <v>0.0</v>
      </c>
      <c r="Y275" s="304">
        <v>2.3734</v>
      </c>
      <c r="Z275" s="305">
        <f>-Z274</f>
        <v>-6</v>
      </c>
      <c r="AA275" s="306">
        <f t="shared" si="936"/>
        <v>-14.2404</v>
      </c>
      <c r="AB275" s="307">
        <f t="shared" si="937"/>
        <v>-19942</v>
      </c>
      <c r="AC275" s="308">
        <f t="shared" si="938"/>
        <v>-14.2404</v>
      </c>
      <c r="AD275" s="309">
        <f t="shared" si="927"/>
        <v>-19942</v>
      </c>
      <c r="AE275" s="310">
        <f t="shared" si="928"/>
        <v>-14.24</v>
      </c>
      <c r="AF275" s="252">
        <f t="shared" si="929"/>
        <v>-19942</v>
      </c>
      <c r="AG275" s="306">
        <f t="shared" si="939"/>
        <v>-2.14</v>
      </c>
      <c r="AH275" s="252">
        <f t="shared" si="940"/>
        <v>-2991</v>
      </c>
      <c r="AI275" s="311"/>
      <c r="AJ275" s="311"/>
      <c r="AK275" s="311"/>
      <c r="AL275" s="311"/>
      <c r="AM275" s="312"/>
      <c r="AN275" s="313"/>
    </row>
    <row r="276" ht="12.75" customHeight="1">
      <c r="A276" s="256" t="s">
        <v>525</v>
      </c>
      <c r="B276" s="257" t="s">
        <v>359</v>
      </c>
      <c r="C276" s="258" t="s">
        <v>360</v>
      </c>
      <c r="D276" s="258" t="s">
        <v>191</v>
      </c>
      <c r="E276" s="259"/>
      <c r="F276" s="259"/>
      <c r="G276" s="258" t="s">
        <v>135</v>
      </c>
      <c r="H276" s="259" t="s">
        <v>1127</v>
      </c>
      <c r="I276" s="259" t="s">
        <v>105</v>
      </c>
      <c r="J276" s="316" t="s">
        <v>106</v>
      </c>
      <c r="K276" s="317">
        <f>ROUND(M276/0.15,2)</f>
        <v>0</v>
      </c>
      <c r="L276" s="318">
        <f>ROUND(N276/0.15,0)</f>
        <v>0</v>
      </c>
      <c r="M276" s="319">
        <f t="shared" ref="M276:N276" si="941">Q276</f>
        <v>0</v>
      </c>
      <c r="N276" s="261">
        <f t="shared" si="941"/>
        <v>0</v>
      </c>
      <c r="O276" s="262">
        <v>2.14</v>
      </c>
      <c r="P276" s="263">
        <v>2996.0</v>
      </c>
      <c r="Q276" s="260">
        <f t="shared" ref="Q276:R276" si="942">M274-O276</f>
        <v>0</v>
      </c>
      <c r="R276" s="261">
        <f t="shared" si="942"/>
        <v>0</v>
      </c>
      <c r="S276" s="264">
        <v>1400.4</v>
      </c>
      <c r="T276" s="265">
        <v>15.0</v>
      </c>
      <c r="U276" s="266" t="s">
        <v>107</v>
      </c>
      <c r="V276" s="266" t="s">
        <v>1128</v>
      </c>
      <c r="W276" s="320">
        <v>2.3734</v>
      </c>
      <c r="X276" s="320">
        <v>0.0</v>
      </c>
      <c r="Y276" s="320">
        <v>2.3734</v>
      </c>
      <c r="Z276" s="321">
        <f>Z274</f>
        <v>6</v>
      </c>
      <c r="AA276" s="311"/>
      <c r="AB276" s="322"/>
      <c r="AC276" s="323">
        <f>IFERROR(ROUND(Z276*X276,2),0)</f>
        <v>0</v>
      </c>
      <c r="AD276" s="318">
        <f t="shared" si="927"/>
        <v>0</v>
      </c>
      <c r="AE276" s="324">
        <f t="shared" si="928"/>
        <v>14.24</v>
      </c>
      <c r="AF276" s="261">
        <f t="shared" si="929"/>
        <v>19942</v>
      </c>
      <c r="AG276" s="311"/>
      <c r="AH276" s="311"/>
      <c r="AI276" s="325">
        <f>ROUND(AC276*0.15,2)</f>
        <v>0</v>
      </c>
      <c r="AJ276" s="261">
        <f>ROUND(AD276*0.15,0)</f>
        <v>0</v>
      </c>
      <c r="AK276" s="325">
        <f>ROUND(AE276*0.15,2)</f>
        <v>2.14</v>
      </c>
      <c r="AL276" s="261">
        <f>ROUND(AF276*0.15,0)</f>
        <v>2991</v>
      </c>
      <c r="AM276" s="326">
        <f>IFERROR(AC276/K276,IFERROR(AK276/O276,""))</f>
        <v>1</v>
      </c>
      <c r="AN276" s="313"/>
    </row>
    <row r="277" ht="12.75" customHeight="1">
      <c r="A277" s="245" t="s">
        <v>527</v>
      </c>
      <c r="B277" s="246" t="s">
        <v>359</v>
      </c>
      <c r="C277" s="247" t="s">
        <v>360</v>
      </c>
      <c r="D277" s="247" t="s">
        <v>195</v>
      </c>
      <c r="E277" s="248"/>
      <c r="F277" s="248"/>
      <c r="G277" s="247" t="s">
        <v>139</v>
      </c>
      <c r="H277" s="248" t="s">
        <v>1129</v>
      </c>
      <c r="I277" s="248" t="s">
        <v>105</v>
      </c>
      <c r="J277" s="300" t="s">
        <v>106</v>
      </c>
      <c r="K277" s="301">
        <v>6.84</v>
      </c>
      <c r="L277" s="302">
        <v>9562.0</v>
      </c>
      <c r="M277" s="303">
        <v>1.03</v>
      </c>
      <c r="N277" s="250">
        <v>1439.0</v>
      </c>
      <c r="O277" s="249">
        <v>0.75</v>
      </c>
      <c r="P277" s="250">
        <v>1048.0</v>
      </c>
      <c r="Q277" s="251">
        <f t="shared" ref="Q277:R277" si="943">M277-O277</f>
        <v>0.28</v>
      </c>
      <c r="R277" s="252">
        <f t="shared" si="943"/>
        <v>391</v>
      </c>
      <c r="S277" s="253">
        <v>1398.0</v>
      </c>
      <c r="T277" s="254">
        <v>15.0</v>
      </c>
      <c r="U277" s="255" t="s">
        <v>107</v>
      </c>
      <c r="V277" s="255"/>
      <c r="W277" s="304">
        <v>0.76</v>
      </c>
      <c r="X277" s="304">
        <v>0.205434</v>
      </c>
      <c r="Y277" s="304">
        <v>0.554566</v>
      </c>
      <c r="Z277" s="305">
        <f>IFERROR(ROUND(K277/W277,0),0)</f>
        <v>9</v>
      </c>
      <c r="AA277" s="306">
        <f t="shared" ref="AA277:AA278" si="945">Z277*W277</f>
        <v>6.84</v>
      </c>
      <c r="AB277" s="307">
        <f t="shared" ref="AB277:AB278" si="946">ROUND(AA277*S277,0)</f>
        <v>9562</v>
      </c>
      <c r="AC277" s="308">
        <f t="shared" ref="AC277:AC278" si="947">AA277</f>
        <v>6.84</v>
      </c>
      <c r="AD277" s="309">
        <f t="shared" si="927"/>
        <v>9562</v>
      </c>
      <c r="AE277" s="310">
        <f t="shared" si="928"/>
        <v>4.99</v>
      </c>
      <c r="AF277" s="252">
        <f t="shared" si="929"/>
        <v>6976</v>
      </c>
      <c r="AG277" s="306">
        <f t="shared" ref="AG277:AG278" si="948">ROUND(AC277*0.15,2)</f>
        <v>1.03</v>
      </c>
      <c r="AH277" s="252">
        <f t="shared" ref="AH277:AH278" si="949">ROUND(AD277*0.15,0)</f>
        <v>1434</v>
      </c>
      <c r="AI277" s="311"/>
      <c r="AJ277" s="311"/>
      <c r="AK277" s="311"/>
      <c r="AL277" s="311"/>
      <c r="AM277" s="312"/>
      <c r="AN277" s="313"/>
    </row>
    <row r="278" ht="12.75" customHeight="1">
      <c r="A278" s="245" t="s">
        <v>528</v>
      </c>
      <c r="B278" s="246" t="s">
        <v>359</v>
      </c>
      <c r="C278" s="247" t="s">
        <v>360</v>
      </c>
      <c r="D278" s="247" t="s">
        <v>195</v>
      </c>
      <c r="E278" s="248"/>
      <c r="F278" s="248"/>
      <c r="G278" s="247" t="s">
        <v>139</v>
      </c>
      <c r="H278" s="248" t="s">
        <v>1130</v>
      </c>
      <c r="I278" s="248" t="s">
        <v>105</v>
      </c>
      <c r="J278" s="300" t="s">
        <v>106</v>
      </c>
      <c r="K278" s="314">
        <f t="shared" ref="K278:R278" si="944">-K277</f>
        <v>-6.84</v>
      </c>
      <c r="L278" s="309">
        <f t="shared" si="944"/>
        <v>-9562</v>
      </c>
      <c r="M278" s="315">
        <f t="shared" si="944"/>
        <v>-1.03</v>
      </c>
      <c r="N278" s="252">
        <f t="shared" si="944"/>
        <v>-1439</v>
      </c>
      <c r="O278" s="251">
        <f t="shared" si="944"/>
        <v>-0.75</v>
      </c>
      <c r="P278" s="252">
        <f t="shared" si="944"/>
        <v>-1048</v>
      </c>
      <c r="Q278" s="251">
        <f t="shared" si="944"/>
        <v>-0.28</v>
      </c>
      <c r="R278" s="252">
        <f t="shared" si="944"/>
        <v>-391</v>
      </c>
      <c r="S278" s="253">
        <v>1398.0</v>
      </c>
      <c r="T278" s="254">
        <v>15.0</v>
      </c>
      <c r="U278" s="255" t="s">
        <v>107</v>
      </c>
      <c r="V278" s="255"/>
      <c r="W278" s="304">
        <v>0.76</v>
      </c>
      <c r="X278" s="304">
        <v>0.205434</v>
      </c>
      <c r="Y278" s="304">
        <v>0.554566</v>
      </c>
      <c r="Z278" s="305">
        <f>-Z277</f>
        <v>-9</v>
      </c>
      <c r="AA278" s="306">
        <f t="shared" si="945"/>
        <v>-6.84</v>
      </c>
      <c r="AB278" s="307">
        <f t="shared" si="946"/>
        <v>-9562</v>
      </c>
      <c r="AC278" s="308">
        <f t="shared" si="947"/>
        <v>-6.84</v>
      </c>
      <c r="AD278" s="309">
        <f t="shared" si="927"/>
        <v>-9562</v>
      </c>
      <c r="AE278" s="310">
        <f t="shared" si="928"/>
        <v>-4.99</v>
      </c>
      <c r="AF278" s="252">
        <f t="shared" si="929"/>
        <v>-6976</v>
      </c>
      <c r="AG278" s="306">
        <f t="shared" si="948"/>
        <v>-1.03</v>
      </c>
      <c r="AH278" s="252">
        <f t="shared" si="949"/>
        <v>-1434</v>
      </c>
      <c r="AI278" s="311"/>
      <c r="AJ278" s="311"/>
      <c r="AK278" s="311"/>
      <c r="AL278" s="311"/>
      <c r="AM278" s="312"/>
      <c r="AN278" s="313"/>
    </row>
    <row r="279" ht="12.75" customHeight="1">
      <c r="A279" s="256" t="s">
        <v>529</v>
      </c>
      <c r="B279" s="257" t="s">
        <v>359</v>
      </c>
      <c r="C279" s="258" t="s">
        <v>360</v>
      </c>
      <c r="D279" s="258" t="s">
        <v>195</v>
      </c>
      <c r="E279" s="259"/>
      <c r="F279" s="259"/>
      <c r="G279" s="258" t="s">
        <v>139</v>
      </c>
      <c r="H279" s="259" t="s">
        <v>1131</v>
      </c>
      <c r="I279" s="259" t="s">
        <v>105</v>
      </c>
      <c r="J279" s="316" t="s">
        <v>106</v>
      </c>
      <c r="K279" s="317">
        <f>ROUND(M279/0.15,2)</f>
        <v>1.87</v>
      </c>
      <c r="L279" s="318">
        <f>ROUND(N279/0.15,0)</f>
        <v>2607</v>
      </c>
      <c r="M279" s="319">
        <f t="shared" ref="M279:N279" si="950">Q279</f>
        <v>0.28</v>
      </c>
      <c r="N279" s="261">
        <f t="shared" si="950"/>
        <v>391</v>
      </c>
      <c r="O279" s="262">
        <v>0.75</v>
      </c>
      <c r="P279" s="263">
        <v>1048.0</v>
      </c>
      <c r="Q279" s="260">
        <f t="shared" ref="Q279:R279" si="951">M277-O279</f>
        <v>0.28</v>
      </c>
      <c r="R279" s="261">
        <f t="shared" si="951"/>
        <v>391</v>
      </c>
      <c r="S279" s="264">
        <v>1398.0</v>
      </c>
      <c r="T279" s="265">
        <v>15.0</v>
      </c>
      <c r="U279" s="266" t="s">
        <v>107</v>
      </c>
      <c r="V279" s="266" t="s">
        <v>1132</v>
      </c>
      <c r="W279" s="320">
        <v>0.76</v>
      </c>
      <c r="X279" s="320">
        <v>0.205434</v>
      </c>
      <c r="Y279" s="320">
        <v>0.554566</v>
      </c>
      <c r="Z279" s="321">
        <f>Z277</f>
        <v>9</v>
      </c>
      <c r="AA279" s="311"/>
      <c r="AB279" s="322"/>
      <c r="AC279" s="323">
        <f>IFERROR(ROUND(Z279*X279,2),0)</f>
        <v>1.85</v>
      </c>
      <c r="AD279" s="318">
        <f t="shared" si="927"/>
        <v>2586</v>
      </c>
      <c r="AE279" s="324">
        <f t="shared" si="928"/>
        <v>4.99</v>
      </c>
      <c r="AF279" s="261">
        <f t="shared" si="929"/>
        <v>6976</v>
      </c>
      <c r="AG279" s="311"/>
      <c r="AH279" s="311"/>
      <c r="AI279" s="325">
        <f>ROUND(AC279*0.15,2)</f>
        <v>0.28</v>
      </c>
      <c r="AJ279" s="261">
        <f>ROUND(AD279*0.15,0)</f>
        <v>388</v>
      </c>
      <c r="AK279" s="325">
        <f>ROUND(AE279*0.15,2)</f>
        <v>0.75</v>
      </c>
      <c r="AL279" s="261">
        <f>ROUND(AF279*0.15,0)</f>
        <v>1046</v>
      </c>
      <c r="AM279" s="326">
        <f>IFERROR(AC279/K279,IFERROR(AK279/O279,""))</f>
        <v>0.9893048128</v>
      </c>
      <c r="AN279" s="313" t="s">
        <v>1055</v>
      </c>
    </row>
    <row r="280" ht="12.75" customHeight="1">
      <c r="A280" s="245" t="s">
        <v>813</v>
      </c>
      <c r="B280" s="246" t="s">
        <v>359</v>
      </c>
      <c r="C280" s="247" t="s">
        <v>360</v>
      </c>
      <c r="D280" s="247" t="s">
        <v>390</v>
      </c>
      <c r="E280" s="248"/>
      <c r="F280" s="248"/>
      <c r="G280" s="247" t="s">
        <v>127</v>
      </c>
      <c r="H280" s="248" t="s">
        <v>1133</v>
      </c>
      <c r="I280" s="248" t="s">
        <v>105</v>
      </c>
      <c r="J280" s="300" t="s">
        <v>106</v>
      </c>
      <c r="K280" s="301">
        <v>9.77</v>
      </c>
      <c r="L280" s="302">
        <v>13368.0</v>
      </c>
      <c r="M280" s="303">
        <v>1.47</v>
      </c>
      <c r="N280" s="250">
        <v>2011.0</v>
      </c>
      <c r="O280" s="249">
        <v>0.78</v>
      </c>
      <c r="P280" s="250">
        <v>1067.0</v>
      </c>
      <c r="Q280" s="251">
        <f t="shared" ref="Q280:R280" si="952">M280-O280</f>
        <v>0.69</v>
      </c>
      <c r="R280" s="252">
        <f t="shared" si="952"/>
        <v>944</v>
      </c>
      <c r="S280" s="253">
        <v>1368.3</v>
      </c>
      <c r="T280" s="254">
        <v>15.0</v>
      </c>
      <c r="U280" s="255" t="s">
        <v>107</v>
      </c>
      <c r="V280" s="255"/>
      <c r="W280" s="304">
        <v>1.6276</v>
      </c>
      <c r="X280" s="304">
        <v>0.770708</v>
      </c>
      <c r="Y280" s="304">
        <v>0.856892</v>
      </c>
      <c r="Z280" s="305">
        <f>IFERROR(ROUND(K280/W280,0),0)</f>
        <v>6</v>
      </c>
      <c r="AA280" s="306">
        <f t="shared" ref="AA280:AA281" si="954">Z280*W280</f>
        <v>9.7656</v>
      </c>
      <c r="AB280" s="307">
        <f t="shared" ref="AB280:AB281" si="955">ROUND(AA280*S280,0)</f>
        <v>13362</v>
      </c>
      <c r="AC280" s="308">
        <f t="shared" ref="AC280:AC281" si="956">AA280</f>
        <v>9.7656</v>
      </c>
      <c r="AD280" s="309">
        <f t="shared" si="927"/>
        <v>13362</v>
      </c>
      <c r="AE280" s="310">
        <f t="shared" si="928"/>
        <v>5.14</v>
      </c>
      <c r="AF280" s="252">
        <f t="shared" si="929"/>
        <v>7033</v>
      </c>
      <c r="AG280" s="306">
        <f t="shared" ref="AG280:AG281" si="957">ROUND(AC280*0.15,2)</f>
        <v>1.46</v>
      </c>
      <c r="AH280" s="252">
        <f t="shared" ref="AH280:AH281" si="958">ROUND(AD280*0.15,0)</f>
        <v>2004</v>
      </c>
      <c r="AI280" s="311"/>
      <c r="AJ280" s="311"/>
      <c r="AK280" s="311"/>
      <c r="AL280" s="311"/>
      <c r="AM280" s="312"/>
      <c r="AN280" s="313"/>
    </row>
    <row r="281" ht="12.75" customHeight="1">
      <c r="A281" s="245" t="s">
        <v>815</v>
      </c>
      <c r="B281" s="246" t="s">
        <v>359</v>
      </c>
      <c r="C281" s="247" t="s">
        <v>360</v>
      </c>
      <c r="D281" s="247" t="s">
        <v>390</v>
      </c>
      <c r="E281" s="248"/>
      <c r="F281" s="248"/>
      <c r="G281" s="247" t="s">
        <v>127</v>
      </c>
      <c r="H281" s="248" t="s">
        <v>1134</v>
      </c>
      <c r="I281" s="248" t="s">
        <v>105</v>
      </c>
      <c r="J281" s="300" t="s">
        <v>106</v>
      </c>
      <c r="K281" s="314">
        <f t="shared" ref="K281:R281" si="953">-K280</f>
        <v>-9.77</v>
      </c>
      <c r="L281" s="309">
        <f t="shared" si="953"/>
        <v>-13368</v>
      </c>
      <c r="M281" s="315">
        <f t="shared" si="953"/>
        <v>-1.47</v>
      </c>
      <c r="N281" s="252">
        <f t="shared" si="953"/>
        <v>-2011</v>
      </c>
      <c r="O281" s="251">
        <f t="shared" si="953"/>
        <v>-0.78</v>
      </c>
      <c r="P281" s="252">
        <f t="shared" si="953"/>
        <v>-1067</v>
      </c>
      <c r="Q281" s="251">
        <f t="shared" si="953"/>
        <v>-0.69</v>
      </c>
      <c r="R281" s="252">
        <f t="shared" si="953"/>
        <v>-944</v>
      </c>
      <c r="S281" s="253">
        <v>1368.3</v>
      </c>
      <c r="T281" s="254">
        <v>15.0</v>
      </c>
      <c r="U281" s="255" t="s">
        <v>107</v>
      </c>
      <c r="V281" s="255"/>
      <c r="W281" s="304">
        <v>1.6276</v>
      </c>
      <c r="X281" s="304">
        <v>0.770708</v>
      </c>
      <c r="Y281" s="304">
        <v>0.856892</v>
      </c>
      <c r="Z281" s="305">
        <f>-Z280</f>
        <v>-6</v>
      </c>
      <c r="AA281" s="306">
        <f t="shared" si="954"/>
        <v>-9.7656</v>
      </c>
      <c r="AB281" s="307">
        <f t="shared" si="955"/>
        <v>-13362</v>
      </c>
      <c r="AC281" s="308">
        <f t="shared" si="956"/>
        <v>-9.7656</v>
      </c>
      <c r="AD281" s="309">
        <f t="shared" si="927"/>
        <v>-13362</v>
      </c>
      <c r="AE281" s="310">
        <f t="shared" si="928"/>
        <v>-5.14</v>
      </c>
      <c r="AF281" s="252">
        <f t="shared" si="929"/>
        <v>-7033</v>
      </c>
      <c r="AG281" s="306">
        <f t="shared" si="957"/>
        <v>-1.46</v>
      </c>
      <c r="AH281" s="252">
        <f t="shared" si="958"/>
        <v>-2004</v>
      </c>
      <c r="AI281" s="311"/>
      <c r="AJ281" s="311"/>
      <c r="AK281" s="311"/>
      <c r="AL281" s="311"/>
      <c r="AM281" s="312"/>
      <c r="AN281" s="313"/>
    </row>
    <row r="282" ht="12.75" customHeight="1">
      <c r="A282" s="256" t="s">
        <v>817</v>
      </c>
      <c r="B282" s="257" t="s">
        <v>359</v>
      </c>
      <c r="C282" s="258" t="s">
        <v>360</v>
      </c>
      <c r="D282" s="258" t="s">
        <v>390</v>
      </c>
      <c r="E282" s="259"/>
      <c r="F282" s="259"/>
      <c r="G282" s="258" t="s">
        <v>127</v>
      </c>
      <c r="H282" s="259" t="s">
        <v>1135</v>
      </c>
      <c r="I282" s="259" t="s">
        <v>105</v>
      </c>
      <c r="J282" s="316" t="s">
        <v>106</v>
      </c>
      <c r="K282" s="317">
        <f>ROUND(M282/0.15,2)</f>
        <v>4.6</v>
      </c>
      <c r="L282" s="318">
        <f>ROUND(N282/0.15,0)</f>
        <v>6293</v>
      </c>
      <c r="M282" s="319">
        <f t="shared" ref="M282:N282" si="959">Q282</f>
        <v>0.69</v>
      </c>
      <c r="N282" s="261">
        <f t="shared" si="959"/>
        <v>944</v>
      </c>
      <c r="O282" s="262">
        <v>0.78</v>
      </c>
      <c r="P282" s="263">
        <v>1067.0</v>
      </c>
      <c r="Q282" s="260">
        <f t="shared" ref="Q282:R282" si="960">M280-O282</f>
        <v>0.69</v>
      </c>
      <c r="R282" s="261">
        <f t="shared" si="960"/>
        <v>944</v>
      </c>
      <c r="S282" s="264">
        <v>1368.3</v>
      </c>
      <c r="T282" s="265">
        <v>15.0</v>
      </c>
      <c r="U282" s="266" t="s">
        <v>107</v>
      </c>
      <c r="V282" s="266" t="s">
        <v>1136</v>
      </c>
      <c r="W282" s="320">
        <v>1.6276</v>
      </c>
      <c r="X282" s="320">
        <v>0.770708</v>
      </c>
      <c r="Y282" s="320">
        <v>0.856892</v>
      </c>
      <c r="Z282" s="321">
        <f>Z280</f>
        <v>6</v>
      </c>
      <c r="AA282" s="311"/>
      <c r="AB282" s="322"/>
      <c r="AC282" s="323">
        <f>IFERROR(ROUND(Z282*X282,2),0)</f>
        <v>4.62</v>
      </c>
      <c r="AD282" s="318">
        <f t="shared" si="927"/>
        <v>6322</v>
      </c>
      <c r="AE282" s="324">
        <f t="shared" si="928"/>
        <v>5.14</v>
      </c>
      <c r="AF282" s="261">
        <f t="shared" si="929"/>
        <v>7033</v>
      </c>
      <c r="AG282" s="311"/>
      <c r="AH282" s="311"/>
      <c r="AI282" s="325">
        <f>ROUND(AC282*0.15,2)</f>
        <v>0.69</v>
      </c>
      <c r="AJ282" s="261">
        <f>ROUND(AD282*0.15,0)</f>
        <v>948</v>
      </c>
      <c r="AK282" s="325">
        <f>ROUND(AE282*0.15,2)</f>
        <v>0.77</v>
      </c>
      <c r="AL282" s="261">
        <f>ROUND(AF282*0.15,0)</f>
        <v>1055</v>
      </c>
      <c r="AM282" s="326">
        <f>IFERROR(AC282/K282,IFERROR(AK282/O282,""))</f>
        <v>1.004347826</v>
      </c>
      <c r="AN282" s="313"/>
    </row>
    <row r="283" ht="12.75" customHeight="1">
      <c r="A283" s="267" t="s">
        <v>820</v>
      </c>
      <c r="B283" s="268" t="s">
        <v>359</v>
      </c>
      <c r="C283" s="269" t="s">
        <v>360</v>
      </c>
      <c r="D283" s="269" t="s">
        <v>200</v>
      </c>
      <c r="E283" s="270"/>
      <c r="F283" s="270"/>
      <c r="G283" s="269" t="s">
        <v>288</v>
      </c>
      <c r="H283" s="270" t="s">
        <v>1137</v>
      </c>
      <c r="I283" s="270" t="s">
        <v>105</v>
      </c>
      <c r="J283" s="354" t="s">
        <v>106</v>
      </c>
      <c r="K283" s="355">
        <v>4.7</v>
      </c>
      <c r="L283" s="356">
        <v>6492.0</v>
      </c>
      <c r="M283" s="357">
        <v>0.7</v>
      </c>
      <c r="N283" s="272">
        <v>966.0</v>
      </c>
      <c r="O283" s="271">
        <v>0.0</v>
      </c>
      <c r="P283" s="272">
        <v>0.0</v>
      </c>
      <c r="Q283" s="273">
        <f t="shared" ref="Q283:R283" si="961">M283-O283</f>
        <v>0.7</v>
      </c>
      <c r="R283" s="274">
        <f t="shared" si="961"/>
        <v>966</v>
      </c>
      <c r="S283" s="275">
        <v>1381.4</v>
      </c>
      <c r="T283" s="276">
        <v>15.0</v>
      </c>
      <c r="U283" s="277" t="s">
        <v>107</v>
      </c>
      <c r="V283" s="277"/>
      <c r="W283" s="358"/>
      <c r="X283" s="358"/>
      <c r="Y283" s="358"/>
      <c r="Z283" s="358"/>
      <c r="AA283" s="358"/>
      <c r="AB283" s="359"/>
      <c r="AC283" s="360">
        <f t="shared" ref="AC283:AD283" si="962">K283</f>
        <v>4.7</v>
      </c>
      <c r="AD283" s="361">
        <f t="shared" si="962"/>
        <v>6492</v>
      </c>
      <c r="AE283" s="362"/>
      <c r="AF283" s="358"/>
      <c r="AG283" s="358"/>
      <c r="AH283" s="358"/>
      <c r="AI283" s="363">
        <f t="shared" ref="AI283:AJ283" si="963">Q283</f>
        <v>0.7</v>
      </c>
      <c r="AJ283" s="364">
        <f t="shared" si="963"/>
        <v>966</v>
      </c>
      <c r="AK283" s="358"/>
      <c r="AL283" s="358"/>
      <c r="AM283" s="365"/>
      <c r="AN283" s="366"/>
    </row>
    <row r="284" ht="12.75" customHeight="1">
      <c r="A284" s="245" t="s">
        <v>822</v>
      </c>
      <c r="B284" s="246" t="s">
        <v>359</v>
      </c>
      <c r="C284" s="247" t="s">
        <v>360</v>
      </c>
      <c r="D284" s="247" t="s">
        <v>199</v>
      </c>
      <c r="E284" s="248"/>
      <c r="F284" s="248"/>
      <c r="G284" s="247" t="s">
        <v>131</v>
      </c>
      <c r="H284" s="248" t="s">
        <v>1138</v>
      </c>
      <c r="I284" s="248" t="s">
        <v>105</v>
      </c>
      <c r="J284" s="300" t="s">
        <v>106</v>
      </c>
      <c r="K284" s="301">
        <v>5.88</v>
      </c>
      <c r="L284" s="302">
        <v>8096.0</v>
      </c>
      <c r="M284" s="303">
        <v>0.88</v>
      </c>
      <c r="N284" s="250">
        <v>1211.0</v>
      </c>
      <c r="O284" s="249">
        <v>0.85</v>
      </c>
      <c r="P284" s="250">
        <v>1170.0</v>
      </c>
      <c r="Q284" s="251">
        <f t="shared" ref="Q284:R284" si="964">M284-O284</f>
        <v>0.03</v>
      </c>
      <c r="R284" s="252">
        <f t="shared" si="964"/>
        <v>41</v>
      </c>
      <c r="S284" s="253">
        <v>1376.9</v>
      </c>
      <c r="T284" s="254">
        <v>15.0</v>
      </c>
      <c r="U284" s="255" t="s">
        <v>107</v>
      </c>
      <c r="V284" s="255"/>
      <c r="W284" s="304">
        <v>0.7351</v>
      </c>
      <c r="X284" s="304">
        <v>0.021711</v>
      </c>
      <c r="Y284" s="304">
        <v>0.713389</v>
      </c>
      <c r="Z284" s="305">
        <f>IFERROR(ROUND(K284/W284,0),0)</f>
        <v>8</v>
      </c>
      <c r="AA284" s="306">
        <f t="shared" ref="AA284:AA285" si="966">Z284*W284</f>
        <v>5.8808</v>
      </c>
      <c r="AB284" s="307">
        <f t="shared" ref="AB284:AB285" si="967">ROUND(AA284*S284,0)</f>
        <v>8097</v>
      </c>
      <c r="AC284" s="308">
        <f t="shared" ref="AC284:AC285" si="968">AA284</f>
        <v>5.8808</v>
      </c>
      <c r="AD284" s="309">
        <f t="shared" ref="AD284:AD295" si="969">ROUND(AC284*S284,0)</f>
        <v>8097</v>
      </c>
      <c r="AE284" s="310">
        <f t="shared" ref="AE284:AE295" si="970">IFERROR(ROUND(Z284*Y284,2),0)</f>
        <v>5.71</v>
      </c>
      <c r="AF284" s="252">
        <f t="shared" ref="AF284:AF295" si="971">ROUND(AE284*S284,0)</f>
        <v>7862</v>
      </c>
      <c r="AG284" s="306">
        <f t="shared" ref="AG284:AG285" si="972">ROUND(AC284*0.15,2)</f>
        <v>0.88</v>
      </c>
      <c r="AH284" s="252">
        <f t="shared" ref="AH284:AH285" si="973">ROUND(AD284*0.15,0)</f>
        <v>1215</v>
      </c>
      <c r="AI284" s="311"/>
      <c r="AJ284" s="311"/>
      <c r="AK284" s="311"/>
      <c r="AL284" s="311"/>
      <c r="AM284" s="312"/>
      <c r="AN284" s="313"/>
    </row>
    <row r="285" ht="12.75" customHeight="1">
      <c r="A285" s="245" t="s">
        <v>824</v>
      </c>
      <c r="B285" s="246" t="s">
        <v>359</v>
      </c>
      <c r="C285" s="247" t="s">
        <v>360</v>
      </c>
      <c r="D285" s="247" t="s">
        <v>199</v>
      </c>
      <c r="E285" s="248"/>
      <c r="F285" s="248"/>
      <c r="G285" s="247" t="s">
        <v>131</v>
      </c>
      <c r="H285" s="248" t="s">
        <v>1139</v>
      </c>
      <c r="I285" s="248" t="s">
        <v>105</v>
      </c>
      <c r="J285" s="300" t="s">
        <v>106</v>
      </c>
      <c r="K285" s="314">
        <f t="shared" ref="K285:R285" si="965">-K284</f>
        <v>-5.88</v>
      </c>
      <c r="L285" s="309">
        <f t="shared" si="965"/>
        <v>-8096</v>
      </c>
      <c r="M285" s="315">
        <f t="shared" si="965"/>
        <v>-0.88</v>
      </c>
      <c r="N285" s="252">
        <f t="shared" si="965"/>
        <v>-1211</v>
      </c>
      <c r="O285" s="251">
        <f t="shared" si="965"/>
        <v>-0.85</v>
      </c>
      <c r="P285" s="252">
        <f t="shared" si="965"/>
        <v>-1170</v>
      </c>
      <c r="Q285" s="251">
        <f t="shared" si="965"/>
        <v>-0.03</v>
      </c>
      <c r="R285" s="252">
        <f t="shared" si="965"/>
        <v>-41</v>
      </c>
      <c r="S285" s="253">
        <v>1376.9</v>
      </c>
      <c r="T285" s="254">
        <v>15.0</v>
      </c>
      <c r="U285" s="255" t="s">
        <v>107</v>
      </c>
      <c r="V285" s="255"/>
      <c r="W285" s="304">
        <v>0.7351</v>
      </c>
      <c r="X285" s="304">
        <v>0.021711</v>
      </c>
      <c r="Y285" s="304">
        <v>0.713389</v>
      </c>
      <c r="Z285" s="305">
        <f>-Z284</f>
        <v>-8</v>
      </c>
      <c r="AA285" s="306">
        <f t="shared" si="966"/>
        <v>-5.8808</v>
      </c>
      <c r="AB285" s="307">
        <f t="shared" si="967"/>
        <v>-8097</v>
      </c>
      <c r="AC285" s="308">
        <f t="shared" si="968"/>
        <v>-5.8808</v>
      </c>
      <c r="AD285" s="309">
        <f t="shared" si="969"/>
        <v>-8097</v>
      </c>
      <c r="AE285" s="310">
        <f t="shared" si="970"/>
        <v>-5.71</v>
      </c>
      <c r="AF285" s="252">
        <f t="shared" si="971"/>
        <v>-7862</v>
      </c>
      <c r="AG285" s="306">
        <f t="shared" si="972"/>
        <v>-0.88</v>
      </c>
      <c r="AH285" s="252">
        <f t="shared" si="973"/>
        <v>-1215</v>
      </c>
      <c r="AI285" s="311"/>
      <c r="AJ285" s="311"/>
      <c r="AK285" s="311"/>
      <c r="AL285" s="311"/>
      <c r="AM285" s="312"/>
      <c r="AN285" s="313"/>
    </row>
    <row r="286" ht="12.75" customHeight="1">
      <c r="A286" s="256" t="s">
        <v>826</v>
      </c>
      <c r="B286" s="257" t="s">
        <v>359</v>
      </c>
      <c r="C286" s="258" t="s">
        <v>360</v>
      </c>
      <c r="D286" s="258" t="s">
        <v>199</v>
      </c>
      <c r="E286" s="259"/>
      <c r="F286" s="259"/>
      <c r="G286" s="258" t="s">
        <v>131</v>
      </c>
      <c r="H286" s="259" t="s">
        <v>1140</v>
      </c>
      <c r="I286" s="259" t="s">
        <v>105</v>
      </c>
      <c r="J286" s="316" t="s">
        <v>106</v>
      </c>
      <c r="K286" s="317">
        <f>ROUND(M286/0.15,2)</f>
        <v>0.2</v>
      </c>
      <c r="L286" s="318">
        <f>ROUND(N286/0.15,0)</f>
        <v>273</v>
      </c>
      <c r="M286" s="319">
        <f t="shared" ref="M286:N286" si="974">Q286</f>
        <v>0.03</v>
      </c>
      <c r="N286" s="261">
        <f t="shared" si="974"/>
        <v>41</v>
      </c>
      <c r="O286" s="262">
        <v>0.85</v>
      </c>
      <c r="P286" s="263">
        <v>1170.0</v>
      </c>
      <c r="Q286" s="260">
        <f t="shared" ref="Q286:R286" si="975">M284-O286</f>
        <v>0.03</v>
      </c>
      <c r="R286" s="261">
        <f t="shared" si="975"/>
        <v>41</v>
      </c>
      <c r="S286" s="264">
        <v>1376.9</v>
      </c>
      <c r="T286" s="265">
        <v>15.0</v>
      </c>
      <c r="U286" s="266" t="s">
        <v>107</v>
      </c>
      <c r="V286" s="266" t="s">
        <v>1141</v>
      </c>
      <c r="W286" s="320">
        <v>0.7351</v>
      </c>
      <c r="X286" s="320">
        <v>0.021711</v>
      </c>
      <c r="Y286" s="320">
        <v>0.713389</v>
      </c>
      <c r="Z286" s="321">
        <f>Z284</f>
        <v>8</v>
      </c>
      <c r="AA286" s="311"/>
      <c r="AB286" s="322"/>
      <c r="AC286" s="323">
        <f>IFERROR(ROUND(Z286*X286,2),0)</f>
        <v>0.17</v>
      </c>
      <c r="AD286" s="318">
        <f t="shared" si="969"/>
        <v>234</v>
      </c>
      <c r="AE286" s="324">
        <f t="shared" si="970"/>
        <v>5.71</v>
      </c>
      <c r="AF286" s="261">
        <f t="shared" si="971"/>
        <v>7862</v>
      </c>
      <c r="AG286" s="311"/>
      <c r="AH286" s="311"/>
      <c r="AI286" s="325">
        <f>ROUND(AC286*0.15,2)</f>
        <v>0.03</v>
      </c>
      <c r="AJ286" s="261">
        <f>ROUND(AD286*0.15,0)</f>
        <v>35</v>
      </c>
      <c r="AK286" s="325">
        <f>ROUND(AE286*0.15,2)</f>
        <v>0.86</v>
      </c>
      <c r="AL286" s="261">
        <f>ROUND(AF286*0.15,0)</f>
        <v>1179</v>
      </c>
      <c r="AM286" s="326">
        <f>IFERROR(AC286/K286,IFERROR(AK286/O286,""))</f>
        <v>0.85</v>
      </c>
      <c r="AN286" s="313" t="s">
        <v>1055</v>
      </c>
    </row>
    <row r="287" ht="12.75" customHeight="1">
      <c r="A287" s="245" t="s">
        <v>534</v>
      </c>
      <c r="B287" s="246" t="s">
        <v>359</v>
      </c>
      <c r="C287" s="247" t="s">
        <v>360</v>
      </c>
      <c r="D287" s="247" t="s">
        <v>201</v>
      </c>
      <c r="E287" s="248"/>
      <c r="F287" s="248"/>
      <c r="G287" s="247" t="s">
        <v>135</v>
      </c>
      <c r="H287" s="248" t="s">
        <v>1142</v>
      </c>
      <c r="I287" s="248" t="s">
        <v>105</v>
      </c>
      <c r="J287" s="300" t="s">
        <v>106</v>
      </c>
      <c r="K287" s="301">
        <v>8.82</v>
      </c>
      <c r="L287" s="302">
        <v>11985.0</v>
      </c>
      <c r="M287" s="303">
        <v>1.32</v>
      </c>
      <c r="N287" s="250">
        <v>1793.0</v>
      </c>
      <c r="O287" s="249">
        <v>1.32</v>
      </c>
      <c r="P287" s="250">
        <v>1793.0</v>
      </c>
      <c r="Q287" s="251">
        <f t="shared" ref="Q287:R287" si="976">M287-O287</f>
        <v>0</v>
      </c>
      <c r="R287" s="252">
        <f t="shared" si="976"/>
        <v>0</v>
      </c>
      <c r="S287" s="253">
        <v>1358.9</v>
      </c>
      <c r="T287" s="254">
        <v>15.0</v>
      </c>
      <c r="U287" s="255" t="s">
        <v>107</v>
      </c>
      <c r="V287" s="255"/>
      <c r="W287" s="304">
        <v>1.4707</v>
      </c>
      <c r="X287" s="304">
        <v>0.0</v>
      </c>
      <c r="Y287" s="304">
        <v>1.4707</v>
      </c>
      <c r="Z287" s="305">
        <f>IFERROR(ROUND(K287/W287,0),0)</f>
        <v>6</v>
      </c>
      <c r="AA287" s="306">
        <f t="shared" ref="AA287:AA288" si="978">Z287*W287</f>
        <v>8.8242</v>
      </c>
      <c r="AB287" s="307">
        <f t="shared" ref="AB287:AB288" si="979">ROUND(AA287*S287,0)</f>
        <v>11991</v>
      </c>
      <c r="AC287" s="308">
        <f t="shared" ref="AC287:AC288" si="980">AA287</f>
        <v>8.8242</v>
      </c>
      <c r="AD287" s="309">
        <f t="shared" si="969"/>
        <v>11991</v>
      </c>
      <c r="AE287" s="310">
        <f t="shared" si="970"/>
        <v>8.82</v>
      </c>
      <c r="AF287" s="252">
        <f t="shared" si="971"/>
        <v>11985</v>
      </c>
      <c r="AG287" s="306">
        <f t="shared" ref="AG287:AG288" si="981">ROUND(AC287*0.15,2)</f>
        <v>1.32</v>
      </c>
      <c r="AH287" s="252">
        <f t="shared" ref="AH287:AH288" si="982">ROUND(AD287*0.15,0)</f>
        <v>1799</v>
      </c>
      <c r="AI287" s="311"/>
      <c r="AJ287" s="311"/>
      <c r="AK287" s="311"/>
      <c r="AL287" s="311"/>
      <c r="AM287" s="312"/>
      <c r="AN287" s="313"/>
    </row>
    <row r="288" ht="12.75" customHeight="1">
      <c r="A288" s="245" t="s">
        <v>535</v>
      </c>
      <c r="B288" s="246" t="s">
        <v>359</v>
      </c>
      <c r="C288" s="247" t="s">
        <v>360</v>
      </c>
      <c r="D288" s="247" t="s">
        <v>201</v>
      </c>
      <c r="E288" s="248"/>
      <c r="F288" s="248"/>
      <c r="G288" s="247" t="s">
        <v>135</v>
      </c>
      <c r="H288" s="248" t="s">
        <v>1143</v>
      </c>
      <c r="I288" s="248" t="s">
        <v>105</v>
      </c>
      <c r="J288" s="300" t="s">
        <v>106</v>
      </c>
      <c r="K288" s="314">
        <f t="shared" ref="K288:R288" si="977">-K287</f>
        <v>-8.82</v>
      </c>
      <c r="L288" s="309">
        <f t="shared" si="977"/>
        <v>-11985</v>
      </c>
      <c r="M288" s="315">
        <f t="shared" si="977"/>
        <v>-1.32</v>
      </c>
      <c r="N288" s="252">
        <f t="shared" si="977"/>
        <v>-1793</v>
      </c>
      <c r="O288" s="251">
        <f t="shared" si="977"/>
        <v>-1.32</v>
      </c>
      <c r="P288" s="252">
        <f t="shared" si="977"/>
        <v>-1793</v>
      </c>
      <c r="Q288" s="251">
        <f t="shared" si="977"/>
        <v>0</v>
      </c>
      <c r="R288" s="252">
        <f t="shared" si="977"/>
        <v>0</v>
      </c>
      <c r="S288" s="253">
        <v>1358.9</v>
      </c>
      <c r="T288" s="254">
        <v>15.0</v>
      </c>
      <c r="U288" s="255" t="s">
        <v>107</v>
      </c>
      <c r="V288" s="255"/>
      <c r="W288" s="304">
        <v>1.4707</v>
      </c>
      <c r="X288" s="304">
        <v>0.0</v>
      </c>
      <c r="Y288" s="304">
        <v>1.4707</v>
      </c>
      <c r="Z288" s="305">
        <f>-Z287</f>
        <v>-6</v>
      </c>
      <c r="AA288" s="306">
        <f t="shared" si="978"/>
        <v>-8.8242</v>
      </c>
      <c r="AB288" s="307">
        <f t="shared" si="979"/>
        <v>-11991</v>
      </c>
      <c r="AC288" s="308">
        <f t="shared" si="980"/>
        <v>-8.8242</v>
      </c>
      <c r="AD288" s="309">
        <f t="shared" si="969"/>
        <v>-11991</v>
      </c>
      <c r="AE288" s="310">
        <f t="shared" si="970"/>
        <v>-8.82</v>
      </c>
      <c r="AF288" s="252">
        <f t="shared" si="971"/>
        <v>-11985</v>
      </c>
      <c r="AG288" s="306">
        <f t="shared" si="981"/>
        <v>-1.32</v>
      </c>
      <c r="AH288" s="252">
        <f t="shared" si="982"/>
        <v>-1799</v>
      </c>
      <c r="AI288" s="311"/>
      <c r="AJ288" s="311"/>
      <c r="AK288" s="311"/>
      <c r="AL288" s="311"/>
      <c r="AM288" s="312"/>
      <c r="AN288" s="313"/>
    </row>
    <row r="289" ht="12.75" customHeight="1">
      <c r="A289" s="256" t="s">
        <v>536</v>
      </c>
      <c r="B289" s="257" t="s">
        <v>359</v>
      </c>
      <c r="C289" s="258" t="s">
        <v>360</v>
      </c>
      <c r="D289" s="258" t="s">
        <v>201</v>
      </c>
      <c r="E289" s="259"/>
      <c r="F289" s="259"/>
      <c r="G289" s="258" t="s">
        <v>135</v>
      </c>
      <c r="H289" s="259" t="s">
        <v>1144</v>
      </c>
      <c r="I289" s="259" t="s">
        <v>105</v>
      </c>
      <c r="J289" s="316" t="s">
        <v>106</v>
      </c>
      <c r="K289" s="317">
        <f>ROUND(M289/0.15,2)</f>
        <v>0</v>
      </c>
      <c r="L289" s="318">
        <f>ROUND(N289/0.15,0)</f>
        <v>0</v>
      </c>
      <c r="M289" s="319">
        <f t="shared" ref="M289:N289" si="983">Q289</f>
        <v>0</v>
      </c>
      <c r="N289" s="261">
        <f t="shared" si="983"/>
        <v>0</v>
      </c>
      <c r="O289" s="262">
        <v>1.32</v>
      </c>
      <c r="P289" s="263">
        <v>1793.0</v>
      </c>
      <c r="Q289" s="260">
        <f t="shared" ref="Q289:R289" si="984">M287-O289</f>
        <v>0</v>
      </c>
      <c r="R289" s="261">
        <f t="shared" si="984"/>
        <v>0</v>
      </c>
      <c r="S289" s="264">
        <v>1358.9</v>
      </c>
      <c r="T289" s="265">
        <v>15.0</v>
      </c>
      <c r="U289" s="266" t="s">
        <v>107</v>
      </c>
      <c r="V289" s="266" t="s">
        <v>1145</v>
      </c>
      <c r="W289" s="320">
        <v>1.4707</v>
      </c>
      <c r="X289" s="320">
        <v>0.0</v>
      </c>
      <c r="Y289" s="320">
        <v>1.4707</v>
      </c>
      <c r="Z289" s="321">
        <f>Z287</f>
        <v>6</v>
      </c>
      <c r="AA289" s="311"/>
      <c r="AB289" s="322"/>
      <c r="AC289" s="323">
        <f>IFERROR(ROUND(Z289*X289,2),0)</f>
        <v>0</v>
      </c>
      <c r="AD289" s="318">
        <f t="shared" si="969"/>
        <v>0</v>
      </c>
      <c r="AE289" s="324">
        <f t="shared" si="970"/>
        <v>8.82</v>
      </c>
      <c r="AF289" s="261">
        <f t="shared" si="971"/>
        <v>11985</v>
      </c>
      <c r="AG289" s="311"/>
      <c r="AH289" s="311"/>
      <c r="AI289" s="325">
        <f>ROUND(AC289*0.15,2)</f>
        <v>0</v>
      </c>
      <c r="AJ289" s="261">
        <f>ROUND(AD289*0.15,0)</f>
        <v>0</v>
      </c>
      <c r="AK289" s="325">
        <f>ROUND(AE289*0.15,2)</f>
        <v>1.32</v>
      </c>
      <c r="AL289" s="261">
        <f>ROUND(AF289*0.15,0)</f>
        <v>1798</v>
      </c>
      <c r="AM289" s="326">
        <f>IFERROR(AC289/K289,IFERROR(AK289/O289,""))</f>
        <v>1</v>
      </c>
      <c r="AN289" s="313"/>
    </row>
    <row r="290" ht="12.75" customHeight="1">
      <c r="A290" s="245" t="s">
        <v>833</v>
      </c>
      <c r="B290" s="246" t="s">
        <v>359</v>
      </c>
      <c r="C290" s="247" t="s">
        <v>360</v>
      </c>
      <c r="D290" s="247" t="s">
        <v>206</v>
      </c>
      <c r="E290" s="248"/>
      <c r="F290" s="248"/>
      <c r="G290" s="247" t="s">
        <v>139</v>
      </c>
      <c r="H290" s="248" t="s">
        <v>1146</v>
      </c>
      <c r="I290" s="248" t="s">
        <v>105</v>
      </c>
      <c r="J290" s="300" t="s">
        <v>106</v>
      </c>
      <c r="K290" s="301">
        <v>3.63</v>
      </c>
      <c r="L290" s="302">
        <v>4961.0</v>
      </c>
      <c r="M290" s="303">
        <v>0.55</v>
      </c>
      <c r="N290" s="250">
        <v>751.0</v>
      </c>
      <c r="O290" s="249">
        <v>0.4</v>
      </c>
      <c r="P290" s="250">
        <v>546.0</v>
      </c>
      <c r="Q290" s="251">
        <f t="shared" ref="Q290:R290" si="985">M290-O290</f>
        <v>0.15</v>
      </c>
      <c r="R290" s="252">
        <f t="shared" si="985"/>
        <v>205</v>
      </c>
      <c r="S290" s="253">
        <v>1363.6</v>
      </c>
      <c r="T290" s="254">
        <v>15.0</v>
      </c>
      <c r="U290" s="255" t="s">
        <v>107</v>
      </c>
      <c r="V290" s="255"/>
      <c r="W290" s="304">
        <v>0.4028</v>
      </c>
      <c r="X290" s="304">
        <v>0.10888</v>
      </c>
      <c r="Y290" s="304">
        <v>0.29392</v>
      </c>
      <c r="Z290" s="305">
        <f>IFERROR(ROUND(K290/W290,0),0)</f>
        <v>9</v>
      </c>
      <c r="AA290" s="306">
        <f t="shared" ref="AA290:AA291" si="987">Z290*W290</f>
        <v>3.6252</v>
      </c>
      <c r="AB290" s="307">
        <f t="shared" ref="AB290:AB291" si="988">ROUND(AA290*S290,0)</f>
        <v>4943</v>
      </c>
      <c r="AC290" s="308">
        <f t="shared" ref="AC290:AC291" si="989">AA290</f>
        <v>3.6252</v>
      </c>
      <c r="AD290" s="309">
        <f t="shared" si="969"/>
        <v>4943</v>
      </c>
      <c r="AE290" s="310">
        <f t="shared" si="970"/>
        <v>2.65</v>
      </c>
      <c r="AF290" s="252">
        <f t="shared" si="971"/>
        <v>3614</v>
      </c>
      <c r="AG290" s="306">
        <f t="shared" ref="AG290:AG291" si="990">ROUND(AC290*0.15,2)</f>
        <v>0.54</v>
      </c>
      <c r="AH290" s="252">
        <f t="shared" ref="AH290:AH291" si="991">ROUND(AD290*0.15,0)</f>
        <v>741</v>
      </c>
      <c r="AI290" s="311"/>
      <c r="AJ290" s="311"/>
      <c r="AK290" s="311"/>
      <c r="AL290" s="311"/>
      <c r="AM290" s="312"/>
      <c r="AN290" s="313"/>
    </row>
    <row r="291" ht="12.75" customHeight="1">
      <c r="A291" s="245" t="s">
        <v>835</v>
      </c>
      <c r="B291" s="246" t="s">
        <v>359</v>
      </c>
      <c r="C291" s="247" t="s">
        <v>360</v>
      </c>
      <c r="D291" s="247" t="s">
        <v>206</v>
      </c>
      <c r="E291" s="248"/>
      <c r="F291" s="248"/>
      <c r="G291" s="247" t="s">
        <v>139</v>
      </c>
      <c r="H291" s="248" t="s">
        <v>1147</v>
      </c>
      <c r="I291" s="248" t="s">
        <v>105</v>
      </c>
      <c r="J291" s="300" t="s">
        <v>106</v>
      </c>
      <c r="K291" s="314">
        <f t="shared" ref="K291:R291" si="986">-K290</f>
        <v>-3.63</v>
      </c>
      <c r="L291" s="309">
        <f t="shared" si="986"/>
        <v>-4961</v>
      </c>
      <c r="M291" s="315">
        <f t="shared" si="986"/>
        <v>-0.55</v>
      </c>
      <c r="N291" s="252">
        <f t="shared" si="986"/>
        <v>-751</v>
      </c>
      <c r="O291" s="251">
        <f t="shared" si="986"/>
        <v>-0.4</v>
      </c>
      <c r="P291" s="252">
        <f t="shared" si="986"/>
        <v>-546</v>
      </c>
      <c r="Q291" s="251">
        <f t="shared" si="986"/>
        <v>-0.15</v>
      </c>
      <c r="R291" s="252">
        <f t="shared" si="986"/>
        <v>-205</v>
      </c>
      <c r="S291" s="253">
        <v>1363.6</v>
      </c>
      <c r="T291" s="254">
        <v>15.0</v>
      </c>
      <c r="U291" s="255" t="s">
        <v>107</v>
      </c>
      <c r="V291" s="255"/>
      <c r="W291" s="304">
        <v>0.4028</v>
      </c>
      <c r="X291" s="304">
        <v>0.10888</v>
      </c>
      <c r="Y291" s="304">
        <v>0.29392</v>
      </c>
      <c r="Z291" s="305">
        <f>-Z290</f>
        <v>-9</v>
      </c>
      <c r="AA291" s="306">
        <f t="shared" si="987"/>
        <v>-3.6252</v>
      </c>
      <c r="AB291" s="307">
        <f t="shared" si="988"/>
        <v>-4943</v>
      </c>
      <c r="AC291" s="308">
        <f t="shared" si="989"/>
        <v>-3.6252</v>
      </c>
      <c r="AD291" s="309">
        <f t="shared" si="969"/>
        <v>-4943</v>
      </c>
      <c r="AE291" s="310">
        <f t="shared" si="970"/>
        <v>-2.65</v>
      </c>
      <c r="AF291" s="252">
        <f t="shared" si="971"/>
        <v>-3614</v>
      </c>
      <c r="AG291" s="306">
        <f t="shared" si="990"/>
        <v>-0.54</v>
      </c>
      <c r="AH291" s="252">
        <f t="shared" si="991"/>
        <v>-741</v>
      </c>
      <c r="AI291" s="311"/>
      <c r="AJ291" s="311"/>
      <c r="AK291" s="311"/>
      <c r="AL291" s="311"/>
      <c r="AM291" s="312"/>
      <c r="AN291" s="313"/>
    </row>
    <row r="292" ht="12.75" customHeight="1">
      <c r="A292" s="256" t="s">
        <v>837</v>
      </c>
      <c r="B292" s="257" t="s">
        <v>359</v>
      </c>
      <c r="C292" s="258" t="s">
        <v>360</v>
      </c>
      <c r="D292" s="258" t="s">
        <v>206</v>
      </c>
      <c r="E292" s="259"/>
      <c r="F292" s="259"/>
      <c r="G292" s="258" t="s">
        <v>139</v>
      </c>
      <c r="H292" s="259" t="s">
        <v>1148</v>
      </c>
      <c r="I292" s="259" t="s">
        <v>105</v>
      </c>
      <c r="J292" s="316" t="s">
        <v>106</v>
      </c>
      <c r="K292" s="317">
        <f>ROUND(M292/0.15,2)</f>
        <v>1</v>
      </c>
      <c r="L292" s="318">
        <f>ROUND(N292/0.15,0)</f>
        <v>1367</v>
      </c>
      <c r="M292" s="319">
        <f t="shared" ref="M292:N292" si="992">Q292</f>
        <v>0.15</v>
      </c>
      <c r="N292" s="261">
        <f t="shared" si="992"/>
        <v>205</v>
      </c>
      <c r="O292" s="262">
        <v>0.4</v>
      </c>
      <c r="P292" s="263">
        <v>546.0</v>
      </c>
      <c r="Q292" s="260">
        <f t="shared" ref="Q292:R292" si="993">M290-O292</f>
        <v>0.15</v>
      </c>
      <c r="R292" s="261">
        <f t="shared" si="993"/>
        <v>205</v>
      </c>
      <c r="S292" s="264">
        <v>1363.6</v>
      </c>
      <c r="T292" s="265">
        <v>15.0</v>
      </c>
      <c r="U292" s="266" t="s">
        <v>107</v>
      </c>
      <c r="V292" s="266" t="s">
        <v>1149</v>
      </c>
      <c r="W292" s="320">
        <v>0.4028</v>
      </c>
      <c r="X292" s="320">
        <v>0.10888</v>
      </c>
      <c r="Y292" s="320">
        <v>0.29392</v>
      </c>
      <c r="Z292" s="321">
        <f>Z290</f>
        <v>9</v>
      </c>
      <c r="AA292" s="311"/>
      <c r="AB292" s="322"/>
      <c r="AC292" s="323">
        <f>IFERROR(ROUND(Z292*X292,2),0)</f>
        <v>0.98</v>
      </c>
      <c r="AD292" s="318">
        <f t="shared" si="969"/>
        <v>1336</v>
      </c>
      <c r="AE292" s="324">
        <f t="shared" si="970"/>
        <v>2.65</v>
      </c>
      <c r="AF292" s="261">
        <f t="shared" si="971"/>
        <v>3614</v>
      </c>
      <c r="AG292" s="311"/>
      <c r="AH292" s="311"/>
      <c r="AI292" s="325">
        <f>ROUND(AC292*0.15,2)</f>
        <v>0.15</v>
      </c>
      <c r="AJ292" s="261">
        <f>ROUND(AD292*0.15,0)</f>
        <v>200</v>
      </c>
      <c r="AK292" s="325">
        <f>ROUND(AE292*0.15,2)</f>
        <v>0.4</v>
      </c>
      <c r="AL292" s="261">
        <f>ROUND(AF292*0.15,0)</f>
        <v>542</v>
      </c>
      <c r="AM292" s="326">
        <f>IFERROR(AC292/K292,IFERROR(AK292/O292,""))</f>
        <v>0.98</v>
      </c>
      <c r="AN292" s="313"/>
    </row>
    <row r="293" ht="12.75" customHeight="1">
      <c r="A293" s="245" t="s">
        <v>539</v>
      </c>
      <c r="B293" s="246" t="s">
        <v>359</v>
      </c>
      <c r="C293" s="247" t="s">
        <v>360</v>
      </c>
      <c r="D293" s="247" t="s">
        <v>213</v>
      </c>
      <c r="E293" s="248"/>
      <c r="F293" s="248"/>
      <c r="G293" s="247" t="s">
        <v>127</v>
      </c>
      <c r="H293" s="248" t="s">
        <v>1150</v>
      </c>
      <c r="I293" s="248" t="s">
        <v>105</v>
      </c>
      <c r="J293" s="300" t="s">
        <v>106</v>
      </c>
      <c r="K293" s="301">
        <v>4.03</v>
      </c>
      <c r="L293" s="302">
        <v>5518.0</v>
      </c>
      <c r="M293" s="303">
        <v>0.6</v>
      </c>
      <c r="N293" s="250">
        <v>821.0</v>
      </c>
      <c r="O293" s="249">
        <v>0.31</v>
      </c>
      <c r="P293" s="250">
        <v>424.0</v>
      </c>
      <c r="Q293" s="251">
        <f t="shared" ref="Q293:R293" si="994">M293-O293</f>
        <v>0.29</v>
      </c>
      <c r="R293" s="252">
        <f t="shared" si="994"/>
        <v>397</v>
      </c>
      <c r="S293" s="253">
        <v>1369.4</v>
      </c>
      <c r="T293" s="254">
        <v>15.0</v>
      </c>
      <c r="U293" s="255" t="s">
        <v>107</v>
      </c>
      <c r="V293" s="255"/>
      <c r="W293" s="304">
        <v>0.6721</v>
      </c>
      <c r="X293" s="304">
        <v>0.318256</v>
      </c>
      <c r="Y293" s="304">
        <v>0.353844</v>
      </c>
      <c r="Z293" s="305">
        <f>IFERROR(ROUND(K293/W293,0),0)</f>
        <v>6</v>
      </c>
      <c r="AA293" s="306">
        <f t="shared" ref="AA293:AA294" si="996">Z293*W293</f>
        <v>4.0326</v>
      </c>
      <c r="AB293" s="307">
        <f t="shared" ref="AB293:AB294" si="997">ROUND(AA293*S293,0)</f>
        <v>5522</v>
      </c>
      <c r="AC293" s="308">
        <f t="shared" ref="AC293:AC294" si="998">AA293</f>
        <v>4.0326</v>
      </c>
      <c r="AD293" s="309">
        <f t="shared" si="969"/>
        <v>5522</v>
      </c>
      <c r="AE293" s="310">
        <f t="shared" si="970"/>
        <v>2.12</v>
      </c>
      <c r="AF293" s="252">
        <f t="shared" si="971"/>
        <v>2903</v>
      </c>
      <c r="AG293" s="306">
        <f t="shared" ref="AG293:AG294" si="999">ROUND(AC293*0.15,2)</f>
        <v>0.6</v>
      </c>
      <c r="AH293" s="252">
        <f t="shared" ref="AH293:AH294" si="1000">ROUND(AD293*0.15,0)</f>
        <v>828</v>
      </c>
      <c r="AI293" s="311"/>
      <c r="AJ293" s="311"/>
      <c r="AK293" s="311"/>
      <c r="AL293" s="311"/>
      <c r="AM293" s="312"/>
      <c r="AN293" s="313"/>
    </row>
    <row r="294" ht="12.75" customHeight="1">
      <c r="A294" s="245" t="s">
        <v>540</v>
      </c>
      <c r="B294" s="246" t="s">
        <v>359</v>
      </c>
      <c r="C294" s="247" t="s">
        <v>360</v>
      </c>
      <c r="D294" s="247" t="s">
        <v>213</v>
      </c>
      <c r="E294" s="248"/>
      <c r="F294" s="248"/>
      <c r="G294" s="247" t="s">
        <v>127</v>
      </c>
      <c r="H294" s="248" t="s">
        <v>1151</v>
      </c>
      <c r="I294" s="248" t="s">
        <v>105</v>
      </c>
      <c r="J294" s="300" t="s">
        <v>106</v>
      </c>
      <c r="K294" s="314">
        <f t="shared" ref="K294:R294" si="995">-K293</f>
        <v>-4.03</v>
      </c>
      <c r="L294" s="309">
        <f t="shared" si="995"/>
        <v>-5518</v>
      </c>
      <c r="M294" s="315">
        <f t="shared" si="995"/>
        <v>-0.6</v>
      </c>
      <c r="N294" s="252">
        <f t="shared" si="995"/>
        <v>-821</v>
      </c>
      <c r="O294" s="251">
        <f t="shared" si="995"/>
        <v>-0.31</v>
      </c>
      <c r="P294" s="252">
        <f t="shared" si="995"/>
        <v>-424</v>
      </c>
      <c r="Q294" s="251">
        <f t="shared" si="995"/>
        <v>-0.29</v>
      </c>
      <c r="R294" s="252">
        <f t="shared" si="995"/>
        <v>-397</v>
      </c>
      <c r="S294" s="253">
        <v>1369.4</v>
      </c>
      <c r="T294" s="254">
        <v>15.0</v>
      </c>
      <c r="U294" s="255" t="s">
        <v>107</v>
      </c>
      <c r="V294" s="255"/>
      <c r="W294" s="304">
        <v>0.6721</v>
      </c>
      <c r="X294" s="304">
        <v>0.318256</v>
      </c>
      <c r="Y294" s="304">
        <v>0.353844</v>
      </c>
      <c r="Z294" s="305">
        <f>-Z293</f>
        <v>-6</v>
      </c>
      <c r="AA294" s="306">
        <f t="shared" si="996"/>
        <v>-4.0326</v>
      </c>
      <c r="AB294" s="307">
        <f t="shared" si="997"/>
        <v>-5522</v>
      </c>
      <c r="AC294" s="308">
        <f t="shared" si="998"/>
        <v>-4.0326</v>
      </c>
      <c r="AD294" s="309">
        <f t="shared" si="969"/>
        <v>-5522</v>
      </c>
      <c r="AE294" s="310">
        <f t="shared" si="970"/>
        <v>-2.12</v>
      </c>
      <c r="AF294" s="252">
        <f t="shared" si="971"/>
        <v>-2903</v>
      </c>
      <c r="AG294" s="306">
        <f t="shared" si="999"/>
        <v>-0.6</v>
      </c>
      <c r="AH294" s="252">
        <f t="shared" si="1000"/>
        <v>-828</v>
      </c>
      <c r="AI294" s="311"/>
      <c r="AJ294" s="311"/>
      <c r="AK294" s="311"/>
      <c r="AL294" s="311"/>
      <c r="AM294" s="312"/>
      <c r="AN294" s="313"/>
    </row>
    <row r="295" ht="12.75" customHeight="1">
      <c r="A295" s="256" t="s">
        <v>541</v>
      </c>
      <c r="B295" s="257" t="s">
        <v>359</v>
      </c>
      <c r="C295" s="258" t="s">
        <v>360</v>
      </c>
      <c r="D295" s="258" t="s">
        <v>213</v>
      </c>
      <c r="E295" s="259"/>
      <c r="F295" s="259"/>
      <c r="G295" s="258" t="s">
        <v>127</v>
      </c>
      <c r="H295" s="259" t="s">
        <v>1152</v>
      </c>
      <c r="I295" s="259" t="s">
        <v>105</v>
      </c>
      <c r="J295" s="316" t="s">
        <v>106</v>
      </c>
      <c r="K295" s="317">
        <f>ROUND(M295/0.15,2)</f>
        <v>1.93</v>
      </c>
      <c r="L295" s="318">
        <f>ROUND(N295/0.15,0)</f>
        <v>2647</v>
      </c>
      <c r="M295" s="319">
        <f t="shared" ref="M295:N295" si="1001">Q295</f>
        <v>0.29</v>
      </c>
      <c r="N295" s="261">
        <f t="shared" si="1001"/>
        <v>397</v>
      </c>
      <c r="O295" s="262">
        <v>0.31</v>
      </c>
      <c r="P295" s="263">
        <v>424.0</v>
      </c>
      <c r="Q295" s="260">
        <f t="shared" ref="Q295:R295" si="1002">M293-O295</f>
        <v>0.29</v>
      </c>
      <c r="R295" s="261">
        <f t="shared" si="1002"/>
        <v>397</v>
      </c>
      <c r="S295" s="264">
        <v>1369.4</v>
      </c>
      <c r="T295" s="265">
        <v>15.0</v>
      </c>
      <c r="U295" s="266" t="s">
        <v>107</v>
      </c>
      <c r="V295" s="266" t="s">
        <v>1153</v>
      </c>
      <c r="W295" s="320">
        <v>0.6721</v>
      </c>
      <c r="X295" s="320">
        <v>0.318256</v>
      </c>
      <c r="Y295" s="320">
        <v>0.353844</v>
      </c>
      <c r="Z295" s="321">
        <f>Z293</f>
        <v>6</v>
      </c>
      <c r="AA295" s="311"/>
      <c r="AB295" s="322"/>
      <c r="AC295" s="323">
        <f>IFERROR(ROUND(Z295*X295,2),0)</f>
        <v>1.91</v>
      </c>
      <c r="AD295" s="318">
        <f t="shared" si="969"/>
        <v>2616</v>
      </c>
      <c r="AE295" s="324">
        <f t="shared" si="970"/>
        <v>2.12</v>
      </c>
      <c r="AF295" s="261">
        <f t="shared" si="971"/>
        <v>2903</v>
      </c>
      <c r="AG295" s="311"/>
      <c r="AH295" s="311"/>
      <c r="AI295" s="325">
        <f>ROUND(AC295*0.15,2)</f>
        <v>0.29</v>
      </c>
      <c r="AJ295" s="261">
        <f>ROUND(AD295*0.15,0)</f>
        <v>392</v>
      </c>
      <c r="AK295" s="325">
        <f>ROUND(AE295*0.15,2)</f>
        <v>0.32</v>
      </c>
      <c r="AL295" s="261">
        <f>ROUND(AF295*0.15,0)</f>
        <v>435</v>
      </c>
      <c r="AM295" s="326">
        <f>IFERROR(AC295/K295,IFERROR(AK295/O295,""))</f>
        <v>0.9896373057</v>
      </c>
      <c r="AN295" s="313"/>
    </row>
    <row r="296" ht="12.75" customHeight="1">
      <c r="A296" s="267" t="s">
        <v>844</v>
      </c>
      <c r="B296" s="268" t="s">
        <v>359</v>
      </c>
      <c r="C296" s="269" t="s">
        <v>360</v>
      </c>
      <c r="D296" s="269" t="s">
        <v>218</v>
      </c>
      <c r="E296" s="270"/>
      <c r="F296" s="270"/>
      <c r="G296" s="269" t="s">
        <v>288</v>
      </c>
      <c r="H296" s="270" t="s">
        <v>1154</v>
      </c>
      <c r="I296" s="270" t="s">
        <v>105</v>
      </c>
      <c r="J296" s="354" t="s">
        <v>106</v>
      </c>
      <c r="K296" s="355">
        <v>4.88</v>
      </c>
      <c r="L296" s="356">
        <v>6605.0</v>
      </c>
      <c r="M296" s="357">
        <v>0.73</v>
      </c>
      <c r="N296" s="272">
        <v>988.0</v>
      </c>
      <c r="O296" s="271">
        <v>0.0</v>
      </c>
      <c r="P296" s="272">
        <v>0.0</v>
      </c>
      <c r="Q296" s="273">
        <f t="shared" ref="Q296:R296" si="1003">M296-O296</f>
        <v>0.73</v>
      </c>
      <c r="R296" s="274">
        <f t="shared" si="1003"/>
        <v>988</v>
      </c>
      <c r="S296" s="275">
        <v>1353.6</v>
      </c>
      <c r="T296" s="276">
        <v>15.0</v>
      </c>
      <c r="U296" s="277" t="s">
        <v>107</v>
      </c>
      <c r="V296" s="277"/>
      <c r="W296" s="358"/>
      <c r="X296" s="358"/>
      <c r="Y296" s="358"/>
      <c r="Z296" s="358"/>
      <c r="AA296" s="358"/>
      <c r="AB296" s="359"/>
      <c r="AC296" s="360">
        <f t="shared" ref="AC296:AD296" si="1004">K296</f>
        <v>4.88</v>
      </c>
      <c r="AD296" s="361">
        <f t="shared" si="1004"/>
        <v>6605</v>
      </c>
      <c r="AE296" s="362"/>
      <c r="AF296" s="358"/>
      <c r="AG296" s="358"/>
      <c r="AH296" s="358"/>
      <c r="AI296" s="363">
        <f t="shared" ref="AI296:AJ296" si="1005">Q296</f>
        <v>0.73</v>
      </c>
      <c r="AJ296" s="364">
        <f t="shared" si="1005"/>
        <v>988</v>
      </c>
      <c r="AK296" s="358"/>
      <c r="AL296" s="358"/>
      <c r="AM296" s="365"/>
      <c r="AN296" s="366"/>
    </row>
    <row r="297" ht="12.75" customHeight="1">
      <c r="A297" s="245" t="s">
        <v>547</v>
      </c>
      <c r="B297" s="246" t="s">
        <v>359</v>
      </c>
      <c r="C297" s="247" t="s">
        <v>360</v>
      </c>
      <c r="D297" s="247" t="s">
        <v>218</v>
      </c>
      <c r="E297" s="248"/>
      <c r="F297" s="248"/>
      <c r="G297" s="247" t="s">
        <v>131</v>
      </c>
      <c r="H297" s="248" t="s">
        <v>1155</v>
      </c>
      <c r="I297" s="248" t="s">
        <v>105</v>
      </c>
      <c r="J297" s="300" t="s">
        <v>106</v>
      </c>
      <c r="K297" s="301">
        <v>4.28</v>
      </c>
      <c r="L297" s="302">
        <v>5793.0</v>
      </c>
      <c r="M297" s="303">
        <v>0.64</v>
      </c>
      <c r="N297" s="250">
        <v>866.0</v>
      </c>
      <c r="O297" s="249">
        <v>0.62</v>
      </c>
      <c r="P297" s="250">
        <v>839.0</v>
      </c>
      <c r="Q297" s="251">
        <f t="shared" ref="Q297:R297" si="1006">M297-O297</f>
        <v>0.02</v>
      </c>
      <c r="R297" s="252">
        <f t="shared" si="1006"/>
        <v>27</v>
      </c>
      <c r="S297" s="253">
        <v>1353.6</v>
      </c>
      <c r="T297" s="254">
        <v>15.0</v>
      </c>
      <c r="U297" s="255" t="s">
        <v>107</v>
      </c>
      <c r="V297" s="255"/>
      <c r="W297" s="304">
        <v>0.5354</v>
      </c>
      <c r="X297" s="304">
        <v>0.015813</v>
      </c>
      <c r="Y297" s="304">
        <v>0.519587</v>
      </c>
      <c r="Z297" s="305">
        <f>IFERROR(ROUND(K297/W297,0),0)</f>
        <v>8</v>
      </c>
      <c r="AA297" s="306">
        <f t="shared" ref="AA297:AA298" si="1008">Z297*W297</f>
        <v>4.2832</v>
      </c>
      <c r="AB297" s="307">
        <f t="shared" ref="AB297:AB298" si="1009">ROUND(AA297*S297,0)</f>
        <v>5798</v>
      </c>
      <c r="AC297" s="308">
        <f t="shared" ref="AC297:AC298" si="1010">AA297</f>
        <v>4.2832</v>
      </c>
      <c r="AD297" s="309">
        <f t="shared" ref="AD297:AD301" si="1011">ROUND(AC297*S297,0)</f>
        <v>5798</v>
      </c>
      <c r="AE297" s="310">
        <f t="shared" ref="AE297:AE301" si="1012">IFERROR(ROUND(Z297*Y297,2),0)</f>
        <v>4.16</v>
      </c>
      <c r="AF297" s="252">
        <f t="shared" ref="AF297:AF301" si="1013">ROUND(AE297*S297,0)</f>
        <v>5631</v>
      </c>
      <c r="AG297" s="306">
        <f t="shared" ref="AG297:AG298" si="1014">ROUND(AC297*0.15,2)</f>
        <v>0.64</v>
      </c>
      <c r="AH297" s="252">
        <f t="shared" ref="AH297:AH298" si="1015">ROUND(AD297*0.15,0)</f>
        <v>870</v>
      </c>
      <c r="AI297" s="311"/>
      <c r="AJ297" s="311"/>
      <c r="AK297" s="311"/>
      <c r="AL297" s="311"/>
      <c r="AM297" s="312"/>
      <c r="AN297" s="313"/>
    </row>
    <row r="298" ht="12.75" customHeight="1">
      <c r="A298" s="245" t="s">
        <v>548</v>
      </c>
      <c r="B298" s="246" t="s">
        <v>359</v>
      </c>
      <c r="C298" s="247" t="s">
        <v>360</v>
      </c>
      <c r="D298" s="247" t="s">
        <v>218</v>
      </c>
      <c r="E298" s="248"/>
      <c r="F298" s="248"/>
      <c r="G298" s="247" t="s">
        <v>131</v>
      </c>
      <c r="H298" s="248" t="s">
        <v>1156</v>
      </c>
      <c r="I298" s="248" t="s">
        <v>105</v>
      </c>
      <c r="J298" s="300" t="s">
        <v>106</v>
      </c>
      <c r="K298" s="314">
        <f t="shared" ref="K298:R298" si="1007">-K297</f>
        <v>-4.28</v>
      </c>
      <c r="L298" s="309">
        <f t="shared" si="1007"/>
        <v>-5793</v>
      </c>
      <c r="M298" s="315">
        <f t="shared" si="1007"/>
        <v>-0.64</v>
      </c>
      <c r="N298" s="252">
        <f t="shared" si="1007"/>
        <v>-866</v>
      </c>
      <c r="O298" s="251">
        <f t="shared" si="1007"/>
        <v>-0.62</v>
      </c>
      <c r="P298" s="252">
        <f t="shared" si="1007"/>
        <v>-839</v>
      </c>
      <c r="Q298" s="251">
        <f t="shared" si="1007"/>
        <v>-0.02</v>
      </c>
      <c r="R298" s="252">
        <f t="shared" si="1007"/>
        <v>-27</v>
      </c>
      <c r="S298" s="253">
        <v>1353.6</v>
      </c>
      <c r="T298" s="254">
        <v>15.0</v>
      </c>
      <c r="U298" s="255" t="s">
        <v>107</v>
      </c>
      <c r="V298" s="255"/>
      <c r="W298" s="304">
        <v>0.5354</v>
      </c>
      <c r="X298" s="304">
        <v>0.015813</v>
      </c>
      <c r="Y298" s="304">
        <v>0.519587</v>
      </c>
      <c r="Z298" s="305">
        <f>-Z297</f>
        <v>-8</v>
      </c>
      <c r="AA298" s="306">
        <f t="shared" si="1008"/>
        <v>-4.2832</v>
      </c>
      <c r="AB298" s="307">
        <f t="shared" si="1009"/>
        <v>-5798</v>
      </c>
      <c r="AC298" s="308">
        <f t="shared" si="1010"/>
        <v>-4.2832</v>
      </c>
      <c r="AD298" s="309">
        <f t="shared" si="1011"/>
        <v>-5798</v>
      </c>
      <c r="AE298" s="310">
        <f t="shared" si="1012"/>
        <v>-4.16</v>
      </c>
      <c r="AF298" s="252">
        <f t="shared" si="1013"/>
        <v>-5631</v>
      </c>
      <c r="AG298" s="306">
        <f t="shared" si="1014"/>
        <v>-0.64</v>
      </c>
      <c r="AH298" s="252">
        <f t="shared" si="1015"/>
        <v>-870</v>
      </c>
      <c r="AI298" s="311"/>
      <c r="AJ298" s="311"/>
      <c r="AK298" s="311"/>
      <c r="AL298" s="311"/>
      <c r="AM298" s="312"/>
      <c r="AN298" s="313"/>
    </row>
    <row r="299" ht="12.75" customHeight="1">
      <c r="A299" s="256" t="s">
        <v>549</v>
      </c>
      <c r="B299" s="257" t="s">
        <v>359</v>
      </c>
      <c r="C299" s="258" t="s">
        <v>360</v>
      </c>
      <c r="D299" s="258" t="s">
        <v>218</v>
      </c>
      <c r="E299" s="259"/>
      <c r="F299" s="259"/>
      <c r="G299" s="258" t="s">
        <v>131</v>
      </c>
      <c r="H299" s="259" t="s">
        <v>1157</v>
      </c>
      <c r="I299" s="259" t="s">
        <v>105</v>
      </c>
      <c r="J299" s="316" t="s">
        <v>106</v>
      </c>
      <c r="K299" s="317">
        <f>ROUND(M299/0.15,2)</f>
        <v>0.13</v>
      </c>
      <c r="L299" s="318">
        <f>ROUND(N299/0.15,0)</f>
        <v>180</v>
      </c>
      <c r="M299" s="319">
        <f t="shared" ref="M299:N299" si="1016">Q299</f>
        <v>0.02</v>
      </c>
      <c r="N299" s="261">
        <f t="shared" si="1016"/>
        <v>27</v>
      </c>
      <c r="O299" s="262">
        <v>0.62</v>
      </c>
      <c r="P299" s="263">
        <v>839.0</v>
      </c>
      <c r="Q299" s="260">
        <f t="shared" ref="Q299:R299" si="1017">M297-O299</f>
        <v>0.02</v>
      </c>
      <c r="R299" s="261">
        <f t="shared" si="1017"/>
        <v>27</v>
      </c>
      <c r="S299" s="264">
        <v>1353.6</v>
      </c>
      <c r="T299" s="265">
        <v>15.0</v>
      </c>
      <c r="U299" s="266" t="s">
        <v>107</v>
      </c>
      <c r="V299" s="266" t="s">
        <v>1158</v>
      </c>
      <c r="W299" s="320">
        <v>0.5354</v>
      </c>
      <c r="X299" s="320">
        <v>0.015813</v>
      </c>
      <c r="Y299" s="320">
        <v>0.519587</v>
      </c>
      <c r="Z299" s="321">
        <f>Z297</f>
        <v>8</v>
      </c>
      <c r="AA299" s="311"/>
      <c r="AB299" s="322"/>
      <c r="AC299" s="323">
        <f>IFERROR(ROUND(Z299*X299,2),0)</f>
        <v>0.13</v>
      </c>
      <c r="AD299" s="318">
        <f t="shared" si="1011"/>
        <v>176</v>
      </c>
      <c r="AE299" s="324">
        <f t="shared" si="1012"/>
        <v>4.16</v>
      </c>
      <c r="AF299" s="261">
        <f t="shared" si="1013"/>
        <v>5631</v>
      </c>
      <c r="AG299" s="311"/>
      <c r="AH299" s="311"/>
      <c r="AI299" s="325">
        <f>ROUND(AC299*0.15,2)</f>
        <v>0.02</v>
      </c>
      <c r="AJ299" s="261">
        <f>ROUND(AD299*0.15,0)</f>
        <v>26</v>
      </c>
      <c r="AK299" s="325">
        <f>ROUND(AE299*0.15,2)</f>
        <v>0.62</v>
      </c>
      <c r="AL299" s="261">
        <f>ROUND(AF299*0.15,0)</f>
        <v>845</v>
      </c>
      <c r="AM299" s="326">
        <f>IFERROR(AC299/K299,IFERROR(AK299/O299,""))</f>
        <v>1</v>
      </c>
      <c r="AN299" s="313"/>
    </row>
    <row r="300" ht="12.75" customHeight="1">
      <c r="A300" s="245" t="s">
        <v>551</v>
      </c>
      <c r="B300" s="246" t="s">
        <v>359</v>
      </c>
      <c r="C300" s="247" t="s">
        <v>360</v>
      </c>
      <c r="D300" s="247" t="s">
        <v>218</v>
      </c>
      <c r="E300" s="248"/>
      <c r="F300" s="248"/>
      <c r="G300" s="247" t="s">
        <v>377</v>
      </c>
      <c r="H300" s="248" t="s">
        <v>1159</v>
      </c>
      <c r="I300" s="248" t="s">
        <v>105</v>
      </c>
      <c r="J300" s="300" t="s">
        <v>106</v>
      </c>
      <c r="K300" s="301">
        <v>0.44</v>
      </c>
      <c r="L300" s="302">
        <v>595.0</v>
      </c>
      <c r="M300" s="303">
        <v>0.07</v>
      </c>
      <c r="N300" s="250">
        <v>94.0</v>
      </c>
      <c r="O300" s="249">
        <v>0.05</v>
      </c>
      <c r="P300" s="250">
        <v>67.0</v>
      </c>
      <c r="Q300" s="251">
        <f t="shared" ref="Q300:R300" si="1018">M300-O300</f>
        <v>0.02</v>
      </c>
      <c r="R300" s="252">
        <f t="shared" si="1018"/>
        <v>27</v>
      </c>
      <c r="S300" s="253">
        <v>1353.6</v>
      </c>
      <c r="T300" s="254">
        <v>15.0</v>
      </c>
      <c r="U300" s="255" t="s">
        <v>107</v>
      </c>
      <c r="V300" s="255"/>
      <c r="W300" s="304">
        <v>0.085544</v>
      </c>
      <c r="X300" s="304">
        <v>0.085544</v>
      </c>
      <c r="Y300" s="304">
        <v>0.0</v>
      </c>
      <c r="Z300" s="305">
        <f>IFERROR(ROUND(K300/W300,0),0)</f>
        <v>5</v>
      </c>
      <c r="AA300" s="306">
        <f t="shared" ref="AA300:AA301" si="1020">Z300*W300</f>
        <v>0.42772</v>
      </c>
      <c r="AB300" s="307">
        <f t="shared" ref="AB300:AB301" si="1021">ROUND(AA300*S300,0)</f>
        <v>579</v>
      </c>
      <c r="AC300" s="308">
        <f t="shared" ref="AC300:AC301" si="1022">AA300</f>
        <v>0.42772</v>
      </c>
      <c r="AD300" s="309">
        <f t="shared" si="1011"/>
        <v>579</v>
      </c>
      <c r="AE300" s="310">
        <f t="shared" si="1012"/>
        <v>0</v>
      </c>
      <c r="AF300" s="252">
        <f t="shared" si="1013"/>
        <v>0</v>
      </c>
      <c r="AG300" s="306">
        <f t="shared" ref="AG300:AG301" si="1023">ROUND(AC300*0.15,2)</f>
        <v>0.06</v>
      </c>
      <c r="AH300" s="252">
        <f t="shared" ref="AH300:AH301" si="1024">ROUND(AD300*0.15,0)</f>
        <v>87</v>
      </c>
      <c r="AI300" s="311"/>
      <c r="AJ300" s="311"/>
      <c r="AK300" s="311"/>
      <c r="AL300" s="311"/>
      <c r="AM300" s="312"/>
      <c r="AN300" s="313"/>
    </row>
    <row r="301" ht="12.75" customHeight="1">
      <c r="A301" s="245" t="s">
        <v>552</v>
      </c>
      <c r="B301" s="246" t="s">
        <v>359</v>
      </c>
      <c r="C301" s="247" t="s">
        <v>360</v>
      </c>
      <c r="D301" s="247" t="s">
        <v>218</v>
      </c>
      <c r="E301" s="248"/>
      <c r="F301" s="248"/>
      <c r="G301" s="247" t="s">
        <v>377</v>
      </c>
      <c r="H301" s="248" t="s">
        <v>1160</v>
      </c>
      <c r="I301" s="248" t="s">
        <v>105</v>
      </c>
      <c r="J301" s="300" t="s">
        <v>106</v>
      </c>
      <c r="K301" s="314">
        <f t="shared" ref="K301:R301" si="1019">-K300</f>
        <v>-0.44</v>
      </c>
      <c r="L301" s="309">
        <f t="shared" si="1019"/>
        <v>-595</v>
      </c>
      <c r="M301" s="315">
        <f t="shared" si="1019"/>
        <v>-0.07</v>
      </c>
      <c r="N301" s="252">
        <f t="shared" si="1019"/>
        <v>-94</v>
      </c>
      <c r="O301" s="251">
        <f t="shared" si="1019"/>
        <v>-0.05</v>
      </c>
      <c r="P301" s="252">
        <f t="shared" si="1019"/>
        <v>-67</v>
      </c>
      <c r="Q301" s="251">
        <f t="shared" si="1019"/>
        <v>-0.02</v>
      </c>
      <c r="R301" s="252">
        <f t="shared" si="1019"/>
        <v>-27</v>
      </c>
      <c r="S301" s="253">
        <v>1353.6</v>
      </c>
      <c r="T301" s="254">
        <v>15.0</v>
      </c>
      <c r="U301" s="255" t="s">
        <v>107</v>
      </c>
      <c r="V301" s="255"/>
      <c r="W301" s="304">
        <v>0.085544</v>
      </c>
      <c r="X301" s="304">
        <v>0.085544</v>
      </c>
      <c r="Y301" s="304">
        <v>0.0</v>
      </c>
      <c r="Z301" s="305">
        <f>-Z300</f>
        <v>-5</v>
      </c>
      <c r="AA301" s="306">
        <f t="shared" si="1020"/>
        <v>-0.42772</v>
      </c>
      <c r="AB301" s="307">
        <f t="shared" si="1021"/>
        <v>-579</v>
      </c>
      <c r="AC301" s="308">
        <f t="shared" si="1022"/>
        <v>-0.42772</v>
      </c>
      <c r="AD301" s="309">
        <f t="shared" si="1011"/>
        <v>-579</v>
      </c>
      <c r="AE301" s="310">
        <f t="shared" si="1012"/>
        <v>0</v>
      </c>
      <c r="AF301" s="252">
        <f t="shared" si="1013"/>
        <v>0</v>
      </c>
      <c r="AG301" s="306">
        <f t="shared" si="1023"/>
        <v>-0.06</v>
      </c>
      <c r="AH301" s="252">
        <f t="shared" si="1024"/>
        <v>-87</v>
      </c>
      <c r="AI301" s="311"/>
      <c r="AJ301" s="311"/>
      <c r="AK301" s="311"/>
      <c r="AL301" s="311"/>
      <c r="AM301" s="312"/>
      <c r="AN301" s="313"/>
    </row>
    <row r="302" ht="12.75" customHeight="1">
      <c r="A302" s="327" t="s">
        <v>553</v>
      </c>
      <c r="B302" s="328" t="s">
        <v>359</v>
      </c>
      <c r="C302" s="329" t="s">
        <v>360</v>
      </c>
      <c r="D302" s="329" t="s">
        <v>218</v>
      </c>
      <c r="E302" s="330"/>
      <c r="F302" s="330"/>
      <c r="G302" s="329" t="s">
        <v>377</v>
      </c>
      <c r="H302" s="330" t="s">
        <v>1161</v>
      </c>
      <c r="I302" s="330" t="s">
        <v>105</v>
      </c>
      <c r="J302" s="331" t="s">
        <v>106</v>
      </c>
      <c r="K302" s="332">
        <f>ROUND(M302/0.15,2)</f>
        <v>0.13</v>
      </c>
      <c r="L302" s="333">
        <f>ROUND(N302/0.15,0)</f>
        <v>180</v>
      </c>
      <c r="M302" s="334">
        <f t="shared" ref="M302:N302" si="1025">Q302</f>
        <v>0.02</v>
      </c>
      <c r="N302" s="335">
        <f t="shared" si="1025"/>
        <v>27</v>
      </c>
      <c r="O302" s="336">
        <v>0.05</v>
      </c>
      <c r="P302" s="337">
        <v>67.0</v>
      </c>
      <c r="Q302" s="338">
        <f t="shared" ref="Q302:R302" si="1026">M300-O302</f>
        <v>0.02</v>
      </c>
      <c r="R302" s="335">
        <f t="shared" si="1026"/>
        <v>27</v>
      </c>
      <c r="S302" s="339">
        <v>1353.6</v>
      </c>
      <c r="T302" s="340">
        <v>15.0</v>
      </c>
      <c r="U302" s="341" t="s">
        <v>107</v>
      </c>
      <c r="V302" s="341" t="s">
        <v>1162</v>
      </c>
      <c r="W302" s="342">
        <v>0.085544</v>
      </c>
      <c r="X302" s="342">
        <v>0.085544</v>
      </c>
      <c r="Y302" s="342">
        <v>0.0</v>
      </c>
      <c r="Z302" s="343">
        <f>Z300</f>
        <v>5</v>
      </c>
      <c r="AA302" s="344"/>
      <c r="AB302" s="345"/>
      <c r="AC302" s="346">
        <f t="shared" ref="AC302:AD302" si="1027">K302</f>
        <v>0.13</v>
      </c>
      <c r="AD302" s="347">
        <f t="shared" si="1027"/>
        <v>180</v>
      </c>
      <c r="AE302" s="348">
        <f t="shared" ref="AE302:AF302" si="1028">round(AK302/0.15,2)</f>
        <v>0.33</v>
      </c>
      <c r="AF302" s="348">
        <f t="shared" si="1028"/>
        <v>446.67</v>
      </c>
      <c r="AG302" s="349"/>
      <c r="AH302" s="349"/>
      <c r="AI302" s="350">
        <f>ROUND(AC302*0.15,2)</f>
        <v>0.02</v>
      </c>
      <c r="AJ302" s="351">
        <f>ROUND(AD302*0.15,0)</f>
        <v>27</v>
      </c>
      <c r="AK302" s="350">
        <f t="shared" ref="AK302:AL302" si="1029">O302</f>
        <v>0.05</v>
      </c>
      <c r="AL302" s="350">
        <f t="shared" si="1029"/>
        <v>67</v>
      </c>
      <c r="AM302" s="352">
        <f>IFERROR(AC302/K302,IFERROR(AK302/O302,""))</f>
        <v>1</v>
      </c>
      <c r="AN302" s="353" t="s">
        <v>983</v>
      </c>
    </row>
    <row r="303" ht="12.75" customHeight="1">
      <c r="A303" s="267" t="s">
        <v>854</v>
      </c>
      <c r="B303" s="268" t="s">
        <v>359</v>
      </c>
      <c r="C303" s="269" t="s">
        <v>360</v>
      </c>
      <c r="D303" s="269" t="s">
        <v>400</v>
      </c>
      <c r="E303" s="270"/>
      <c r="F303" s="270"/>
      <c r="G303" s="269" t="s">
        <v>379</v>
      </c>
      <c r="H303" s="270" t="s">
        <v>1163</v>
      </c>
      <c r="I303" s="270" t="s">
        <v>105</v>
      </c>
      <c r="J303" s="354" t="s">
        <v>106</v>
      </c>
      <c r="K303" s="355">
        <v>7.17</v>
      </c>
      <c r="L303" s="356">
        <v>9698.0</v>
      </c>
      <c r="M303" s="357">
        <v>1.08</v>
      </c>
      <c r="N303" s="272">
        <v>1460.0</v>
      </c>
      <c r="O303" s="271">
        <v>0.0</v>
      </c>
      <c r="P303" s="272">
        <v>0.0</v>
      </c>
      <c r="Q303" s="273">
        <f t="shared" ref="Q303:R303" si="1030">M303-O303</f>
        <v>1.08</v>
      </c>
      <c r="R303" s="274">
        <f t="shared" si="1030"/>
        <v>1460</v>
      </c>
      <c r="S303" s="275">
        <v>1352.6</v>
      </c>
      <c r="T303" s="276">
        <v>15.0</v>
      </c>
      <c r="U303" s="277" t="s">
        <v>107</v>
      </c>
      <c r="V303" s="277"/>
      <c r="W303" s="358"/>
      <c r="X303" s="358"/>
      <c r="Y303" s="358"/>
      <c r="Z303" s="358"/>
      <c r="AA303" s="358"/>
      <c r="AB303" s="359"/>
      <c r="AC303" s="360">
        <f t="shared" ref="AC303:AD303" si="1031">K303</f>
        <v>7.17</v>
      </c>
      <c r="AD303" s="361">
        <f t="shared" si="1031"/>
        <v>9698</v>
      </c>
      <c r="AE303" s="362"/>
      <c r="AF303" s="358"/>
      <c r="AG303" s="358"/>
      <c r="AH303" s="358"/>
      <c r="AI303" s="363">
        <f t="shared" ref="AI303:AJ303" si="1032">Q303</f>
        <v>1.08</v>
      </c>
      <c r="AJ303" s="364">
        <f t="shared" si="1032"/>
        <v>1460</v>
      </c>
      <c r="AK303" s="358"/>
      <c r="AL303" s="358"/>
      <c r="AM303" s="365"/>
      <c r="AN303" s="366"/>
    </row>
    <row r="304" ht="12.75" customHeight="1">
      <c r="A304" s="245" t="s">
        <v>856</v>
      </c>
      <c r="B304" s="246" t="s">
        <v>359</v>
      </c>
      <c r="C304" s="247" t="s">
        <v>360</v>
      </c>
      <c r="D304" s="247" t="s">
        <v>226</v>
      </c>
      <c r="E304" s="248"/>
      <c r="F304" s="248"/>
      <c r="G304" s="247" t="s">
        <v>135</v>
      </c>
      <c r="H304" s="248" t="s">
        <v>1164</v>
      </c>
      <c r="I304" s="248" t="s">
        <v>105</v>
      </c>
      <c r="J304" s="300" t="s">
        <v>106</v>
      </c>
      <c r="K304" s="301">
        <v>7.43</v>
      </c>
      <c r="L304" s="302">
        <v>10153.0</v>
      </c>
      <c r="M304" s="303">
        <v>1.11</v>
      </c>
      <c r="N304" s="250">
        <v>1516.0</v>
      </c>
      <c r="O304" s="249">
        <v>1.11</v>
      </c>
      <c r="P304" s="250">
        <v>1516.0</v>
      </c>
      <c r="Q304" s="251">
        <f t="shared" ref="Q304:R304" si="1033">M304-O304</f>
        <v>0</v>
      </c>
      <c r="R304" s="252">
        <f t="shared" si="1033"/>
        <v>0</v>
      </c>
      <c r="S304" s="253">
        <v>1366.6</v>
      </c>
      <c r="T304" s="254">
        <v>15.0</v>
      </c>
      <c r="U304" s="255" t="s">
        <v>107</v>
      </c>
      <c r="V304" s="255"/>
      <c r="W304" s="304">
        <v>1.2382</v>
      </c>
      <c r="X304" s="304">
        <v>0.0</v>
      </c>
      <c r="Y304" s="304">
        <v>1.2382</v>
      </c>
      <c r="Z304" s="305">
        <f>IFERROR(ROUND(K304/W304,0),0)</f>
        <v>6</v>
      </c>
      <c r="AA304" s="306">
        <f t="shared" ref="AA304:AA305" si="1035">Z304*W304</f>
        <v>7.4292</v>
      </c>
      <c r="AB304" s="307">
        <f t="shared" ref="AB304:AB305" si="1036">ROUND(AA304*S304,0)</f>
        <v>10153</v>
      </c>
      <c r="AC304" s="308">
        <f t="shared" ref="AC304:AC305" si="1037">AA304</f>
        <v>7.4292</v>
      </c>
      <c r="AD304" s="309">
        <f t="shared" ref="AD304:AD332" si="1038">ROUND(AC304*S304,0)</f>
        <v>10153</v>
      </c>
      <c r="AE304" s="310">
        <f t="shared" ref="AE304:AE332" si="1039">IFERROR(ROUND(Z304*Y304,2),0)</f>
        <v>7.43</v>
      </c>
      <c r="AF304" s="252">
        <f t="shared" ref="AF304:AF332" si="1040">ROUND(AE304*S304,0)</f>
        <v>10154</v>
      </c>
      <c r="AG304" s="306">
        <f t="shared" ref="AG304:AG305" si="1041">ROUND(AC304*0.15,2)</f>
        <v>1.11</v>
      </c>
      <c r="AH304" s="252">
        <f t="shared" ref="AH304:AH305" si="1042">ROUND(AD304*0.15,0)</f>
        <v>1523</v>
      </c>
      <c r="AI304" s="311"/>
      <c r="AJ304" s="311"/>
      <c r="AK304" s="311"/>
      <c r="AL304" s="311"/>
      <c r="AM304" s="312"/>
      <c r="AN304" s="313"/>
    </row>
    <row r="305" ht="12.75" customHeight="1">
      <c r="A305" s="245" t="s">
        <v>858</v>
      </c>
      <c r="B305" s="246" t="s">
        <v>359</v>
      </c>
      <c r="C305" s="247" t="s">
        <v>360</v>
      </c>
      <c r="D305" s="247" t="s">
        <v>226</v>
      </c>
      <c r="E305" s="248"/>
      <c r="F305" s="248"/>
      <c r="G305" s="247" t="s">
        <v>135</v>
      </c>
      <c r="H305" s="248" t="s">
        <v>1165</v>
      </c>
      <c r="I305" s="248" t="s">
        <v>105</v>
      </c>
      <c r="J305" s="300" t="s">
        <v>106</v>
      </c>
      <c r="K305" s="314">
        <f t="shared" ref="K305:R305" si="1034">-K304</f>
        <v>-7.43</v>
      </c>
      <c r="L305" s="309">
        <f t="shared" si="1034"/>
        <v>-10153</v>
      </c>
      <c r="M305" s="315">
        <f t="shared" si="1034"/>
        <v>-1.11</v>
      </c>
      <c r="N305" s="252">
        <f t="shared" si="1034"/>
        <v>-1516</v>
      </c>
      <c r="O305" s="251">
        <f t="shared" si="1034"/>
        <v>-1.11</v>
      </c>
      <c r="P305" s="252">
        <f t="shared" si="1034"/>
        <v>-1516</v>
      </c>
      <c r="Q305" s="251">
        <f t="shared" si="1034"/>
        <v>0</v>
      </c>
      <c r="R305" s="252">
        <f t="shared" si="1034"/>
        <v>0</v>
      </c>
      <c r="S305" s="253">
        <v>1366.6</v>
      </c>
      <c r="T305" s="254">
        <v>15.0</v>
      </c>
      <c r="U305" s="255" t="s">
        <v>107</v>
      </c>
      <c r="V305" s="255"/>
      <c r="W305" s="304">
        <v>1.2382</v>
      </c>
      <c r="X305" s="304">
        <v>0.0</v>
      </c>
      <c r="Y305" s="304">
        <v>1.2382</v>
      </c>
      <c r="Z305" s="305">
        <f>-Z304</f>
        <v>-6</v>
      </c>
      <c r="AA305" s="306">
        <f t="shared" si="1035"/>
        <v>-7.4292</v>
      </c>
      <c r="AB305" s="307">
        <f t="shared" si="1036"/>
        <v>-10153</v>
      </c>
      <c r="AC305" s="308">
        <f t="shared" si="1037"/>
        <v>-7.4292</v>
      </c>
      <c r="AD305" s="309">
        <f t="shared" si="1038"/>
        <v>-10153</v>
      </c>
      <c r="AE305" s="310">
        <f t="shared" si="1039"/>
        <v>-7.43</v>
      </c>
      <c r="AF305" s="252">
        <f t="shared" si="1040"/>
        <v>-10154</v>
      </c>
      <c r="AG305" s="306">
        <f t="shared" si="1041"/>
        <v>-1.11</v>
      </c>
      <c r="AH305" s="252">
        <f t="shared" si="1042"/>
        <v>-1523</v>
      </c>
      <c r="AI305" s="311"/>
      <c r="AJ305" s="311"/>
      <c r="AK305" s="311"/>
      <c r="AL305" s="311"/>
      <c r="AM305" s="312"/>
      <c r="AN305" s="313"/>
    </row>
    <row r="306" ht="12.75" customHeight="1">
      <c r="A306" s="256" t="s">
        <v>860</v>
      </c>
      <c r="B306" s="257" t="s">
        <v>359</v>
      </c>
      <c r="C306" s="258" t="s">
        <v>360</v>
      </c>
      <c r="D306" s="258" t="s">
        <v>226</v>
      </c>
      <c r="E306" s="259"/>
      <c r="F306" s="259"/>
      <c r="G306" s="258" t="s">
        <v>135</v>
      </c>
      <c r="H306" s="259" t="s">
        <v>1166</v>
      </c>
      <c r="I306" s="259" t="s">
        <v>105</v>
      </c>
      <c r="J306" s="316" t="s">
        <v>106</v>
      </c>
      <c r="K306" s="317">
        <f>ROUND(M306/0.15,2)</f>
        <v>0</v>
      </c>
      <c r="L306" s="318">
        <f>ROUND(N306/0.15,0)</f>
        <v>0</v>
      </c>
      <c r="M306" s="319">
        <f t="shared" ref="M306:N306" si="1043">Q306</f>
        <v>0</v>
      </c>
      <c r="N306" s="261">
        <f t="shared" si="1043"/>
        <v>0</v>
      </c>
      <c r="O306" s="262">
        <v>1.11</v>
      </c>
      <c r="P306" s="263">
        <v>1516.0</v>
      </c>
      <c r="Q306" s="260">
        <f t="shared" ref="Q306:R306" si="1044">M304-O306</f>
        <v>0</v>
      </c>
      <c r="R306" s="261">
        <f t="shared" si="1044"/>
        <v>0</v>
      </c>
      <c r="S306" s="264">
        <v>1366.6</v>
      </c>
      <c r="T306" s="265">
        <v>15.0</v>
      </c>
      <c r="U306" s="266" t="s">
        <v>107</v>
      </c>
      <c r="V306" s="266" t="s">
        <v>1167</v>
      </c>
      <c r="W306" s="320">
        <v>1.2382</v>
      </c>
      <c r="X306" s="320">
        <v>0.0</v>
      </c>
      <c r="Y306" s="320">
        <v>1.2382</v>
      </c>
      <c r="Z306" s="321">
        <f>Z304</f>
        <v>6</v>
      </c>
      <c r="AA306" s="311"/>
      <c r="AB306" s="322"/>
      <c r="AC306" s="323">
        <f>IFERROR(ROUND(Z306*X306,2),0)</f>
        <v>0</v>
      </c>
      <c r="AD306" s="318">
        <f t="shared" si="1038"/>
        <v>0</v>
      </c>
      <c r="AE306" s="324">
        <f t="shared" si="1039"/>
        <v>7.43</v>
      </c>
      <c r="AF306" s="261">
        <f t="shared" si="1040"/>
        <v>10154</v>
      </c>
      <c r="AG306" s="311"/>
      <c r="AH306" s="311"/>
      <c r="AI306" s="325">
        <f>ROUND(AC306*0.15,2)</f>
        <v>0</v>
      </c>
      <c r="AJ306" s="261">
        <f>ROUND(AD306*0.15,0)</f>
        <v>0</v>
      </c>
      <c r="AK306" s="325">
        <f>ROUND(AE306*0.15,2)</f>
        <v>1.11</v>
      </c>
      <c r="AL306" s="261">
        <f>ROUND(AF306*0.15,0)</f>
        <v>1523</v>
      </c>
      <c r="AM306" s="326">
        <f>IFERROR(AC306/K306,IFERROR(AK306/O306,""))</f>
        <v>1</v>
      </c>
      <c r="AN306" s="313"/>
    </row>
    <row r="307" ht="12.75" customHeight="1">
      <c r="A307" s="245" t="s">
        <v>863</v>
      </c>
      <c r="B307" s="246" t="s">
        <v>359</v>
      </c>
      <c r="C307" s="247" t="s">
        <v>360</v>
      </c>
      <c r="D307" s="247" t="s">
        <v>232</v>
      </c>
      <c r="E307" s="248"/>
      <c r="F307" s="248"/>
      <c r="G307" s="247" t="s">
        <v>139</v>
      </c>
      <c r="H307" s="248" t="s">
        <v>1168</v>
      </c>
      <c r="I307" s="248" t="s">
        <v>105</v>
      </c>
      <c r="J307" s="300" t="s">
        <v>106</v>
      </c>
      <c r="K307" s="301">
        <v>3.49</v>
      </c>
      <c r="L307" s="302">
        <v>4797.0</v>
      </c>
      <c r="M307" s="303">
        <v>0.52</v>
      </c>
      <c r="N307" s="250">
        <v>714.0</v>
      </c>
      <c r="O307" s="249">
        <v>0.38</v>
      </c>
      <c r="P307" s="250">
        <v>522.0</v>
      </c>
      <c r="Q307" s="251">
        <f t="shared" ref="Q307:R307" si="1045">M307-O307</f>
        <v>0.14</v>
      </c>
      <c r="R307" s="252">
        <f t="shared" si="1045"/>
        <v>192</v>
      </c>
      <c r="S307" s="253">
        <v>1374.7</v>
      </c>
      <c r="T307" s="254">
        <v>15.0</v>
      </c>
      <c r="U307" s="255" t="s">
        <v>107</v>
      </c>
      <c r="V307" s="255"/>
      <c r="W307" s="304">
        <v>0.3873</v>
      </c>
      <c r="X307" s="304">
        <v>0.10469</v>
      </c>
      <c r="Y307" s="304">
        <v>0.28261</v>
      </c>
      <c r="Z307" s="305">
        <f>IFERROR(ROUND(K307/W307,0),0)</f>
        <v>9</v>
      </c>
      <c r="AA307" s="306">
        <f t="shared" ref="AA307:AA308" si="1047">Z307*W307</f>
        <v>3.4857</v>
      </c>
      <c r="AB307" s="307">
        <f t="shared" ref="AB307:AB308" si="1048">ROUND(AA307*S307,0)</f>
        <v>4792</v>
      </c>
      <c r="AC307" s="308">
        <f t="shared" ref="AC307:AC308" si="1049">AA307</f>
        <v>3.4857</v>
      </c>
      <c r="AD307" s="309">
        <f t="shared" si="1038"/>
        <v>4792</v>
      </c>
      <c r="AE307" s="310">
        <f t="shared" si="1039"/>
        <v>2.54</v>
      </c>
      <c r="AF307" s="252">
        <f t="shared" si="1040"/>
        <v>3492</v>
      </c>
      <c r="AG307" s="306">
        <f t="shared" ref="AG307:AG308" si="1050">ROUND(AC307*0.15,2)</f>
        <v>0.52</v>
      </c>
      <c r="AH307" s="252">
        <f t="shared" ref="AH307:AH308" si="1051">ROUND(AD307*0.15,0)</f>
        <v>719</v>
      </c>
      <c r="AI307" s="311"/>
      <c r="AJ307" s="311"/>
      <c r="AK307" s="311"/>
      <c r="AL307" s="311"/>
      <c r="AM307" s="312"/>
      <c r="AN307" s="313"/>
    </row>
    <row r="308" ht="12.75" customHeight="1">
      <c r="A308" s="245" t="s">
        <v>865</v>
      </c>
      <c r="B308" s="246" t="s">
        <v>359</v>
      </c>
      <c r="C308" s="247" t="s">
        <v>360</v>
      </c>
      <c r="D308" s="247" t="s">
        <v>232</v>
      </c>
      <c r="E308" s="248"/>
      <c r="F308" s="248"/>
      <c r="G308" s="247" t="s">
        <v>139</v>
      </c>
      <c r="H308" s="248" t="s">
        <v>1169</v>
      </c>
      <c r="I308" s="248" t="s">
        <v>105</v>
      </c>
      <c r="J308" s="300" t="s">
        <v>106</v>
      </c>
      <c r="K308" s="314">
        <f t="shared" ref="K308:R308" si="1046">-K307</f>
        <v>-3.49</v>
      </c>
      <c r="L308" s="309">
        <f t="shared" si="1046"/>
        <v>-4797</v>
      </c>
      <c r="M308" s="315">
        <f t="shared" si="1046"/>
        <v>-0.52</v>
      </c>
      <c r="N308" s="252">
        <f t="shared" si="1046"/>
        <v>-714</v>
      </c>
      <c r="O308" s="251">
        <f t="shared" si="1046"/>
        <v>-0.38</v>
      </c>
      <c r="P308" s="252">
        <f t="shared" si="1046"/>
        <v>-522</v>
      </c>
      <c r="Q308" s="251">
        <f t="shared" si="1046"/>
        <v>-0.14</v>
      </c>
      <c r="R308" s="252">
        <f t="shared" si="1046"/>
        <v>-192</v>
      </c>
      <c r="S308" s="253">
        <v>1374.7</v>
      </c>
      <c r="T308" s="254">
        <v>15.0</v>
      </c>
      <c r="U308" s="255" t="s">
        <v>107</v>
      </c>
      <c r="V308" s="255"/>
      <c r="W308" s="304">
        <v>0.3873</v>
      </c>
      <c r="X308" s="304">
        <v>0.10469</v>
      </c>
      <c r="Y308" s="304">
        <v>0.28261</v>
      </c>
      <c r="Z308" s="305">
        <f>-Z307</f>
        <v>-9</v>
      </c>
      <c r="AA308" s="306">
        <f t="shared" si="1047"/>
        <v>-3.4857</v>
      </c>
      <c r="AB308" s="307">
        <f t="shared" si="1048"/>
        <v>-4792</v>
      </c>
      <c r="AC308" s="308">
        <f t="shared" si="1049"/>
        <v>-3.4857</v>
      </c>
      <c r="AD308" s="309">
        <f t="shared" si="1038"/>
        <v>-4792</v>
      </c>
      <c r="AE308" s="310">
        <f t="shared" si="1039"/>
        <v>-2.54</v>
      </c>
      <c r="AF308" s="252">
        <f t="shared" si="1040"/>
        <v>-3492</v>
      </c>
      <c r="AG308" s="306">
        <f t="shared" si="1050"/>
        <v>-0.52</v>
      </c>
      <c r="AH308" s="252">
        <f t="shared" si="1051"/>
        <v>-719</v>
      </c>
      <c r="AI308" s="311"/>
      <c r="AJ308" s="311"/>
      <c r="AK308" s="311"/>
      <c r="AL308" s="311"/>
      <c r="AM308" s="312"/>
      <c r="AN308" s="313"/>
    </row>
    <row r="309" ht="12.75" customHeight="1">
      <c r="A309" s="256" t="s">
        <v>867</v>
      </c>
      <c r="B309" s="257" t="s">
        <v>359</v>
      </c>
      <c r="C309" s="258" t="s">
        <v>360</v>
      </c>
      <c r="D309" s="258" t="s">
        <v>232</v>
      </c>
      <c r="E309" s="259"/>
      <c r="F309" s="259"/>
      <c r="G309" s="258" t="s">
        <v>139</v>
      </c>
      <c r="H309" s="259" t="s">
        <v>1170</v>
      </c>
      <c r="I309" s="259" t="s">
        <v>105</v>
      </c>
      <c r="J309" s="316" t="s">
        <v>106</v>
      </c>
      <c r="K309" s="317">
        <f>ROUND(M309/0.15,2)</f>
        <v>0.93</v>
      </c>
      <c r="L309" s="318">
        <f>ROUND(N309/0.15,0)</f>
        <v>1280</v>
      </c>
      <c r="M309" s="319">
        <f t="shared" ref="M309:N309" si="1052">Q309</f>
        <v>0.14</v>
      </c>
      <c r="N309" s="261">
        <f t="shared" si="1052"/>
        <v>192</v>
      </c>
      <c r="O309" s="262">
        <v>0.38</v>
      </c>
      <c r="P309" s="263">
        <v>522.0</v>
      </c>
      <c r="Q309" s="260">
        <f t="shared" ref="Q309:R309" si="1053">M307-O309</f>
        <v>0.14</v>
      </c>
      <c r="R309" s="261">
        <f t="shared" si="1053"/>
        <v>192</v>
      </c>
      <c r="S309" s="264">
        <v>1374.7</v>
      </c>
      <c r="T309" s="265">
        <v>15.0</v>
      </c>
      <c r="U309" s="266" t="s">
        <v>107</v>
      </c>
      <c r="V309" s="266" t="s">
        <v>1171</v>
      </c>
      <c r="W309" s="320">
        <v>0.3873</v>
      </c>
      <c r="X309" s="320">
        <v>0.10469</v>
      </c>
      <c r="Y309" s="320">
        <v>0.28261</v>
      </c>
      <c r="Z309" s="321">
        <f>Z307</f>
        <v>9</v>
      </c>
      <c r="AA309" s="311"/>
      <c r="AB309" s="322"/>
      <c r="AC309" s="323">
        <f>IFERROR(ROUND(Z309*X309,2),0)</f>
        <v>0.94</v>
      </c>
      <c r="AD309" s="318">
        <f t="shared" si="1038"/>
        <v>1292</v>
      </c>
      <c r="AE309" s="324">
        <f t="shared" si="1039"/>
        <v>2.54</v>
      </c>
      <c r="AF309" s="261">
        <f t="shared" si="1040"/>
        <v>3492</v>
      </c>
      <c r="AG309" s="311"/>
      <c r="AH309" s="311"/>
      <c r="AI309" s="325">
        <f>ROUND(AC309*0.15,2)</f>
        <v>0.14</v>
      </c>
      <c r="AJ309" s="261">
        <f>ROUND(AD309*0.15,0)</f>
        <v>194</v>
      </c>
      <c r="AK309" s="325">
        <f>ROUND(AE309*0.15,2)</f>
        <v>0.38</v>
      </c>
      <c r="AL309" s="261">
        <f>ROUND(AF309*0.15,0)</f>
        <v>524</v>
      </c>
      <c r="AM309" s="326">
        <f>IFERROR(AC309/K309,IFERROR(AK309/O309,""))</f>
        <v>1.010752688</v>
      </c>
      <c r="AN309" s="313"/>
    </row>
    <row r="310" ht="12.75" customHeight="1">
      <c r="A310" s="245" t="s">
        <v>563</v>
      </c>
      <c r="B310" s="246" t="s">
        <v>359</v>
      </c>
      <c r="C310" s="247" t="s">
        <v>360</v>
      </c>
      <c r="D310" s="247" t="s">
        <v>237</v>
      </c>
      <c r="E310" s="248"/>
      <c r="F310" s="248"/>
      <c r="G310" s="247" t="s">
        <v>103</v>
      </c>
      <c r="H310" s="248" t="s">
        <v>1172</v>
      </c>
      <c r="I310" s="248" t="s">
        <v>105</v>
      </c>
      <c r="J310" s="300" t="s">
        <v>106</v>
      </c>
      <c r="K310" s="301">
        <v>102.15</v>
      </c>
      <c r="L310" s="302">
        <v>142182.0</v>
      </c>
      <c r="M310" s="303">
        <v>15.32</v>
      </c>
      <c r="N310" s="250">
        <v>21323.0</v>
      </c>
      <c r="O310" s="249">
        <v>10.39</v>
      </c>
      <c r="P310" s="250">
        <v>14461.0</v>
      </c>
      <c r="Q310" s="251">
        <f t="shared" ref="Q310:R310" si="1054">M310-O310</f>
        <v>4.93</v>
      </c>
      <c r="R310" s="252">
        <f t="shared" si="1054"/>
        <v>6862</v>
      </c>
      <c r="S310" s="253">
        <v>1391.9</v>
      </c>
      <c r="T310" s="254">
        <v>15.0</v>
      </c>
      <c r="U310" s="255" t="s">
        <v>107</v>
      </c>
      <c r="V310" s="255"/>
      <c r="W310" s="304">
        <v>0.1029</v>
      </c>
      <c r="X310" s="304">
        <v>0.03313</v>
      </c>
      <c r="Y310" s="304">
        <v>0.06977</v>
      </c>
      <c r="Z310" s="305">
        <f>IFERROR(ROUND(K310/W310,0),0)</f>
        <v>993</v>
      </c>
      <c r="AA310" s="306">
        <f t="shared" ref="AA310:AA311" si="1056">Z310*W310</f>
        <v>102.1797</v>
      </c>
      <c r="AB310" s="307">
        <f t="shared" ref="AB310:AB311" si="1057">ROUND(AA310*S310,0)</f>
        <v>142224</v>
      </c>
      <c r="AC310" s="308">
        <f t="shared" ref="AC310:AC311" si="1058">AA310</f>
        <v>102.1797</v>
      </c>
      <c r="AD310" s="309">
        <f t="shared" si="1038"/>
        <v>142224</v>
      </c>
      <c r="AE310" s="310">
        <f t="shared" si="1039"/>
        <v>69.28</v>
      </c>
      <c r="AF310" s="252">
        <f t="shared" si="1040"/>
        <v>96431</v>
      </c>
      <c r="AG310" s="306">
        <f t="shared" ref="AG310:AG311" si="1059">ROUND(AC310*0.15,2)</f>
        <v>15.33</v>
      </c>
      <c r="AH310" s="252">
        <f t="shared" ref="AH310:AH311" si="1060">ROUND(AD310*0.15,0)</f>
        <v>21334</v>
      </c>
      <c r="AI310" s="311"/>
      <c r="AJ310" s="311"/>
      <c r="AK310" s="311"/>
      <c r="AL310" s="311"/>
      <c r="AM310" s="312"/>
      <c r="AN310" s="313"/>
    </row>
    <row r="311" ht="12.75" customHeight="1">
      <c r="A311" s="245" t="s">
        <v>564</v>
      </c>
      <c r="B311" s="246" t="s">
        <v>359</v>
      </c>
      <c r="C311" s="247" t="s">
        <v>360</v>
      </c>
      <c r="D311" s="247" t="s">
        <v>237</v>
      </c>
      <c r="E311" s="248"/>
      <c r="F311" s="248"/>
      <c r="G311" s="247" t="s">
        <v>103</v>
      </c>
      <c r="H311" s="248" t="s">
        <v>1173</v>
      </c>
      <c r="I311" s="248" t="s">
        <v>105</v>
      </c>
      <c r="J311" s="300" t="s">
        <v>106</v>
      </c>
      <c r="K311" s="314">
        <f t="shared" ref="K311:R311" si="1055">-K310</f>
        <v>-102.15</v>
      </c>
      <c r="L311" s="309">
        <f t="shared" si="1055"/>
        <v>-142182</v>
      </c>
      <c r="M311" s="315">
        <f t="shared" si="1055"/>
        <v>-15.32</v>
      </c>
      <c r="N311" s="252">
        <f t="shared" si="1055"/>
        <v>-21323</v>
      </c>
      <c r="O311" s="251">
        <f t="shared" si="1055"/>
        <v>-10.39</v>
      </c>
      <c r="P311" s="252">
        <f t="shared" si="1055"/>
        <v>-14461</v>
      </c>
      <c r="Q311" s="251">
        <f t="shared" si="1055"/>
        <v>-4.93</v>
      </c>
      <c r="R311" s="252">
        <f t="shared" si="1055"/>
        <v>-6862</v>
      </c>
      <c r="S311" s="253">
        <v>1391.9</v>
      </c>
      <c r="T311" s="254">
        <v>15.0</v>
      </c>
      <c r="U311" s="255" t="s">
        <v>107</v>
      </c>
      <c r="V311" s="255"/>
      <c r="W311" s="304">
        <v>0.1029</v>
      </c>
      <c r="X311" s="304">
        <v>0.03313</v>
      </c>
      <c r="Y311" s="304">
        <v>0.06977</v>
      </c>
      <c r="Z311" s="305">
        <f>-Z310</f>
        <v>-993</v>
      </c>
      <c r="AA311" s="306">
        <f t="shared" si="1056"/>
        <v>-102.1797</v>
      </c>
      <c r="AB311" s="307">
        <f t="shared" si="1057"/>
        <v>-142224</v>
      </c>
      <c r="AC311" s="308">
        <f t="shared" si="1058"/>
        <v>-102.1797</v>
      </c>
      <c r="AD311" s="309">
        <f t="shared" si="1038"/>
        <v>-142224</v>
      </c>
      <c r="AE311" s="310">
        <f t="shared" si="1039"/>
        <v>-69.28</v>
      </c>
      <c r="AF311" s="252">
        <f t="shared" si="1040"/>
        <v>-96431</v>
      </c>
      <c r="AG311" s="306">
        <f t="shared" si="1059"/>
        <v>-15.33</v>
      </c>
      <c r="AH311" s="252">
        <f t="shared" si="1060"/>
        <v>-21334</v>
      </c>
      <c r="AI311" s="311"/>
      <c r="AJ311" s="311"/>
      <c r="AK311" s="311"/>
      <c r="AL311" s="311"/>
      <c r="AM311" s="312"/>
      <c r="AN311" s="313"/>
    </row>
    <row r="312" ht="12.75" customHeight="1">
      <c r="A312" s="256" t="s">
        <v>565</v>
      </c>
      <c r="B312" s="257" t="s">
        <v>359</v>
      </c>
      <c r="C312" s="258" t="s">
        <v>360</v>
      </c>
      <c r="D312" s="258" t="s">
        <v>237</v>
      </c>
      <c r="E312" s="259"/>
      <c r="F312" s="259"/>
      <c r="G312" s="258" t="s">
        <v>103</v>
      </c>
      <c r="H312" s="259" t="s">
        <v>1174</v>
      </c>
      <c r="I312" s="259" t="s">
        <v>105</v>
      </c>
      <c r="J312" s="316" t="s">
        <v>106</v>
      </c>
      <c r="K312" s="317">
        <f>ROUND(M312/0.15,2)</f>
        <v>32.87</v>
      </c>
      <c r="L312" s="318">
        <f>ROUND(N312/0.15,0)</f>
        <v>45747</v>
      </c>
      <c r="M312" s="319">
        <f t="shared" ref="M312:N312" si="1061">Q312</f>
        <v>4.93</v>
      </c>
      <c r="N312" s="261">
        <f t="shared" si="1061"/>
        <v>6862</v>
      </c>
      <c r="O312" s="262">
        <v>10.39</v>
      </c>
      <c r="P312" s="263">
        <v>14461.0</v>
      </c>
      <c r="Q312" s="260">
        <f t="shared" ref="Q312:R312" si="1062">M310-O312</f>
        <v>4.93</v>
      </c>
      <c r="R312" s="261">
        <f t="shared" si="1062"/>
        <v>6862</v>
      </c>
      <c r="S312" s="264">
        <v>1391.9</v>
      </c>
      <c r="T312" s="265">
        <v>15.0</v>
      </c>
      <c r="U312" s="266" t="s">
        <v>107</v>
      </c>
      <c r="V312" s="266" t="s">
        <v>1175</v>
      </c>
      <c r="W312" s="320">
        <v>0.1029</v>
      </c>
      <c r="X312" s="320">
        <v>0.03313</v>
      </c>
      <c r="Y312" s="320">
        <v>0.06977</v>
      </c>
      <c r="Z312" s="321">
        <f>Z310</f>
        <v>993</v>
      </c>
      <c r="AA312" s="311"/>
      <c r="AB312" s="322"/>
      <c r="AC312" s="323">
        <f>IFERROR(ROUND(Z312*X312,2),0)</f>
        <v>32.9</v>
      </c>
      <c r="AD312" s="318">
        <f t="shared" si="1038"/>
        <v>45794</v>
      </c>
      <c r="AE312" s="324">
        <f t="shared" si="1039"/>
        <v>69.28</v>
      </c>
      <c r="AF312" s="261">
        <f t="shared" si="1040"/>
        <v>96431</v>
      </c>
      <c r="AG312" s="311"/>
      <c r="AH312" s="311"/>
      <c r="AI312" s="325">
        <f>ROUND(AC312*0.15,2)</f>
        <v>4.94</v>
      </c>
      <c r="AJ312" s="261">
        <f>ROUND(AD312*0.15,0)</f>
        <v>6869</v>
      </c>
      <c r="AK312" s="325">
        <f>ROUND(AE312*0.15,2)</f>
        <v>10.39</v>
      </c>
      <c r="AL312" s="261">
        <f>ROUND(AF312*0.15,0)</f>
        <v>14465</v>
      </c>
      <c r="AM312" s="326">
        <f>IFERROR(AC312/K312,IFERROR(AK312/O312,""))</f>
        <v>1.000912686</v>
      </c>
      <c r="AN312" s="313"/>
    </row>
    <row r="313" ht="12.75" customHeight="1">
      <c r="A313" s="245" t="s">
        <v>567</v>
      </c>
      <c r="B313" s="246" t="s">
        <v>359</v>
      </c>
      <c r="C313" s="247" t="s">
        <v>360</v>
      </c>
      <c r="D313" s="247" t="s">
        <v>101</v>
      </c>
      <c r="E313" s="248"/>
      <c r="F313" s="248"/>
      <c r="G313" s="247" t="s">
        <v>103</v>
      </c>
      <c r="H313" s="248" t="s">
        <v>1176</v>
      </c>
      <c r="I313" s="248" t="s">
        <v>105</v>
      </c>
      <c r="J313" s="300" t="s">
        <v>106</v>
      </c>
      <c r="K313" s="301">
        <v>411.6</v>
      </c>
      <c r="L313" s="302">
        <v>567843.0</v>
      </c>
      <c r="M313" s="303">
        <v>61.74</v>
      </c>
      <c r="N313" s="250">
        <v>85176.0</v>
      </c>
      <c r="O313" s="249">
        <v>41.86</v>
      </c>
      <c r="P313" s="250">
        <v>57750.0</v>
      </c>
      <c r="Q313" s="251">
        <f t="shared" ref="Q313:R313" si="1063">M313-O313</f>
        <v>19.88</v>
      </c>
      <c r="R313" s="252">
        <f t="shared" si="1063"/>
        <v>27426</v>
      </c>
      <c r="S313" s="253">
        <v>1379.6</v>
      </c>
      <c r="T313" s="254">
        <v>15.0</v>
      </c>
      <c r="U313" s="255" t="s">
        <v>107</v>
      </c>
      <c r="V313" s="255"/>
      <c r="W313" s="304">
        <v>0.1029</v>
      </c>
      <c r="X313" s="304">
        <v>0.03313</v>
      </c>
      <c r="Y313" s="304">
        <v>0.06977</v>
      </c>
      <c r="Z313" s="305">
        <f>IFERROR(ROUND(K313/W313,0),0)</f>
        <v>4000</v>
      </c>
      <c r="AA313" s="306">
        <f t="shared" ref="AA313:AA314" si="1065">Z313*W313</f>
        <v>411.6</v>
      </c>
      <c r="AB313" s="307">
        <f t="shared" ref="AB313:AB314" si="1066">ROUND(AA313*S313,0)</f>
        <v>567843</v>
      </c>
      <c r="AC313" s="308">
        <f t="shared" ref="AC313:AC314" si="1067">AA313</f>
        <v>411.6</v>
      </c>
      <c r="AD313" s="309">
        <f t="shared" si="1038"/>
        <v>567843</v>
      </c>
      <c r="AE313" s="310">
        <f t="shared" si="1039"/>
        <v>279.08</v>
      </c>
      <c r="AF313" s="252">
        <f t="shared" si="1040"/>
        <v>385019</v>
      </c>
      <c r="AG313" s="306">
        <f t="shared" ref="AG313:AG314" si="1068">ROUND(AC313*0.15,2)</f>
        <v>61.74</v>
      </c>
      <c r="AH313" s="252">
        <f t="shared" ref="AH313:AH314" si="1069">ROUND(AD313*0.15,0)</f>
        <v>85176</v>
      </c>
      <c r="AI313" s="311"/>
      <c r="AJ313" s="311"/>
      <c r="AK313" s="311"/>
      <c r="AL313" s="311"/>
      <c r="AM313" s="312"/>
      <c r="AN313" s="313"/>
    </row>
    <row r="314" ht="12.75" customHeight="1">
      <c r="A314" s="245" t="s">
        <v>568</v>
      </c>
      <c r="B314" s="246" t="s">
        <v>359</v>
      </c>
      <c r="C314" s="247" t="s">
        <v>360</v>
      </c>
      <c r="D314" s="247" t="s">
        <v>101</v>
      </c>
      <c r="E314" s="248"/>
      <c r="F314" s="248"/>
      <c r="G314" s="247" t="s">
        <v>103</v>
      </c>
      <c r="H314" s="248" t="s">
        <v>1177</v>
      </c>
      <c r="I314" s="248" t="s">
        <v>105</v>
      </c>
      <c r="J314" s="300" t="s">
        <v>106</v>
      </c>
      <c r="K314" s="314">
        <f t="shared" ref="K314:R314" si="1064">-K313</f>
        <v>-411.6</v>
      </c>
      <c r="L314" s="309">
        <f t="shared" si="1064"/>
        <v>-567843</v>
      </c>
      <c r="M314" s="315">
        <f t="shared" si="1064"/>
        <v>-61.74</v>
      </c>
      <c r="N314" s="252">
        <f t="shared" si="1064"/>
        <v>-85176</v>
      </c>
      <c r="O314" s="251">
        <f t="shared" si="1064"/>
        <v>-41.86</v>
      </c>
      <c r="P314" s="252">
        <f t="shared" si="1064"/>
        <v>-57750</v>
      </c>
      <c r="Q314" s="251">
        <f t="shared" si="1064"/>
        <v>-19.88</v>
      </c>
      <c r="R314" s="252">
        <f t="shared" si="1064"/>
        <v>-27426</v>
      </c>
      <c r="S314" s="253">
        <v>1379.6</v>
      </c>
      <c r="T314" s="254">
        <v>15.0</v>
      </c>
      <c r="U314" s="255" t="s">
        <v>107</v>
      </c>
      <c r="V314" s="255"/>
      <c r="W314" s="304">
        <v>0.1029</v>
      </c>
      <c r="X314" s="304">
        <v>0.03313</v>
      </c>
      <c r="Y314" s="304">
        <v>0.06977</v>
      </c>
      <c r="Z314" s="305">
        <f>-Z313</f>
        <v>-4000</v>
      </c>
      <c r="AA314" s="306">
        <f t="shared" si="1065"/>
        <v>-411.6</v>
      </c>
      <c r="AB314" s="307">
        <f t="shared" si="1066"/>
        <v>-567843</v>
      </c>
      <c r="AC314" s="308">
        <f t="shared" si="1067"/>
        <v>-411.6</v>
      </c>
      <c r="AD314" s="309">
        <f t="shared" si="1038"/>
        <v>-567843</v>
      </c>
      <c r="AE314" s="310">
        <f t="shared" si="1039"/>
        <v>-279.08</v>
      </c>
      <c r="AF314" s="252">
        <f t="shared" si="1040"/>
        <v>-385019</v>
      </c>
      <c r="AG314" s="306">
        <f t="shared" si="1068"/>
        <v>-61.74</v>
      </c>
      <c r="AH314" s="252">
        <f t="shared" si="1069"/>
        <v>-85176</v>
      </c>
      <c r="AI314" s="311"/>
      <c r="AJ314" s="311"/>
      <c r="AK314" s="311"/>
      <c r="AL314" s="311"/>
      <c r="AM314" s="312"/>
      <c r="AN314" s="313"/>
    </row>
    <row r="315" ht="12.75" customHeight="1">
      <c r="A315" s="256" t="s">
        <v>569</v>
      </c>
      <c r="B315" s="257" t="s">
        <v>359</v>
      </c>
      <c r="C315" s="258" t="s">
        <v>360</v>
      </c>
      <c r="D315" s="258" t="s">
        <v>101</v>
      </c>
      <c r="E315" s="259"/>
      <c r="F315" s="259"/>
      <c r="G315" s="258" t="s">
        <v>103</v>
      </c>
      <c r="H315" s="259" t="s">
        <v>1178</v>
      </c>
      <c r="I315" s="259" t="s">
        <v>105</v>
      </c>
      <c r="J315" s="316" t="s">
        <v>106</v>
      </c>
      <c r="K315" s="317">
        <f>ROUND(M315/0.15,2)</f>
        <v>132.53</v>
      </c>
      <c r="L315" s="318">
        <f>ROUND(N315/0.15,0)</f>
        <v>182840</v>
      </c>
      <c r="M315" s="319">
        <f t="shared" ref="M315:N315" si="1070">Q315</f>
        <v>19.88</v>
      </c>
      <c r="N315" s="261">
        <f t="shared" si="1070"/>
        <v>27426</v>
      </c>
      <c r="O315" s="262">
        <v>41.86</v>
      </c>
      <c r="P315" s="263">
        <v>57750.0</v>
      </c>
      <c r="Q315" s="260">
        <f t="shared" ref="Q315:R315" si="1071">M313-O315</f>
        <v>19.88</v>
      </c>
      <c r="R315" s="261">
        <f t="shared" si="1071"/>
        <v>27426</v>
      </c>
      <c r="S315" s="264">
        <v>1379.6</v>
      </c>
      <c r="T315" s="265">
        <v>15.0</v>
      </c>
      <c r="U315" s="266" t="s">
        <v>107</v>
      </c>
      <c r="V315" s="266" t="s">
        <v>1179</v>
      </c>
      <c r="W315" s="320">
        <v>0.1029</v>
      </c>
      <c r="X315" s="320">
        <v>0.03313</v>
      </c>
      <c r="Y315" s="320">
        <v>0.06977</v>
      </c>
      <c r="Z315" s="321">
        <f>Z313</f>
        <v>4000</v>
      </c>
      <c r="AA315" s="311"/>
      <c r="AB315" s="322"/>
      <c r="AC315" s="323">
        <f>IFERROR(ROUND(Z315*X315,2),0)</f>
        <v>132.52</v>
      </c>
      <c r="AD315" s="318">
        <f t="shared" si="1038"/>
        <v>182825</v>
      </c>
      <c r="AE315" s="324">
        <f t="shared" si="1039"/>
        <v>279.08</v>
      </c>
      <c r="AF315" s="261">
        <f t="shared" si="1040"/>
        <v>385019</v>
      </c>
      <c r="AG315" s="311"/>
      <c r="AH315" s="311"/>
      <c r="AI315" s="325">
        <f>ROUND(AC315*0.15,2)</f>
        <v>19.88</v>
      </c>
      <c r="AJ315" s="261">
        <f>ROUND(AD315*0.15,0)</f>
        <v>27424</v>
      </c>
      <c r="AK315" s="325">
        <f>ROUND(AE315*0.15,2)</f>
        <v>41.86</v>
      </c>
      <c r="AL315" s="261">
        <f>ROUND(AF315*0.15,0)</f>
        <v>57753</v>
      </c>
      <c r="AM315" s="326">
        <f>IFERROR(AC315/K315,IFERROR(AK315/O315,""))</f>
        <v>0.9999245454</v>
      </c>
      <c r="AN315" s="313"/>
    </row>
    <row r="316" ht="12.75" customHeight="1">
      <c r="A316" s="245" t="s">
        <v>571</v>
      </c>
      <c r="B316" s="246" t="s">
        <v>359</v>
      </c>
      <c r="C316" s="247" t="s">
        <v>360</v>
      </c>
      <c r="D316" s="247" t="s">
        <v>108</v>
      </c>
      <c r="E316" s="248"/>
      <c r="F316" s="248"/>
      <c r="G316" s="247" t="s">
        <v>103</v>
      </c>
      <c r="H316" s="248" t="s">
        <v>1180</v>
      </c>
      <c r="I316" s="248" t="s">
        <v>105</v>
      </c>
      <c r="J316" s="300" t="s">
        <v>106</v>
      </c>
      <c r="K316" s="301">
        <v>403.2</v>
      </c>
      <c r="L316" s="302">
        <v>558391.0</v>
      </c>
      <c r="M316" s="303">
        <v>60.48</v>
      </c>
      <c r="N316" s="250">
        <v>83758.0</v>
      </c>
      <c r="O316" s="249">
        <v>41.01</v>
      </c>
      <c r="P316" s="250">
        <v>56794.0</v>
      </c>
      <c r="Q316" s="251">
        <f t="shared" ref="Q316:R316" si="1072">M316-O316</f>
        <v>19.47</v>
      </c>
      <c r="R316" s="252">
        <f t="shared" si="1072"/>
        <v>26964</v>
      </c>
      <c r="S316" s="253">
        <v>1384.9</v>
      </c>
      <c r="T316" s="254">
        <v>15.0</v>
      </c>
      <c r="U316" s="255" t="s">
        <v>107</v>
      </c>
      <c r="V316" s="255"/>
      <c r="W316" s="304">
        <v>0.1003</v>
      </c>
      <c r="X316" s="304">
        <v>0.032293</v>
      </c>
      <c r="Y316" s="304">
        <v>0.068007</v>
      </c>
      <c r="Z316" s="305">
        <f>IFERROR(ROUND(K316/W316,0),0)</f>
        <v>4020</v>
      </c>
      <c r="AA316" s="306">
        <f t="shared" ref="AA316:AA317" si="1074">Z316*W316</f>
        <v>403.206</v>
      </c>
      <c r="AB316" s="307">
        <f t="shared" ref="AB316:AB317" si="1075">ROUND(AA316*S316,0)</f>
        <v>558400</v>
      </c>
      <c r="AC316" s="308">
        <f t="shared" ref="AC316:AC317" si="1076">AA316</f>
        <v>403.206</v>
      </c>
      <c r="AD316" s="309">
        <f t="shared" si="1038"/>
        <v>558400</v>
      </c>
      <c r="AE316" s="310">
        <f t="shared" si="1039"/>
        <v>273.39</v>
      </c>
      <c r="AF316" s="252">
        <f t="shared" si="1040"/>
        <v>378618</v>
      </c>
      <c r="AG316" s="306">
        <f t="shared" ref="AG316:AG317" si="1077">ROUND(AC316*0.15,2)</f>
        <v>60.48</v>
      </c>
      <c r="AH316" s="252">
        <f t="shared" ref="AH316:AH317" si="1078">ROUND(AD316*0.15,0)</f>
        <v>83760</v>
      </c>
      <c r="AI316" s="311"/>
      <c r="AJ316" s="311"/>
      <c r="AK316" s="311"/>
      <c r="AL316" s="311"/>
      <c r="AM316" s="312"/>
      <c r="AN316" s="313"/>
    </row>
    <row r="317" ht="12.75" customHeight="1">
      <c r="A317" s="245" t="s">
        <v>572</v>
      </c>
      <c r="B317" s="246" t="s">
        <v>359</v>
      </c>
      <c r="C317" s="247" t="s">
        <v>360</v>
      </c>
      <c r="D317" s="247" t="s">
        <v>108</v>
      </c>
      <c r="E317" s="248"/>
      <c r="F317" s="248"/>
      <c r="G317" s="247" t="s">
        <v>103</v>
      </c>
      <c r="H317" s="248" t="s">
        <v>1181</v>
      </c>
      <c r="I317" s="248" t="s">
        <v>105</v>
      </c>
      <c r="J317" s="300" t="s">
        <v>106</v>
      </c>
      <c r="K317" s="314">
        <f t="shared" ref="K317:R317" si="1073">-K316</f>
        <v>-403.2</v>
      </c>
      <c r="L317" s="309">
        <f t="shared" si="1073"/>
        <v>-558391</v>
      </c>
      <c r="M317" s="315">
        <f t="shared" si="1073"/>
        <v>-60.48</v>
      </c>
      <c r="N317" s="252">
        <f t="shared" si="1073"/>
        <v>-83758</v>
      </c>
      <c r="O317" s="251">
        <f t="shared" si="1073"/>
        <v>-41.01</v>
      </c>
      <c r="P317" s="252">
        <f t="shared" si="1073"/>
        <v>-56794</v>
      </c>
      <c r="Q317" s="251">
        <f t="shared" si="1073"/>
        <v>-19.47</v>
      </c>
      <c r="R317" s="252">
        <f t="shared" si="1073"/>
        <v>-26964</v>
      </c>
      <c r="S317" s="253">
        <v>1384.9</v>
      </c>
      <c r="T317" s="254">
        <v>15.0</v>
      </c>
      <c r="U317" s="255" t="s">
        <v>107</v>
      </c>
      <c r="V317" s="255"/>
      <c r="W317" s="304">
        <v>0.1003</v>
      </c>
      <c r="X317" s="304">
        <v>0.032293</v>
      </c>
      <c r="Y317" s="304">
        <v>0.068007</v>
      </c>
      <c r="Z317" s="305">
        <f>-Z316</f>
        <v>-4020</v>
      </c>
      <c r="AA317" s="306">
        <f t="shared" si="1074"/>
        <v>-403.206</v>
      </c>
      <c r="AB317" s="307">
        <f t="shared" si="1075"/>
        <v>-558400</v>
      </c>
      <c r="AC317" s="308">
        <f t="shared" si="1076"/>
        <v>-403.206</v>
      </c>
      <c r="AD317" s="309">
        <f t="shared" si="1038"/>
        <v>-558400</v>
      </c>
      <c r="AE317" s="310">
        <f t="shared" si="1039"/>
        <v>-273.39</v>
      </c>
      <c r="AF317" s="252">
        <f t="shared" si="1040"/>
        <v>-378618</v>
      </c>
      <c r="AG317" s="306">
        <f t="shared" si="1077"/>
        <v>-60.48</v>
      </c>
      <c r="AH317" s="252">
        <f t="shared" si="1078"/>
        <v>-83760</v>
      </c>
      <c r="AI317" s="311"/>
      <c r="AJ317" s="311"/>
      <c r="AK317" s="311"/>
      <c r="AL317" s="311"/>
      <c r="AM317" s="312"/>
      <c r="AN317" s="313"/>
    </row>
    <row r="318" ht="12.75" customHeight="1">
      <c r="A318" s="256" t="s">
        <v>573</v>
      </c>
      <c r="B318" s="257" t="s">
        <v>359</v>
      </c>
      <c r="C318" s="258" t="s">
        <v>360</v>
      </c>
      <c r="D318" s="258" t="s">
        <v>108</v>
      </c>
      <c r="E318" s="259"/>
      <c r="F318" s="259"/>
      <c r="G318" s="258" t="s">
        <v>103</v>
      </c>
      <c r="H318" s="259" t="s">
        <v>1182</v>
      </c>
      <c r="I318" s="259" t="s">
        <v>105</v>
      </c>
      <c r="J318" s="316" t="s">
        <v>106</v>
      </c>
      <c r="K318" s="317">
        <f>ROUND(M318/0.15,2)</f>
        <v>129.8</v>
      </c>
      <c r="L318" s="318">
        <f>ROUND(N318/0.15,0)</f>
        <v>179760</v>
      </c>
      <c r="M318" s="319">
        <f t="shared" ref="M318:N318" si="1079">Q318</f>
        <v>19.47</v>
      </c>
      <c r="N318" s="261">
        <f t="shared" si="1079"/>
        <v>26964</v>
      </c>
      <c r="O318" s="262">
        <v>41.01</v>
      </c>
      <c r="P318" s="263">
        <v>56794.0</v>
      </c>
      <c r="Q318" s="260">
        <f t="shared" ref="Q318:R318" si="1080">M316-O318</f>
        <v>19.47</v>
      </c>
      <c r="R318" s="261">
        <f t="shared" si="1080"/>
        <v>26964</v>
      </c>
      <c r="S318" s="264">
        <v>1384.9</v>
      </c>
      <c r="T318" s="265">
        <v>15.0</v>
      </c>
      <c r="U318" s="266" t="s">
        <v>107</v>
      </c>
      <c r="V318" s="266" t="s">
        <v>1183</v>
      </c>
      <c r="W318" s="320">
        <v>0.1003</v>
      </c>
      <c r="X318" s="320">
        <v>0.032293</v>
      </c>
      <c r="Y318" s="320">
        <v>0.068007</v>
      </c>
      <c r="Z318" s="321">
        <f>Z316</f>
        <v>4020</v>
      </c>
      <c r="AA318" s="311"/>
      <c r="AB318" s="322"/>
      <c r="AC318" s="323">
        <f>IFERROR(ROUND(Z318*X318,2),0)</f>
        <v>129.82</v>
      </c>
      <c r="AD318" s="318">
        <f t="shared" si="1038"/>
        <v>179788</v>
      </c>
      <c r="AE318" s="324">
        <f t="shared" si="1039"/>
        <v>273.39</v>
      </c>
      <c r="AF318" s="261">
        <f t="shared" si="1040"/>
        <v>378618</v>
      </c>
      <c r="AG318" s="311"/>
      <c r="AH318" s="311"/>
      <c r="AI318" s="325">
        <f>ROUND(AC318*0.15,2)</f>
        <v>19.47</v>
      </c>
      <c r="AJ318" s="261">
        <f>ROUND(AD318*0.15,0)</f>
        <v>26968</v>
      </c>
      <c r="AK318" s="325">
        <f>ROUND(AE318*0.15,2)</f>
        <v>41.01</v>
      </c>
      <c r="AL318" s="261">
        <f>ROUND(AF318*0.15,0)</f>
        <v>56793</v>
      </c>
      <c r="AM318" s="326">
        <f>IFERROR(AC318/K318,IFERROR(AK318/O318,""))</f>
        <v>1.000154083</v>
      </c>
      <c r="AN318" s="313"/>
    </row>
    <row r="319" ht="12.75" customHeight="1">
      <c r="A319" s="245" t="s">
        <v>575</v>
      </c>
      <c r="B319" s="246" t="s">
        <v>359</v>
      </c>
      <c r="C319" s="247" t="s">
        <v>360</v>
      </c>
      <c r="D319" s="247" t="s">
        <v>110</v>
      </c>
      <c r="E319" s="248"/>
      <c r="F319" s="248"/>
      <c r="G319" s="247" t="s">
        <v>103</v>
      </c>
      <c r="H319" s="248" t="s">
        <v>1184</v>
      </c>
      <c r="I319" s="248" t="s">
        <v>105</v>
      </c>
      <c r="J319" s="300" t="s">
        <v>106</v>
      </c>
      <c r="K319" s="301">
        <v>401.2</v>
      </c>
      <c r="L319" s="302">
        <v>556063.0</v>
      </c>
      <c r="M319" s="303">
        <v>60.18</v>
      </c>
      <c r="N319" s="250">
        <v>83409.0</v>
      </c>
      <c r="O319" s="249">
        <v>40.8</v>
      </c>
      <c r="P319" s="250">
        <v>56548.0</v>
      </c>
      <c r="Q319" s="251">
        <f t="shared" ref="Q319:R319" si="1081">M319-O319</f>
        <v>19.38</v>
      </c>
      <c r="R319" s="252">
        <f t="shared" si="1081"/>
        <v>26861</v>
      </c>
      <c r="S319" s="253">
        <v>1386.0</v>
      </c>
      <c r="T319" s="254">
        <v>15.0</v>
      </c>
      <c r="U319" s="255" t="s">
        <v>107</v>
      </c>
      <c r="V319" s="255"/>
      <c r="W319" s="304">
        <v>0.1003</v>
      </c>
      <c r="X319" s="304">
        <v>0.032293</v>
      </c>
      <c r="Y319" s="304">
        <v>0.068007</v>
      </c>
      <c r="Z319" s="305">
        <f>IFERROR(ROUND(K319/W319,0),0)</f>
        <v>4000</v>
      </c>
      <c r="AA319" s="306">
        <f t="shared" ref="AA319:AA320" si="1083">Z319*W319</f>
        <v>401.2</v>
      </c>
      <c r="AB319" s="307">
        <f t="shared" ref="AB319:AB320" si="1084">ROUND(AA319*S319,0)</f>
        <v>556063</v>
      </c>
      <c r="AC319" s="308">
        <f t="shared" ref="AC319:AC320" si="1085">AA319</f>
        <v>401.2</v>
      </c>
      <c r="AD319" s="309">
        <f t="shared" si="1038"/>
        <v>556063</v>
      </c>
      <c r="AE319" s="310">
        <f t="shared" si="1039"/>
        <v>272.03</v>
      </c>
      <c r="AF319" s="252">
        <f t="shared" si="1040"/>
        <v>377034</v>
      </c>
      <c r="AG319" s="306">
        <f t="shared" ref="AG319:AG320" si="1086">ROUND(AC319*0.15,2)</f>
        <v>60.18</v>
      </c>
      <c r="AH319" s="252">
        <f t="shared" ref="AH319:AH320" si="1087">ROUND(AD319*0.15,0)</f>
        <v>83409</v>
      </c>
      <c r="AI319" s="311"/>
      <c r="AJ319" s="311"/>
      <c r="AK319" s="311"/>
      <c r="AL319" s="311"/>
      <c r="AM319" s="312"/>
      <c r="AN319" s="313"/>
    </row>
    <row r="320" ht="12.75" customHeight="1">
      <c r="A320" s="245" t="s">
        <v>576</v>
      </c>
      <c r="B320" s="246" t="s">
        <v>359</v>
      </c>
      <c r="C320" s="247" t="s">
        <v>360</v>
      </c>
      <c r="D320" s="247" t="s">
        <v>110</v>
      </c>
      <c r="E320" s="248"/>
      <c r="F320" s="248"/>
      <c r="G320" s="247" t="s">
        <v>103</v>
      </c>
      <c r="H320" s="248" t="s">
        <v>1185</v>
      </c>
      <c r="I320" s="248" t="s">
        <v>105</v>
      </c>
      <c r="J320" s="300" t="s">
        <v>106</v>
      </c>
      <c r="K320" s="314">
        <f t="shared" ref="K320:R320" si="1082">-K319</f>
        <v>-401.2</v>
      </c>
      <c r="L320" s="309">
        <f t="shared" si="1082"/>
        <v>-556063</v>
      </c>
      <c r="M320" s="315">
        <f t="shared" si="1082"/>
        <v>-60.18</v>
      </c>
      <c r="N320" s="252">
        <f t="shared" si="1082"/>
        <v>-83409</v>
      </c>
      <c r="O320" s="251">
        <f t="shared" si="1082"/>
        <v>-40.8</v>
      </c>
      <c r="P320" s="252">
        <f t="shared" si="1082"/>
        <v>-56548</v>
      </c>
      <c r="Q320" s="251">
        <f t="shared" si="1082"/>
        <v>-19.38</v>
      </c>
      <c r="R320" s="252">
        <f t="shared" si="1082"/>
        <v>-26861</v>
      </c>
      <c r="S320" s="253">
        <v>1386.0</v>
      </c>
      <c r="T320" s="254">
        <v>15.0</v>
      </c>
      <c r="U320" s="255" t="s">
        <v>107</v>
      </c>
      <c r="V320" s="255"/>
      <c r="W320" s="304">
        <v>0.1003</v>
      </c>
      <c r="X320" s="304">
        <v>0.032293</v>
      </c>
      <c r="Y320" s="304">
        <v>0.068007</v>
      </c>
      <c r="Z320" s="305">
        <f>-Z319</f>
        <v>-4000</v>
      </c>
      <c r="AA320" s="306">
        <f t="shared" si="1083"/>
        <v>-401.2</v>
      </c>
      <c r="AB320" s="307">
        <f t="shared" si="1084"/>
        <v>-556063</v>
      </c>
      <c r="AC320" s="308">
        <f t="shared" si="1085"/>
        <v>-401.2</v>
      </c>
      <c r="AD320" s="309">
        <f t="shared" si="1038"/>
        <v>-556063</v>
      </c>
      <c r="AE320" s="310">
        <f t="shared" si="1039"/>
        <v>-272.03</v>
      </c>
      <c r="AF320" s="252">
        <f t="shared" si="1040"/>
        <v>-377034</v>
      </c>
      <c r="AG320" s="306">
        <f t="shared" si="1086"/>
        <v>-60.18</v>
      </c>
      <c r="AH320" s="252">
        <f t="shared" si="1087"/>
        <v>-83409</v>
      </c>
      <c r="AI320" s="311"/>
      <c r="AJ320" s="311"/>
      <c r="AK320" s="311"/>
      <c r="AL320" s="311"/>
      <c r="AM320" s="312"/>
      <c r="AN320" s="313"/>
    </row>
    <row r="321" ht="12.75" customHeight="1">
      <c r="A321" s="256" t="s">
        <v>577</v>
      </c>
      <c r="B321" s="257" t="s">
        <v>359</v>
      </c>
      <c r="C321" s="258" t="s">
        <v>360</v>
      </c>
      <c r="D321" s="258" t="s">
        <v>110</v>
      </c>
      <c r="E321" s="259"/>
      <c r="F321" s="259"/>
      <c r="G321" s="258" t="s">
        <v>103</v>
      </c>
      <c r="H321" s="259" t="s">
        <v>1186</v>
      </c>
      <c r="I321" s="259" t="s">
        <v>105</v>
      </c>
      <c r="J321" s="316" t="s">
        <v>106</v>
      </c>
      <c r="K321" s="317">
        <f>ROUND(M321/0.15,2)</f>
        <v>129.2</v>
      </c>
      <c r="L321" s="318">
        <f>ROUND(N321/0.15,0)</f>
        <v>179073</v>
      </c>
      <c r="M321" s="319">
        <f t="shared" ref="M321:N321" si="1088">Q321</f>
        <v>19.38</v>
      </c>
      <c r="N321" s="261">
        <f t="shared" si="1088"/>
        <v>26861</v>
      </c>
      <c r="O321" s="262">
        <v>40.8</v>
      </c>
      <c r="P321" s="263">
        <v>56548.0</v>
      </c>
      <c r="Q321" s="260">
        <f t="shared" ref="Q321:R321" si="1089">M319-O321</f>
        <v>19.38</v>
      </c>
      <c r="R321" s="261">
        <f t="shared" si="1089"/>
        <v>26861</v>
      </c>
      <c r="S321" s="264">
        <v>1386.0</v>
      </c>
      <c r="T321" s="265">
        <v>15.0</v>
      </c>
      <c r="U321" s="266" t="s">
        <v>107</v>
      </c>
      <c r="V321" s="266" t="s">
        <v>1187</v>
      </c>
      <c r="W321" s="320">
        <v>0.1003</v>
      </c>
      <c r="X321" s="320">
        <v>0.032293</v>
      </c>
      <c r="Y321" s="320">
        <v>0.068007</v>
      </c>
      <c r="Z321" s="321">
        <f>Z319</f>
        <v>4000</v>
      </c>
      <c r="AA321" s="311"/>
      <c r="AB321" s="322"/>
      <c r="AC321" s="323">
        <f>IFERROR(ROUND(Z321*X321,2),0)</f>
        <v>129.17</v>
      </c>
      <c r="AD321" s="318">
        <f t="shared" si="1038"/>
        <v>179030</v>
      </c>
      <c r="AE321" s="324">
        <f t="shared" si="1039"/>
        <v>272.03</v>
      </c>
      <c r="AF321" s="261">
        <f t="shared" si="1040"/>
        <v>377034</v>
      </c>
      <c r="AG321" s="311"/>
      <c r="AH321" s="311"/>
      <c r="AI321" s="325">
        <f>ROUND(AC321*0.15,2)</f>
        <v>19.38</v>
      </c>
      <c r="AJ321" s="261">
        <f>ROUND(AD321*0.15,0)</f>
        <v>26855</v>
      </c>
      <c r="AK321" s="325">
        <f>ROUND(AE321*0.15,2)</f>
        <v>40.8</v>
      </c>
      <c r="AL321" s="261">
        <f>ROUND(AF321*0.15,0)</f>
        <v>56555</v>
      </c>
      <c r="AM321" s="326">
        <f>IFERROR(AC321/K321,IFERROR(AK321/O321,""))</f>
        <v>0.9997678019</v>
      </c>
      <c r="AN321" s="313"/>
    </row>
    <row r="322" ht="12.75" customHeight="1">
      <c r="A322" s="245" t="s">
        <v>579</v>
      </c>
      <c r="B322" s="246" t="s">
        <v>359</v>
      </c>
      <c r="C322" s="247" t="s">
        <v>360</v>
      </c>
      <c r="D322" s="247" t="s">
        <v>112</v>
      </c>
      <c r="E322" s="248"/>
      <c r="F322" s="248"/>
      <c r="G322" s="247" t="s">
        <v>103</v>
      </c>
      <c r="H322" s="248" t="s">
        <v>1188</v>
      </c>
      <c r="I322" s="248" t="s">
        <v>105</v>
      </c>
      <c r="J322" s="300" t="s">
        <v>106</v>
      </c>
      <c r="K322" s="301">
        <v>402.4</v>
      </c>
      <c r="L322" s="302">
        <v>556197.0</v>
      </c>
      <c r="M322" s="303">
        <v>60.36</v>
      </c>
      <c r="N322" s="250">
        <v>83429.0</v>
      </c>
      <c r="O322" s="249">
        <v>40.93</v>
      </c>
      <c r="P322" s="250">
        <v>56573.0</v>
      </c>
      <c r="Q322" s="251">
        <f t="shared" ref="Q322:R322" si="1090">M322-O322</f>
        <v>19.43</v>
      </c>
      <c r="R322" s="252">
        <f t="shared" si="1090"/>
        <v>26856</v>
      </c>
      <c r="S322" s="253">
        <v>1382.2</v>
      </c>
      <c r="T322" s="254">
        <v>15.0</v>
      </c>
      <c r="U322" s="255" t="s">
        <v>107</v>
      </c>
      <c r="V322" s="255"/>
      <c r="W322" s="304">
        <v>0.1</v>
      </c>
      <c r="X322" s="304">
        <v>0.032197</v>
      </c>
      <c r="Y322" s="304">
        <v>0.067803</v>
      </c>
      <c r="Z322" s="305">
        <f>IFERROR(ROUND(K322/W322,0),0)</f>
        <v>4024</v>
      </c>
      <c r="AA322" s="306">
        <f t="shared" ref="AA322:AA323" si="1092">Z322*W322</f>
        <v>402.4</v>
      </c>
      <c r="AB322" s="307">
        <f t="shared" ref="AB322:AB323" si="1093">ROUND(AA322*S322,0)</f>
        <v>556197</v>
      </c>
      <c r="AC322" s="308">
        <f t="shared" ref="AC322:AC323" si="1094">AA322</f>
        <v>402.4</v>
      </c>
      <c r="AD322" s="309">
        <f t="shared" si="1038"/>
        <v>556197</v>
      </c>
      <c r="AE322" s="310">
        <f t="shared" si="1039"/>
        <v>272.84</v>
      </c>
      <c r="AF322" s="252">
        <f t="shared" si="1040"/>
        <v>377119</v>
      </c>
      <c r="AG322" s="306">
        <f t="shared" ref="AG322:AG323" si="1095">ROUND(AC322*0.15,2)</f>
        <v>60.36</v>
      </c>
      <c r="AH322" s="252">
        <f t="shared" ref="AH322:AH323" si="1096">ROUND(AD322*0.15,0)</f>
        <v>83430</v>
      </c>
      <c r="AI322" s="311"/>
      <c r="AJ322" s="311"/>
      <c r="AK322" s="311"/>
      <c r="AL322" s="311"/>
      <c r="AM322" s="312"/>
      <c r="AN322" s="313"/>
    </row>
    <row r="323" ht="12.75" customHeight="1">
      <c r="A323" s="245" t="s">
        <v>580</v>
      </c>
      <c r="B323" s="246" t="s">
        <v>359</v>
      </c>
      <c r="C323" s="247" t="s">
        <v>360</v>
      </c>
      <c r="D323" s="247" t="s">
        <v>112</v>
      </c>
      <c r="E323" s="248"/>
      <c r="F323" s="248"/>
      <c r="G323" s="247" t="s">
        <v>103</v>
      </c>
      <c r="H323" s="248" t="s">
        <v>1189</v>
      </c>
      <c r="I323" s="248" t="s">
        <v>105</v>
      </c>
      <c r="J323" s="300" t="s">
        <v>106</v>
      </c>
      <c r="K323" s="314">
        <f t="shared" ref="K323:R323" si="1091">-K322</f>
        <v>-402.4</v>
      </c>
      <c r="L323" s="309">
        <f t="shared" si="1091"/>
        <v>-556197</v>
      </c>
      <c r="M323" s="315">
        <f t="shared" si="1091"/>
        <v>-60.36</v>
      </c>
      <c r="N323" s="252">
        <f t="shared" si="1091"/>
        <v>-83429</v>
      </c>
      <c r="O323" s="251">
        <f t="shared" si="1091"/>
        <v>-40.93</v>
      </c>
      <c r="P323" s="252">
        <f t="shared" si="1091"/>
        <v>-56573</v>
      </c>
      <c r="Q323" s="251">
        <f t="shared" si="1091"/>
        <v>-19.43</v>
      </c>
      <c r="R323" s="252">
        <f t="shared" si="1091"/>
        <v>-26856</v>
      </c>
      <c r="S323" s="253">
        <v>1382.2</v>
      </c>
      <c r="T323" s="254">
        <v>15.0</v>
      </c>
      <c r="U323" s="255" t="s">
        <v>107</v>
      </c>
      <c r="V323" s="255"/>
      <c r="W323" s="304">
        <v>0.1</v>
      </c>
      <c r="X323" s="304">
        <v>0.032197</v>
      </c>
      <c r="Y323" s="304">
        <v>0.067803</v>
      </c>
      <c r="Z323" s="305">
        <f>-Z322</f>
        <v>-4024</v>
      </c>
      <c r="AA323" s="306">
        <f t="shared" si="1092"/>
        <v>-402.4</v>
      </c>
      <c r="AB323" s="307">
        <f t="shared" si="1093"/>
        <v>-556197</v>
      </c>
      <c r="AC323" s="308">
        <f t="shared" si="1094"/>
        <v>-402.4</v>
      </c>
      <c r="AD323" s="309">
        <f t="shared" si="1038"/>
        <v>-556197</v>
      </c>
      <c r="AE323" s="310">
        <f t="shared" si="1039"/>
        <v>-272.84</v>
      </c>
      <c r="AF323" s="252">
        <f t="shared" si="1040"/>
        <v>-377119</v>
      </c>
      <c r="AG323" s="306">
        <f t="shared" si="1095"/>
        <v>-60.36</v>
      </c>
      <c r="AH323" s="252">
        <f t="shared" si="1096"/>
        <v>-83430</v>
      </c>
      <c r="AI323" s="311"/>
      <c r="AJ323" s="311"/>
      <c r="AK323" s="311"/>
      <c r="AL323" s="311"/>
      <c r="AM323" s="312"/>
      <c r="AN323" s="313"/>
    </row>
    <row r="324" ht="12.75" customHeight="1">
      <c r="A324" s="256" t="s">
        <v>581</v>
      </c>
      <c r="B324" s="257" t="s">
        <v>359</v>
      </c>
      <c r="C324" s="258" t="s">
        <v>360</v>
      </c>
      <c r="D324" s="258" t="s">
        <v>112</v>
      </c>
      <c r="E324" s="259"/>
      <c r="F324" s="259"/>
      <c r="G324" s="258" t="s">
        <v>103</v>
      </c>
      <c r="H324" s="259" t="s">
        <v>1190</v>
      </c>
      <c r="I324" s="259" t="s">
        <v>105</v>
      </c>
      <c r="J324" s="316" t="s">
        <v>106</v>
      </c>
      <c r="K324" s="317">
        <f>ROUND(M324/0.15,2)</f>
        <v>129.53</v>
      </c>
      <c r="L324" s="318">
        <f>ROUND(N324/0.15,0)</f>
        <v>179040</v>
      </c>
      <c r="M324" s="319">
        <f t="shared" ref="M324:N324" si="1097">Q324</f>
        <v>19.43</v>
      </c>
      <c r="N324" s="261">
        <f t="shared" si="1097"/>
        <v>26856</v>
      </c>
      <c r="O324" s="262">
        <v>40.93</v>
      </c>
      <c r="P324" s="263">
        <v>56573.0</v>
      </c>
      <c r="Q324" s="260">
        <f t="shared" ref="Q324:R324" si="1098">M322-O324</f>
        <v>19.43</v>
      </c>
      <c r="R324" s="261">
        <f t="shared" si="1098"/>
        <v>26856</v>
      </c>
      <c r="S324" s="264">
        <v>1382.2</v>
      </c>
      <c r="T324" s="265">
        <v>15.0</v>
      </c>
      <c r="U324" s="266" t="s">
        <v>107</v>
      </c>
      <c r="V324" s="266" t="s">
        <v>1191</v>
      </c>
      <c r="W324" s="320">
        <v>0.1</v>
      </c>
      <c r="X324" s="320">
        <v>0.032197</v>
      </c>
      <c r="Y324" s="320">
        <v>0.067803</v>
      </c>
      <c r="Z324" s="321">
        <f>Z322</f>
        <v>4024</v>
      </c>
      <c r="AA324" s="311"/>
      <c r="AB324" s="322"/>
      <c r="AC324" s="323">
        <f>IFERROR(ROUND(Z324*X324,2),0)</f>
        <v>129.56</v>
      </c>
      <c r="AD324" s="318">
        <f t="shared" si="1038"/>
        <v>179078</v>
      </c>
      <c r="AE324" s="324">
        <f t="shared" si="1039"/>
        <v>272.84</v>
      </c>
      <c r="AF324" s="261">
        <f t="shared" si="1040"/>
        <v>377119</v>
      </c>
      <c r="AG324" s="311"/>
      <c r="AH324" s="311"/>
      <c r="AI324" s="325">
        <f>ROUND(AC324*0.15,2)</f>
        <v>19.43</v>
      </c>
      <c r="AJ324" s="261">
        <f>ROUND(AD324*0.15,0)</f>
        <v>26862</v>
      </c>
      <c r="AK324" s="325">
        <f>ROUND(AE324*0.15,2)</f>
        <v>40.93</v>
      </c>
      <c r="AL324" s="261">
        <f>ROUND(AF324*0.15,0)</f>
        <v>56568</v>
      </c>
      <c r="AM324" s="326">
        <f>IFERROR(AC324/K324,IFERROR(AK324/O324,""))</f>
        <v>1.000231607</v>
      </c>
      <c r="AN324" s="313"/>
    </row>
    <row r="325" ht="12.75" customHeight="1">
      <c r="A325" s="245" t="s">
        <v>583</v>
      </c>
      <c r="B325" s="246" t="s">
        <v>359</v>
      </c>
      <c r="C325" s="247" t="s">
        <v>360</v>
      </c>
      <c r="D325" s="247" t="s">
        <v>245</v>
      </c>
      <c r="E325" s="248"/>
      <c r="F325" s="248"/>
      <c r="G325" s="247" t="s">
        <v>103</v>
      </c>
      <c r="H325" s="248" t="s">
        <v>1192</v>
      </c>
      <c r="I325" s="248" t="s">
        <v>105</v>
      </c>
      <c r="J325" s="300" t="s">
        <v>106</v>
      </c>
      <c r="K325" s="301">
        <v>100.0</v>
      </c>
      <c r="L325" s="302">
        <v>138630.0</v>
      </c>
      <c r="M325" s="303">
        <v>15.0</v>
      </c>
      <c r="N325" s="250">
        <v>20794.0</v>
      </c>
      <c r="O325" s="249">
        <v>10.17</v>
      </c>
      <c r="P325" s="250">
        <v>14098.0</v>
      </c>
      <c r="Q325" s="251">
        <f t="shared" ref="Q325:R325" si="1099">M325-O325</f>
        <v>4.83</v>
      </c>
      <c r="R325" s="252">
        <f t="shared" si="1099"/>
        <v>6696</v>
      </c>
      <c r="S325" s="253">
        <v>1386.3</v>
      </c>
      <c r="T325" s="254">
        <v>15.0</v>
      </c>
      <c r="U325" s="255" t="s">
        <v>107</v>
      </c>
      <c r="V325" s="255"/>
      <c r="W325" s="304">
        <v>0.1</v>
      </c>
      <c r="X325" s="304">
        <v>0.032197</v>
      </c>
      <c r="Y325" s="304">
        <v>0.067803</v>
      </c>
      <c r="Z325" s="305">
        <f>IFERROR(ROUND(K325/W325,0),0)</f>
        <v>1000</v>
      </c>
      <c r="AA325" s="306">
        <f t="shared" ref="AA325:AA326" si="1101">Z325*W325</f>
        <v>100</v>
      </c>
      <c r="AB325" s="307">
        <f t="shared" ref="AB325:AB326" si="1102">ROUND(AA325*S325,0)</f>
        <v>138630</v>
      </c>
      <c r="AC325" s="308">
        <f t="shared" ref="AC325:AC326" si="1103">AA325</f>
        <v>100</v>
      </c>
      <c r="AD325" s="309">
        <f t="shared" si="1038"/>
        <v>138630</v>
      </c>
      <c r="AE325" s="310">
        <f t="shared" si="1039"/>
        <v>67.8</v>
      </c>
      <c r="AF325" s="252">
        <f t="shared" si="1040"/>
        <v>93991</v>
      </c>
      <c r="AG325" s="306">
        <f t="shared" ref="AG325:AG326" si="1104">ROUND(AC325*0.15,2)</f>
        <v>15</v>
      </c>
      <c r="AH325" s="252">
        <f t="shared" ref="AH325:AH326" si="1105">ROUND(AD325*0.15,0)</f>
        <v>20795</v>
      </c>
      <c r="AI325" s="311"/>
      <c r="AJ325" s="311"/>
      <c r="AK325" s="311"/>
      <c r="AL325" s="311"/>
      <c r="AM325" s="312"/>
      <c r="AN325" s="313"/>
    </row>
    <row r="326" ht="12.75" customHeight="1">
      <c r="A326" s="245" t="s">
        <v>584</v>
      </c>
      <c r="B326" s="246" t="s">
        <v>359</v>
      </c>
      <c r="C326" s="247" t="s">
        <v>360</v>
      </c>
      <c r="D326" s="247" t="s">
        <v>245</v>
      </c>
      <c r="E326" s="248"/>
      <c r="F326" s="248"/>
      <c r="G326" s="247" t="s">
        <v>103</v>
      </c>
      <c r="H326" s="248" t="s">
        <v>1193</v>
      </c>
      <c r="I326" s="248" t="s">
        <v>105</v>
      </c>
      <c r="J326" s="300" t="s">
        <v>106</v>
      </c>
      <c r="K326" s="314">
        <f t="shared" ref="K326:R326" si="1100">-K325</f>
        <v>-100</v>
      </c>
      <c r="L326" s="309">
        <f t="shared" si="1100"/>
        <v>-138630</v>
      </c>
      <c r="M326" s="315">
        <f t="shared" si="1100"/>
        <v>-15</v>
      </c>
      <c r="N326" s="252">
        <f t="shared" si="1100"/>
        <v>-20794</v>
      </c>
      <c r="O326" s="251">
        <f t="shared" si="1100"/>
        <v>-10.17</v>
      </c>
      <c r="P326" s="252">
        <f t="shared" si="1100"/>
        <v>-14098</v>
      </c>
      <c r="Q326" s="251">
        <f t="shared" si="1100"/>
        <v>-4.83</v>
      </c>
      <c r="R326" s="252">
        <f t="shared" si="1100"/>
        <v>-6696</v>
      </c>
      <c r="S326" s="253">
        <v>1386.3</v>
      </c>
      <c r="T326" s="254">
        <v>15.0</v>
      </c>
      <c r="U326" s="255" t="s">
        <v>107</v>
      </c>
      <c r="V326" s="255"/>
      <c r="W326" s="304">
        <v>0.1</v>
      </c>
      <c r="X326" s="304">
        <v>0.032197</v>
      </c>
      <c r="Y326" s="304">
        <v>0.067803</v>
      </c>
      <c r="Z326" s="305">
        <f>-Z325</f>
        <v>-1000</v>
      </c>
      <c r="AA326" s="306">
        <f t="shared" si="1101"/>
        <v>-100</v>
      </c>
      <c r="AB326" s="307">
        <f t="shared" si="1102"/>
        <v>-138630</v>
      </c>
      <c r="AC326" s="308">
        <f t="shared" si="1103"/>
        <v>-100</v>
      </c>
      <c r="AD326" s="309">
        <f t="shared" si="1038"/>
        <v>-138630</v>
      </c>
      <c r="AE326" s="310">
        <f t="shared" si="1039"/>
        <v>-67.8</v>
      </c>
      <c r="AF326" s="252">
        <f t="shared" si="1040"/>
        <v>-93991</v>
      </c>
      <c r="AG326" s="306">
        <f t="shared" si="1104"/>
        <v>-15</v>
      </c>
      <c r="AH326" s="252">
        <f t="shared" si="1105"/>
        <v>-20795</v>
      </c>
      <c r="AI326" s="311"/>
      <c r="AJ326" s="311"/>
      <c r="AK326" s="311"/>
      <c r="AL326" s="311"/>
      <c r="AM326" s="312"/>
      <c r="AN326" s="313"/>
    </row>
    <row r="327" ht="12.75" customHeight="1">
      <c r="A327" s="256" t="s">
        <v>585</v>
      </c>
      <c r="B327" s="257" t="s">
        <v>359</v>
      </c>
      <c r="C327" s="258" t="s">
        <v>360</v>
      </c>
      <c r="D327" s="258" t="s">
        <v>245</v>
      </c>
      <c r="E327" s="259"/>
      <c r="F327" s="259"/>
      <c r="G327" s="258" t="s">
        <v>103</v>
      </c>
      <c r="H327" s="259" t="s">
        <v>1194</v>
      </c>
      <c r="I327" s="259" t="s">
        <v>105</v>
      </c>
      <c r="J327" s="316" t="s">
        <v>106</v>
      </c>
      <c r="K327" s="317">
        <f>ROUND(M327/0.15,2)</f>
        <v>32.2</v>
      </c>
      <c r="L327" s="318">
        <f>ROUND(N327/0.15,0)</f>
        <v>44640</v>
      </c>
      <c r="M327" s="319">
        <f t="shared" ref="M327:N327" si="1106">Q327</f>
        <v>4.83</v>
      </c>
      <c r="N327" s="261">
        <f t="shared" si="1106"/>
        <v>6696</v>
      </c>
      <c r="O327" s="262">
        <v>10.17</v>
      </c>
      <c r="P327" s="263">
        <v>14098.0</v>
      </c>
      <c r="Q327" s="260">
        <f t="shared" ref="Q327:R327" si="1107">M325-O327</f>
        <v>4.83</v>
      </c>
      <c r="R327" s="261">
        <f t="shared" si="1107"/>
        <v>6696</v>
      </c>
      <c r="S327" s="264">
        <v>1386.3</v>
      </c>
      <c r="T327" s="265">
        <v>15.0</v>
      </c>
      <c r="U327" s="266" t="s">
        <v>107</v>
      </c>
      <c r="V327" s="266" t="s">
        <v>1195</v>
      </c>
      <c r="W327" s="320">
        <v>0.1</v>
      </c>
      <c r="X327" s="320">
        <v>0.032197</v>
      </c>
      <c r="Y327" s="320">
        <v>0.067803</v>
      </c>
      <c r="Z327" s="321">
        <f>Z325</f>
        <v>1000</v>
      </c>
      <c r="AA327" s="311"/>
      <c r="AB327" s="322"/>
      <c r="AC327" s="323">
        <f>IFERROR(ROUND(Z327*X327,2),0)</f>
        <v>32.2</v>
      </c>
      <c r="AD327" s="318">
        <f t="shared" si="1038"/>
        <v>44639</v>
      </c>
      <c r="AE327" s="324">
        <f t="shared" si="1039"/>
        <v>67.8</v>
      </c>
      <c r="AF327" s="261">
        <f t="shared" si="1040"/>
        <v>93991</v>
      </c>
      <c r="AG327" s="311"/>
      <c r="AH327" s="311"/>
      <c r="AI327" s="325">
        <f>ROUND(AC327*0.15,2)</f>
        <v>4.83</v>
      </c>
      <c r="AJ327" s="261">
        <f>ROUND(AD327*0.15,0)</f>
        <v>6696</v>
      </c>
      <c r="AK327" s="325">
        <f>ROUND(AE327*0.15,2)</f>
        <v>10.17</v>
      </c>
      <c r="AL327" s="261">
        <f>ROUND(AF327*0.15,0)</f>
        <v>14099</v>
      </c>
      <c r="AM327" s="326">
        <f>IFERROR(AC327/K327,IFERROR(AK327/O327,""))</f>
        <v>1</v>
      </c>
      <c r="AN327" s="313"/>
    </row>
    <row r="328" ht="12.75" customHeight="1">
      <c r="A328" s="245" t="s">
        <v>894</v>
      </c>
      <c r="B328" s="246" t="s">
        <v>359</v>
      </c>
      <c r="C328" s="247" t="s">
        <v>360</v>
      </c>
      <c r="D328" s="247" t="s">
        <v>247</v>
      </c>
      <c r="E328" s="248"/>
      <c r="F328" s="248"/>
      <c r="G328" s="247" t="s">
        <v>103</v>
      </c>
      <c r="H328" s="248" t="s">
        <v>1196</v>
      </c>
      <c r="I328" s="248" t="s">
        <v>105</v>
      </c>
      <c r="J328" s="300" t="s">
        <v>106</v>
      </c>
      <c r="K328" s="301">
        <v>94.9</v>
      </c>
      <c r="L328" s="302">
        <v>131692.0</v>
      </c>
      <c r="M328" s="303">
        <v>14.23</v>
      </c>
      <c r="N328" s="250">
        <v>19746.0</v>
      </c>
      <c r="O328" s="249">
        <v>9.65</v>
      </c>
      <c r="P328" s="250">
        <v>13391.0</v>
      </c>
      <c r="Q328" s="251">
        <f t="shared" ref="Q328:R328" si="1108">M328-O328</f>
        <v>4.58</v>
      </c>
      <c r="R328" s="252">
        <f t="shared" si="1108"/>
        <v>6355</v>
      </c>
      <c r="S328" s="253">
        <v>1387.7</v>
      </c>
      <c r="T328" s="254">
        <v>15.0</v>
      </c>
      <c r="U328" s="255" t="s">
        <v>107</v>
      </c>
      <c r="V328" s="255"/>
      <c r="W328" s="304">
        <v>0.0949</v>
      </c>
      <c r="X328" s="304">
        <v>0.030555</v>
      </c>
      <c r="Y328" s="304">
        <v>0.064345</v>
      </c>
      <c r="Z328" s="305">
        <f>IFERROR(ROUND(K328/W328,0),0)</f>
        <v>1000</v>
      </c>
      <c r="AA328" s="306">
        <f t="shared" ref="AA328:AA329" si="1110">Z328*W328</f>
        <v>94.9</v>
      </c>
      <c r="AB328" s="307">
        <f t="shared" ref="AB328:AB329" si="1111">ROUND(AA328*S328,0)</f>
        <v>131693</v>
      </c>
      <c r="AC328" s="308">
        <f t="shared" ref="AC328:AC329" si="1112">AA328</f>
        <v>94.9</v>
      </c>
      <c r="AD328" s="309">
        <f t="shared" si="1038"/>
        <v>131693</v>
      </c>
      <c r="AE328" s="310">
        <f t="shared" si="1039"/>
        <v>64.35</v>
      </c>
      <c r="AF328" s="252">
        <f t="shared" si="1040"/>
        <v>89298</v>
      </c>
      <c r="AG328" s="306">
        <f t="shared" ref="AG328:AG329" si="1113">ROUND(AC328*0.15,2)</f>
        <v>14.24</v>
      </c>
      <c r="AH328" s="252">
        <f t="shared" ref="AH328:AH329" si="1114">ROUND(AD328*0.15,0)</f>
        <v>19754</v>
      </c>
      <c r="AI328" s="311"/>
      <c r="AJ328" s="311"/>
      <c r="AK328" s="311"/>
      <c r="AL328" s="311"/>
      <c r="AM328" s="312"/>
      <c r="AN328" s="313"/>
    </row>
    <row r="329" ht="12.75" customHeight="1">
      <c r="A329" s="245" t="s">
        <v>896</v>
      </c>
      <c r="B329" s="246" t="s">
        <v>359</v>
      </c>
      <c r="C329" s="247" t="s">
        <v>360</v>
      </c>
      <c r="D329" s="247" t="s">
        <v>247</v>
      </c>
      <c r="E329" s="248"/>
      <c r="F329" s="248"/>
      <c r="G329" s="247" t="s">
        <v>103</v>
      </c>
      <c r="H329" s="248" t="s">
        <v>1197</v>
      </c>
      <c r="I329" s="248" t="s">
        <v>105</v>
      </c>
      <c r="J329" s="300" t="s">
        <v>106</v>
      </c>
      <c r="K329" s="314">
        <f t="shared" ref="K329:R329" si="1109">-K328</f>
        <v>-94.9</v>
      </c>
      <c r="L329" s="309">
        <f t="shared" si="1109"/>
        <v>-131692</v>
      </c>
      <c r="M329" s="315">
        <f t="shared" si="1109"/>
        <v>-14.23</v>
      </c>
      <c r="N329" s="252">
        <f t="shared" si="1109"/>
        <v>-19746</v>
      </c>
      <c r="O329" s="251">
        <f t="shared" si="1109"/>
        <v>-9.65</v>
      </c>
      <c r="P329" s="252">
        <f t="shared" si="1109"/>
        <v>-13391</v>
      </c>
      <c r="Q329" s="251">
        <f t="shared" si="1109"/>
        <v>-4.58</v>
      </c>
      <c r="R329" s="252">
        <f t="shared" si="1109"/>
        <v>-6355</v>
      </c>
      <c r="S329" s="253">
        <v>1387.7</v>
      </c>
      <c r="T329" s="254">
        <v>15.0</v>
      </c>
      <c r="U329" s="255" t="s">
        <v>107</v>
      </c>
      <c r="V329" s="255"/>
      <c r="W329" s="304">
        <v>0.0949</v>
      </c>
      <c r="X329" s="304">
        <v>0.030555</v>
      </c>
      <c r="Y329" s="304">
        <v>0.064345</v>
      </c>
      <c r="Z329" s="305">
        <f>-Z328</f>
        <v>-1000</v>
      </c>
      <c r="AA329" s="306">
        <f t="shared" si="1110"/>
        <v>-94.9</v>
      </c>
      <c r="AB329" s="307">
        <f t="shared" si="1111"/>
        <v>-131693</v>
      </c>
      <c r="AC329" s="308">
        <f t="shared" si="1112"/>
        <v>-94.9</v>
      </c>
      <c r="AD329" s="309">
        <f t="shared" si="1038"/>
        <v>-131693</v>
      </c>
      <c r="AE329" s="310">
        <f t="shared" si="1039"/>
        <v>-64.35</v>
      </c>
      <c r="AF329" s="252">
        <f t="shared" si="1040"/>
        <v>-89298</v>
      </c>
      <c r="AG329" s="306">
        <f t="shared" si="1113"/>
        <v>-14.24</v>
      </c>
      <c r="AH329" s="252">
        <f t="shared" si="1114"/>
        <v>-19754</v>
      </c>
      <c r="AI329" s="311"/>
      <c r="AJ329" s="311"/>
      <c r="AK329" s="311"/>
      <c r="AL329" s="311"/>
      <c r="AM329" s="312"/>
      <c r="AN329" s="313"/>
    </row>
    <row r="330" ht="12.75" customHeight="1">
      <c r="A330" s="256" t="s">
        <v>898</v>
      </c>
      <c r="B330" s="257" t="s">
        <v>359</v>
      </c>
      <c r="C330" s="258" t="s">
        <v>360</v>
      </c>
      <c r="D330" s="258" t="s">
        <v>247</v>
      </c>
      <c r="E330" s="259"/>
      <c r="F330" s="259"/>
      <c r="G330" s="258" t="s">
        <v>103</v>
      </c>
      <c r="H330" s="259" t="s">
        <v>1198</v>
      </c>
      <c r="I330" s="259" t="s">
        <v>105</v>
      </c>
      <c r="J330" s="316" t="s">
        <v>106</v>
      </c>
      <c r="K330" s="317">
        <f>ROUND(M330/0.15,2)</f>
        <v>30.53</v>
      </c>
      <c r="L330" s="318">
        <f>ROUND(N330/0.15,0)</f>
        <v>42367</v>
      </c>
      <c r="M330" s="319">
        <f t="shared" ref="M330:N330" si="1115">Q330</f>
        <v>4.58</v>
      </c>
      <c r="N330" s="261">
        <f t="shared" si="1115"/>
        <v>6355</v>
      </c>
      <c r="O330" s="262">
        <v>9.65</v>
      </c>
      <c r="P330" s="263">
        <v>13391.0</v>
      </c>
      <c r="Q330" s="260">
        <f t="shared" ref="Q330:R330" si="1116">M328-O330</f>
        <v>4.58</v>
      </c>
      <c r="R330" s="261">
        <f t="shared" si="1116"/>
        <v>6355</v>
      </c>
      <c r="S330" s="264">
        <v>1387.7</v>
      </c>
      <c r="T330" s="265">
        <v>15.0</v>
      </c>
      <c r="U330" s="266" t="s">
        <v>107</v>
      </c>
      <c r="V330" s="266" t="s">
        <v>1199</v>
      </c>
      <c r="W330" s="320">
        <v>0.0949</v>
      </c>
      <c r="X330" s="320">
        <v>0.030555</v>
      </c>
      <c r="Y330" s="320">
        <v>0.064345</v>
      </c>
      <c r="Z330" s="321">
        <f>Z328</f>
        <v>1000</v>
      </c>
      <c r="AA330" s="311"/>
      <c r="AB330" s="322"/>
      <c r="AC330" s="323">
        <f>IFERROR(ROUND(Z330*X330,2),0)</f>
        <v>30.56</v>
      </c>
      <c r="AD330" s="318">
        <f t="shared" si="1038"/>
        <v>42408</v>
      </c>
      <c r="AE330" s="324">
        <f t="shared" si="1039"/>
        <v>64.35</v>
      </c>
      <c r="AF330" s="261">
        <f t="shared" si="1040"/>
        <v>89298</v>
      </c>
      <c r="AG330" s="311"/>
      <c r="AH330" s="311"/>
      <c r="AI330" s="325">
        <f>ROUND(AC330*0.15,2)</f>
        <v>4.58</v>
      </c>
      <c r="AJ330" s="261">
        <f>ROUND(AD330*0.15,0)</f>
        <v>6361</v>
      </c>
      <c r="AK330" s="325">
        <f>ROUND(AE330*0.15,2)</f>
        <v>9.65</v>
      </c>
      <c r="AL330" s="261">
        <f>ROUND(AF330*0.15,0)</f>
        <v>13395</v>
      </c>
      <c r="AM330" s="326">
        <f>IFERROR(AC330/K330,IFERROR(AK330/O330,""))</f>
        <v>1.00098264</v>
      </c>
      <c r="AN330" s="313"/>
    </row>
    <row r="331" ht="12.75" customHeight="1">
      <c r="A331" s="245" t="s">
        <v>901</v>
      </c>
      <c r="B331" s="246" t="s">
        <v>359</v>
      </c>
      <c r="C331" s="247" t="s">
        <v>360</v>
      </c>
      <c r="D331" s="247" t="s">
        <v>114</v>
      </c>
      <c r="E331" s="248"/>
      <c r="F331" s="248"/>
      <c r="G331" s="247" t="s">
        <v>116</v>
      </c>
      <c r="H331" s="248" t="s">
        <v>1200</v>
      </c>
      <c r="I331" s="248" t="s">
        <v>105</v>
      </c>
      <c r="J331" s="300" t="s">
        <v>106</v>
      </c>
      <c r="K331" s="301">
        <v>602.78</v>
      </c>
      <c r="L331" s="302">
        <v>838949.0</v>
      </c>
      <c r="M331" s="303">
        <v>90.42</v>
      </c>
      <c r="N331" s="250">
        <v>125846.0</v>
      </c>
      <c r="O331" s="249">
        <v>3.46</v>
      </c>
      <c r="P331" s="250">
        <v>4815.0</v>
      </c>
      <c r="Q331" s="251">
        <f t="shared" ref="Q331:R331" si="1117">M331-O331</f>
        <v>86.96</v>
      </c>
      <c r="R331" s="252">
        <f t="shared" si="1117"/>
        <v>121031</v>
      </c>
      <c r="S331" s="253">
        <v>1391.8</v>
      </c>
      <c r="T331" s="254">
        <v>15.0</v>
      </c>
      <c r="U331" s="255" t="s">
        <v>107</v>
      </c>
      <c r="V331" s="255"/>
      <c r="W331" s="304">
        <v>0.720248</v>
      </c>
      <c r="X331" s="304">
        <v>0.720248</v>
      </c>
      <c r="Y331" s="304">
        <v>0.0</v>
      </c>
      <c r="Z331" s="305">
        <f>IFERROR(ROUND(K331/W331,0),0)</f>
        <v>837</v>
      </c>
      <c r="AA331" s="306">
        <f t="shared" ref="AA331:AA332" si="1119">Z331*W331</f>
        <v>602.847576</v>
      </c>
      <c r="AB331" s="307">
        <f t="shared" ref="AB331:AB332" si="1120">ROUND(AA331*S331,0)</f>
        <v>839043</v>
      </c>
      <c r="AC331" s="308">
        <f t="shared" ref="AC331:AC332" si="1121">AA331</f>
        <v>602.847576</v>
      </c>
      <c r="AD331" s="309">
        <f t="shared" si="1038"/>
        <v>839043</v>
      </c>
      <c r="AE331" s="310">
        <f t="shared" si="1039"/>
        <v>0</v>
      </c>
      <c r="AF331" s="252">
        <f t="shared" si="1040"/>
        <v>0</v>
      </c>
      <c r="AG331" s="306">
        <f t="shared" ref="AG331:AG332" si="1122">ROUND(AC331*0.15,2)</f>
        <v>90.43</v>
      </c>
      <c r="AH331" s="252">
        <f t="shared" ref="AH331:AH332" si="1123">ROUND(AD331*0.15,0)</f>
        <v>125856</v>
      </c>
      <c r="AI331" s="311"/>
      <c r="AJ331" s="311"/>
      <c r="AK331" s="311"/>
      <c r="AL331" s="311"/>
      <c r="AM331" s="312"/>
      <c r="AN331" s="313"/>
    </row>
    <row r="332" ht="12.75" customHeight="1">
      <c r="A332" s="245" t="s">
        <v>903</v>
      </c>
      <c r="B332" s="246" t="s">
        <v>359</v>
      </c>
      <c r="C332" s="247" t="s">
        <v>360</v>
      </c>
      <c r="D332" s="247" t="s">
        <v>114</v>
      </c>
      <c r="E332" s="248"/>
      <c r="F332" s="248"/>
      <c r="G332" s="247" t="s">
        <v>116</v>
      </c>
      <c r="H332" s="248" t="s">
        <v>1201</v>
      </c>
      <c r="I332" s="248" t="s">
        <v>105</v>
      </c>
      <c r="J332" s="300" t="s">
        <v>106</v>
      </c>
      <c r="K332" s="314">
        <f t="shared" ref="K332:R332" si="1118">-K331</f>
        <v>-602.78</v>
      </c>
      <c r="L332" s="309">
        <f t="shared" si="1118"/>
        <v>-838949</v>
      </c>
      <c r="M332" s="315">
        <f t="shared" si="1118"/>
        <v>-90.42</v>
      </c>
      <c r="N332" s="252">
        <f t="shared" si="1118"/>
        <v>-125846</v>
      </c>
      <c r="O332" s="251">
        <f t="shared" si="1118"/>
        <v>-3.46</v>
      </c>
      <c r="P332" s="252">
        <f t="shared" si="1118"/>
        <v>-4815</v>
      </c>
      <c r="Q332" s="251">
        <f t="shared" si="1118"/>
        <v>-86.96</v>
      </c>
      <c r="R332" s="252">
        <f t="shared" si="1118"/>
        <v>-121031</v>
      </c>
      <c r="S332" s="253">
        <v>1391.8</v>
      </c>
      <c r="T332" s="254">
        <v>15.0</v>
      </c>
      <c r="U332" s="255" t="s">
        <v>107</v>
      </c>
      <c r="V332" s="255"/>
      <c r="W332" s="304">
        <v>0.720248</v>
      </c>
      <c r="X332" s="304">
        <v>0.720248</v>
      </c>
      <c r="Y332" s="304">
        <v>0.0</v>
      </c>
      <c r="Z332" s="305">
        <f>-Z331</f>
        <v>-837</v>
      </c>
      <c r="AA332" s="306">
        <f t="shared" si="1119"/>
        <v>-602.847576</v>
      </c>
      <c r="AB332" s="307">
        <f t="shared" si="1120"/>
        <v>-839043</v>
      </c>
      <c r="AC332" s="308">
        <f t="shared" si="1121"/>
        <v>-602.847576</v>
      </c>
      <c r="AD332" s="309">
        <f t="shared" si="1038"/>
        <v>-839043</v>
      </c>
      <c r="AE332" s="310">
        <f t="shared" si="1039"/>
        <v>0</v>
      </c>
      <c r="AF332" s="252">
        <f t="shared" si="1040"/>
        <v>0</v>
      </c>
      <c r="AG332" s="306">
        <f t="shared" si="1122"/>
        <v>-90.43</v>
      </c>
      <c r="AH332" s="252">
        <f t="shared" si="1123"/>
        <v>-125856</v>
      </c>
      <c r="AI332" s="311"/>
      <c r="AJ332" s="311"/>
      <c r="AK332" s="311"/>
      <c r="AL332" s="311"/>
      <c r="AM332" s="312"/>
      <c r="AN332" s="313"/>
    </row>
    <row r="333" ht="12.75" customHeight="1">
      <c r="A333" s="327" t="s">
        <v>905</v>
      </c>
      <c r="B333" s="328" t="s">
        <v>359</v>
      </c>
      <c r="C333" s="329" t="s">
        <v>360</v>
      </c>
      <c r="D333" s="329" t="s">
        <v>114</v>
      </c>
      <c r="E333" s="330"/>
      <c r="F333" s="330"/>
      <c r="G333" s="329" t="s">
        <v>116</v>
      </c>
      <c r="H333" s="330" t="s">
        <v>1202</v>
      </c>
      <c r="I333" s="330" t="s">
        <v>105</v>
      </c>
      <c r="J333" s="331" t="s">
        <v>106</v>
      </c>
      <c r="K333" s="332">
        <f>ROUND(M333/0.15,2)</f>
        <v>579.73</v>
      </c>
      <c r="L333" s="333">
        <f>ROUND(N333/0.15,0)</f>
        <v>806873</v>
      </c>
      <c r="M333" s="334">
        <f t="shared" ref="M333:N333" si="1124">Q333</f>
        <v>86.96</v>
      </c>
      <c r="N333" s="335">
        <f t="shared" si="1124"/>
        <v>121031</v>
      </c>
      <c r="O333" s="336">
        <v>3.46</v>
      </c>
      <c r="P333" s="337">
        <v>4815.0</v>
      </c>
      <c r="Q333" s="338">
        <f t="shared" ref="Q333:R333" si="1125">M331-O333</f>
        <v>86.96</v>
      </c>
      <c r="R333" s="335">
        <f t="shared" si="1125"/>
        <v>121031</v>
      </c>
      <c r="S333" s="339">
        <v>1391.8</v>
      </c>
      <c r="T333" s="340">
        <v>15.0</v>
      </c>
      <c r="U333" s="341" t="s">
        <v>107</v>
      </c>
      <c r="V333" s="341" t="s">
        <v>1203</v>
      </c>
      <c r="W333" s="342">
        <v>0.720248</v>
      </c>
      <c r="X333" s="342">
        <v>0.720248</v>
      </c>
      <c r="Y333" s="342">
        <v>0.0</v>
      </c>
      <c r="Z333" s="343">
        <f>Z331</f>
        <v>837</v>
      </c>
      <c r="AA333" s="344"/>
      <c r="AB333" s="345"/>
      <c r="AC333" s="346">
        <f t="shared" ref="AC333:AD333" si="1126">K333</f>
        <v>579.73</v>
      </c>
      <c r="AD333" s="347">
        <f t="shared" si="1126"/>
        <v>806873</v>
      </c>
      <c r="AE333" s="348">
        <f t="shared" ref="AE333:AF333" si="1127">round(AK333/0.15,2)</f>
        <v>23.07</v>
      </c>
      <c r="AF333" s="348">
        <f t="shared" si="1127"/>
        <v>32100</v>
      </c>
      <c r="AG333" s="349"/>
      <c r="AH333" s="349"/>
      <c r="AI333" s="350">
        <f>ROUND(AC333*0.15,2)</f>
        <v>86.96</v>
      </c>
      <c r="AJ333" s="351">
        <f>ROUND(AD333*0.15,0)</f>
        <v>121031</v>
      </c>
      <c r="AK333" s="350">
        <f t="shared" ref="AK333:AL333" si="1128">O333</f>
        <v>3.46</v>
      </c>
      <c r="AL333" s="350">
        <f t="shared" si="1128"/>
        <v>4815</v>
      </c>
      <c r="AM333" s="352">
        <f>IFERROR(AC333/K333,IFERROR(AK333/O333,""))</f>
        <v>1</v>
      </c>
      <c r="AN333" s="353" t="s">
        <v>983</v>
      </c>
    </row>
    <row r="334" ht="12.75" customHeight="1">
      <c r="A334" s="245" t="s">
        <v>908</v>
      </c>
      <c r="B334" s="246" t="s">
        <v>359</v>
      </c>
      <c r="C334" s="247" t="s">
        <v>360</v>
      </c>
      <c r="D334" s="247" t="s">
        <v>114</v>
      </c>
      <c r="E334" s="248"/>
      <c r="F334" s="248"/>
      <c r="G334" s="247" t="s">
        <v>103</v>
      </c>
      <c r="H334" s="248" t="s">
        <v>1204</v>
      </c>
      <c r="I334" s="248" t="s">
        <v>105</v>
      </c>
      <c r="J334" s="300" t="s">
        <v>106</v>
      </c>
      <c r="K334" s="301">
        <v>90.0</v>
      </c>
      <c r="L334" s="302">
        <v>125262.0</v>
      </c>
      <c r="M334" s="303">
        <v>13.5</v>
      </c>
      <c r="N334" s="250">
        <v>18789.0</v>
      </c>
      <c r="O334" s="249">
        <v>9.15</v>
      </c>
      <c r="P334" s="250">
        <v>12734.0</v>
      </c>
      <c r="Q334" s="251">
        <f t="shared" ref="Q334:R334" si="1129">M334-O334</f>
        <v>4.35</v>
      </c>
      <c r="R334" s="252">
        <f t="shared" si="1129"/>
        <v>6055</v>
      </c>
      <c r="S334" s="253">
        <v>1391.8</v>
      </c>
      <c r="T334" s="254">
        <v>15.0</v>
      </c>
      <c r="U334" s="255" t="s">
        <v>107</v>
      </c>
      <c r="V334" s="255"/>
      <c r="W334" s="304">
        <v>0.0928</v>
      </c>
      <c r="X334" s="304">
        <v>0.029879</v>
      </c>
      <c r="Y334" s="304">
        <v>0.062921</v>
      </c>
      <c r="Z334" s="305">
        <f>IFERROR(ROUND(K334/W334,0),0)</f>
        <v>970</v>
      </c>
      <c r="AA334" s="306">
        <f t="shared" ref="AA334:AA335" si="1131">Z334*W334</f>
        <v>90.016</v>
      </c>
      <c r="AB334" s="307">
        <f t="shared" ref="AB334:AB335" si="1132">ROUND(AA334*S334,0)</f>
        <v>125284</v>
      </c>
      <c r="AC334" s="308">
        <f t="shared" ref="AC334:AC335" si="1133">AA334</f>
        <v>90.016</v>
      </c>
      <c r="AD334" s="309">
        <f t="shared" ref="AD334:AD345" si="1134">ROUND(AC334*S334,0)</f>
        <v>125284</v>
      </c>
      <c r="AE334" s="310">
        <f t="shared" ref="AE334:AE345" si="1135">IFERROR(ROUND(Z334*Y334,2),0)</f>
        <v>61.03</v>
      </c>
      <c r="AF334" s="252">
        <f t="shared" ref="AF334:AF345" si="1136">ROUND(AE334*S334,0)</f>
        <v>84942</v>
      </c>
      <c r="AG334" s="306">
        <f t="shared" ref="AG334:AG335" si="1137">ROUND(AC334*0.15,2)</f>
        <v>13.5</v>
      </c>
      <c r="AH334" s="252">
        <f t="shared" ref="AH334:AH335" si="1138">ROUND(AD334*0.15,0)</f>
        <v>18793</v>
      </c>
      <c r="AI334" s="311"/>
      <c r="AJ334" s="311"/>
      <c r="AK334" s="311"/>
      <c r="AL334" s="311"/>
      <c r="AM334" s="312"/>
      <c r="AN334" s="313"/>
    </row>
    <row r="335" ht="12.75" customHeight="1">
      <c r="A335" s="245" t="s">
        <v>910</v>
      </c>
      <c r="B335" s="246" t="s">
        <v>359</v>
      </c>
      <c r="C335" s="247" t="s">
        <v>360</v>
      </c>
      <c r="D335" s="247" t="s">
        <v>114</v>
      </c>
      <c r="E335" s="248"/>
      <c r="F335" s="248"/>
      <c r="G335" s="247" t="s">
        <v>103</v>
      </c>
      <c r="H335" s="248" t="s">
        <v>1205</v>
      </c>
      <c r="I335" s="248" t="s">
        <v>105</v>
      </c>
      <c r="J335" s="300" t="s">
        <v>106</v>
      </c>
      <c r="K335" s="314">
        <f t="shared" ref="K335:R335" si="1130">-K334</f>
        <v>-90</v>
      </c>
      <c r="L335" s="309">
        <f t="shared" si="1130"/>
        <v>-125262</v>
      </c>
      <c r="M335" s="315">
        <f t="shared" si="1130"/>
        <v>-13.5</v>
      </c>
      <c r="N335" s="252">
        <f t="shared" si="1130"/>
        <v>-18789</v>
      </c>
      <c r="O335" s="251">
        <f t="shared" si="1130"/>
        <v>-9.15</v>
      </c>
      <c r="P335" s="252">
        <f t="shared" si="1130"/>
        <v>-12734</v>
      </c>
      <c r="Q335" s="251">
        <f t="shared" si="1130"/>
        <v>-4.35</v>
      </c>
      <c r="R335" s="252">
        <f t="shared" si="1130"/>
        <v>-6055</v>
      </c>
      <c r="S335" s="253">
        <v>1391.8</v>
      </c>
      <c r="T335" s="254">
        <v>15.0</v>
      </c>
      <c r="U335" s="255" t="s">
        <v>107</v>
      </c>
      <c r="V335" s="255"/>
      <c r="W335" s="304">
        <v>0.0928</v>
      </c>
      <c r="X335" s="304">
        <v>0.029879</v>
      </c>
      <c r="Y335" s="304">
        <v>0.062921</v>
      </c>
      <c r="Z335" s="305">
        <f>-Z334</f>
        <v>-970</v>
      </c>
      <c r="AA335" s="306">
        <f t="shared" si="1131"/>
        <v>-90.016</v>
      </c>
      <c r="AB335" s="307">
        <f t="shared" si="1132"/>
        <v>-125284</v>
      </c>
      <c r="AC335" s="308">
        <f t="shared" si="1133"/>
        <v>-90.016</v>
      </c>
      <c r="AD335" s="309">
        <f t="shared" si="1134"/>
        <v>-125284</v>
      </c>
      <c r="AE335" s="310">
        <f t="shared" si="1135"/>
        <v>-61.03</v>
      </c>
      <c r="AF335" s="252">
        <f t="shared" si="1136"/>
        <v>-84942</v>
      </c>
      <c r="AG335" s="306">
        <f t="shared" si="1137"/>
        <v>-13.5</v>
      </c>
      <c r="AH335" s="252">
        <f t="shared" si="1138"/>
        <v>-18793</v>
      </c>
      <c r="AI335" s="311"/>
      <c r="AJ335" s="311"/>
      <c r="AK335" s="311"/>
      <c r="AL335" s="311"/>
      <c r="AM335" s="312"/>
      <c r="AN335" s="313"/>
    </row>
    <row r="336" ht="12.75" customHeight="1">
      <c r="A336" s="256" t="s">
        <v>912</v>
      </c>
      <c r="B336" s="257" t="s">
        <v>359</v>
      </c>
      <c r="C336" s="258" t="s">
        <v>360</v>
      </c>
      <c r="D336" s="258" t="s">
        <v>114</v>
      </c>
      <c r="E336" s="259"/>
      <c r="F336" s="259"/>
      <c r="G336" s="258" t="s">
        <v>103</v>
      </c>
      <c r="H336" s="259" t="s">
        <v>1206</v>
      </c>
      <c r="I336" s="259" t="s">
        <v>105</v>
      </c>
      <c r="J336" s="316" t="s">
        <v>106</v>
      </c>
      <c r="K336" s="317">
        <f>ROUND(M336/0.15,2)</f>
        <v>29</v>
      </c>
      <c r="L336" s="318">
        <f>ROUND(N336/0.15,0)</f>
        <v>40367</v>
      </c>
      <c r="M336" s="319">
        <f t="shared" ref="M336:N336" si="1139">Q336</f>
        <v>4.35</v>
      </c>
      <c r="N336" s="261">
        <f t="shared" si="1139"/>
        <v>6055</v>
      </c>
      <c r="O336" s="262">
        <v>9.15</v>
      </c>
      <c r="P336" s="263">
        <v>12734.0</v>
      </c>
      <c r="Q336" s="260">
        <f t="shared" ref="Q336:R336" si="1140">M334-O336</f>
        <v>4.35</v>
      </c>
      <c r="R336" s="261">
        <f t="shared" si="1140"/>
        <v>6055</v>
      </c>
      <c r="S336" s="264">
        <v>1391.8</v>
      </c>
      <c r="T336" s="265">
        <v>15.0</v>
      </c>
      <c r="U336" s="266" t="s">
        <v>107</v>
      </c>
      <c r="V336" s="266" t="s">
        <v>1207</v>
      </c>
      <c r="W336" s="320">
        <v>0.0928</v>
      </c>
      <c r="X336" s="320">
        <v>0.029879</v>
      </c>
      <c r="Y336" s="320">
        <v>0.062921</v>
      </c>
      <c r="Z336" s="321">
        <f>Z334</f>
        <v>970</v>
      </c>
      <c r="AA336" s="311"/>
      <c r="AB336" s="322"/>
      <c r="AC336" s="323">
        <f>IFERROR(ROUND(Z336*X336,2),0)</f>
        <v>28.98</v>
      </c>
      <c r="AD336" s="318">
        <f t="shared" si="1134"/>
        <v>40334</v>
      </c>
      <c r="AE336" s="324">
        <f t="shared" si="1135"/>
        <v>61.03</v>
      </c>
      <c r="AF336" s="261">
        <f t="shared" si="1136"/>
        <v>84942</v>
      </c>
      <c r="AG336" s="311"/>
      <c r="AH336" s="311"/>
      <c r="AI336" s="325">
        <f>ROUND(AC336*0.15,2)</f>
        <v>4.35</v>
      </c>
      <c r="AJ336" s="261">
        <f>ROUND(AD336*0.15,0)</f>
        <v>6050</v>
      </c>
      <c r="AK336" s="325">
        <f>ROUND(AE336*0.15,2)</f>
        <v>9.15</v>
      </c>
      <c r="AL336" s="261">
        <f>ROUND(AF336*0.15,0)</f>
        <v>12741</v>
      </c>
      <c r="AM336" s="326">
        <f>IFERROR(AC336/K336,IFERROR(AK336/O336,""))</f>
        <v>0.9993103448</v>
      </c>
      <c r="AN336" s="313"/>
    </row>
    <row r="337" ht="12.75" customHeight="1">
      <c r="A337" s="245" t="s">
        <v>915</v>
      </c>
      <c r="B337" s="246" t="s">
        <v>359</v>
      </c>
      <c r="C337" s="247" t="s">
        <v>360</v>
      </c>
      <c r="D337" s="247" t="s">
        <v>413</v>
      </c>
      <c r="E337" s="248"/>
      <c r="F337" s="248"/>
      <c r="G337" s="247" t="s">
        <v>103</v>
      </c>
      <c r="H337" s="248" t="s">
        <v>1208</v>
      </c>
      <c r="I337" s="248" t="s">
        <v>105</v>
      </c>
      <c r="J337" s="300" t="s">
        <v>106</v>
      </c>
      <c r="K337" s="301">
        <v>92.8</v>
      </c>
      <c r="L337" s="302">
        <v>128945.0</v>
      </c>
      <c r="M337" s="303">
        <v>13.92</v>
      </c>
      <c r="N337" s="250">
        <v>19341.0</v>
      </c>
      <c r="O337" s="249">
        <v>9.44</v>
      </c>
      <c r="P337" s="250">
        <v>13116.0</v>
      </c>
      <c r="Q337" s="251">
        <f t="shared" ref="Q337:R337" si="1141">M337-O337</f>
        <v>4.48</v>
      </c>
      <c r="R337" s="252">
        <f t="shared" si="1141"/>
        <v>6225</v>
      </c>
      <c r="S337" s="253">
        <v>1389.5</v>
      </c>
      <c r="T337" s="254">
        <v>15.0</v>
      </c>
      <c r="U337" s="255" t="s">
        <v>107</v>
      </c>
      <c r="V337" s="255"/>
      <c r="W337" s="304">
        <v>0.0928</v>
      </c>
      <c r="X337" s="304">
        <v>0.029879</v>
      </c>
      <c r="Y337" s="304">
        <v>0.062921</v>
      </c>
      <c r="Z337" s="305">
        <f>IFERROR(ROUND(K337/W337,0),0)</f>
        <v>1000</v>
      </c>
      <c r="AA337" s="306">
        <f t="shared" ref="AA337:AA338" si="1143">Z337*W337</f>
        <v>92.8</v>
      </c>
      <c r="AB337" s="307">
        <f t="shared" ref="AB337:AB338" si="1144">ROUND(AA337*S337,0)</f>
        <v>128946</v>
      </c>
      <c r="AC337" s="308">
        <f t="shared" ref="AC337:AC338" si="1145">AA337</f>
        <v>92.8</v>
      </c>
      <c r="AD337" s="309">
        <f t="shared" si="1134"/>
        <v>128946</v>
      </c>
      <c r="AE337" s="310">
        <f t="shared" si="1135"/>
        <v>62.92</v>
      </c>
      <c r="AF337" s="252">
        <f t="shared" si="1136"/>
        <v>87427</v>
      </c>
      <c r="AG337" s="306">
        <f t="shared" ref="AG337:AG338" si="1146">ROUND(AC337*0.15,2)</f>
        <v>13.92</v>
      </c>
      <c r="AH337" s="252">
        <f t="shared" ref="AH337:AH338" si="1147">ROUND(AD337*0.15,0)</f>
        <v>19342</v>
      </c>
      <c r="AI337" s="311"/>
      <c r="AJ337" s="311"/>
      <c r="AK337" s="311"/>
      <c r="AL337" s="311"/>
      <c r="AM337" s="312"/>
      <c r="AN337" s="313"/>
    </row>
    <row r="338" ht="12.75" customHeight="1">
      <c r="A338" s="245" t="s">
        <v>917</v>
      </c>
      <c r="B338" s="246" t="s">
        <v>359</v>
      </c>
      <c r="C338" s="247" t="s">
        <v>360</v>
      </c>
      <c r="D338" s="247" t="s">
        <v>413</v>
      </c>
      <c r="E338" s="248"/>
      <c r="F338" s="248"/>
      <c r="G338" s="247" t="s">
        <v>103</v>
      </c>
      <c r="H338" s="248" t="s">
        <v>1209</v>
      </c>
      <c r="I338" s="248" t="s">
        <v>105</v>
      </c>
      <c r="J338" s="300" t="s">
        <v>106</v>
      </c>
      <c r="K338" s="314">
        <f t="shared" ref="K338:R338" si="1142">-K337</f>
        <v>-92.8</v>
      </c>
      <c r="L338" s="309">
        <f t="shared" si="1142"/>
        <v>-128945</v>
      </c>
      <c r="M338" s="315">
        <f t="shared" si="1142"/>
        <v>-13.92</v>
      </c>
      <c r="N338" s="252">
        <f t="shared" si="1142"/>
        <v>-19341</v>
      </c>
      <c r="O338" s="251">
        <f t="shared" si="1142"/>
        <v>-9.44</v>
      </c>
      <c r="P338" s="252">
        <f t="shared" si="1142"/>
        <v>-13116</v>
      </c>
      <c r="Q338" s="251">
        <f t="shared" si="1142"/>
        <v>-4.48</v>
      </c>
      <c r="R338" s="252">
        <f t="shared" si="1142"/>
        <v>-6225</v>
      </c>
      <c r="S338" s="253">
        <v>1389.5</v>
      </c>
      <c r="T338" s="254">
        <v>15.0</v>
      </c>
      <c r="U338" s="255" t="s">
        <v>107</v>
      </c>
      <c r="V338" s="255"/>
      <c r="W338" s="304">
        <v>0.0928</v>
      </c>
      <c r="X338" s="304">
        <v>0.029879</v>
      </c>
      <c r="Y338" s="304">
        <v>0.062921</v>
      </c>
      <c r="Z338" s="305">
        <f>-Z337</f>
        <v>-1000</v>
      </c>
      <c r="AA338" s="306">
        <f t="shared" si="1143"/>
        <v>-92.8</v>
      </c>
      <c r="AB338" s="307">
        <f t="shared" si="1144"/>
        <v>-128946</v>
      </c>
      <c r="AC338" s="308">
        <f t="shared" si="1145"/>
        <v>-92.8</v>
      </c>
      <c r="AD338" s="309">
        <f t="shared" si="1134"/>
        <v>-128946</v>
      </c>
      <c r="AE338" s="310">
        <f t="shared" si="1135"/>
        <v>-62.92</v>
      </c>
      <c r="AF338" s="252">
        <f t="shared" si="1136"/>
        <v>-87427</v>
      </c>
      <c r="AG338" s="306">
        <f t="shared" si="1146"/>
        <v>-13.92</v>
      </c>
      <c r="AH338" s="252">
        <f t="shared" si="1147"/>
        <v>-19342</v>
      </c>
      <c r="AI338" s="311"/>
      <c r="AJ338" s="311"/>
      <c r="AK338" s="311"/>
      <c r="AL338" s="311"/>
      <c r="AM338" s="312"/>
      <c r="AN338" s="313"/>
    </row>
    <row r="339" ht="12.75" customHeight="1">
      <c r="A339" s="256" t="s">
        <v>919</v>
      </c>
      <c r="B339" s="257" t="s">
        <v>359</v>
      </c>
      <c r="C339" s="258" t="s">
        <v>360</v>
      </c>
      <c r="D339" s="258" t="s">
        <v>413</v>
      </c>
      <c r="E339" s="259"/>
      <c r="F339" s="259"/>
      <c r="G339" s="258" t="s">
        <v>103</v>
      </c>
      <c r="H339" s="259" t="s">
        <v>1210</v>
      </c>
      <c r="I339" s="259" t="s">
        <v>105</v>
      </c>
      <c r="J339" s="316" t="s">
        <v>106</v>
      </c>
      <c r="K339" s="317">
        <f>ROUND(M339/0.15,2)</f>
        <v>29.87</v>
      </c>
      <c r="L339" s="318">
        <f>ROUND(N339/0.15,0)</f>
        <v>41500</v>
      </c>
      <c r="M339" s="319">
        <f t="shared" ref="M339:N339" si="1148">Q339</f>
        <v>4.48</v>
      </c>
      <c r="N339" s="261">
        <f t="shared" si="1148"/>
        <v>6225</v>
      </c>
      <c r="O339" s="262">
        <v>9.44</v>
      </c>
      <c r="P339" s="263">
        <v>13116.0</v>
      </c>
      <c r="Q339" s="260">
        <f t="shared" ref="Q339:R339" si="1149">M337-O339</f>
        <v>4.48</v>
      </c>
      <c r="R339" s="261">
        <f t="shared" si="1149"/>
        <v>6225</v>
      </c>
      <c r="S339" s="264">
        <v>1389.5</v>
      </c>
      <c r="T339" s="265">
        <v>15.0</v>
      </c>
      <c r="U339" s="266" t="s">
        <v>107</v>
      </c>
      <c r="V339" s="266" t="s">
        <v>1211</v>
      </c>
      <c r="W339" s="320">
        <v>0.0928</v>
      </c>
      <c r="X339" s="320">
        <v>0.029879</v>
      </c>
      <c r="Y339" s="320">
        <v>0.062921</v>
      </c>
      <c r="Z339" s="321">
        <f>Z337</f>
        <v>1000</v>
      </c>
      <c r="AA339" s="311"/>
      <c r="AB339" s="322"/>
      <c r="AC339" s="323">
        <f>IFERROR(ROUND(Z339*X339,2),0)</f>
        <v>29.88</v>
      </c>
      <c r="AD339" s="318">
        <f t="shared" si="1134"/>
        <v>41518</v>
      </c>
      <c r="AE339" s="324">
        <f t="shared" si="1135"/>
        <v>62.92</v>
      </c>
      <c r="AF339" s="261">
        <f t="shared" si="1136"/>
        <v>87427</v>
      </c>
      <c r="AG339" s="311"/>
      <c r="AH339" s="311"/>
      <c r="AI339" s="325">
        <f>ROUND(AC339*0.15,2)</f>
        <v>4.48</v>
      </c>
      <c r="AJ339" s="261">
        <f>ROUND(AD339*0.15,0)</f>
        <v>6228</v>
      </c>
      <c r="AK339" s="325">
        <f>ROUND(AE339*0.15,2)</f>
        <v>9.44</v>
      </c>
      <c r="AL339" s="261">
        <f>ROUND(AF339*0.15,0)</f>
        <v>13114</v>
      </c>
      <c r="AM339" s="326">
        <f>IFERROR(AC339/K339,IFERROR(AK339/O339,""))</f>
        <v>1.000334784</v>
      </c>
      <c r="AN339" s="313"/>
    </row>
    <row r="340" ht="12.75" customHeight="1">
      <c r="A340" s="245" t="s">
        <v>593</v>
      </c>
      <c r="B340" s="246" t="s">
        <v>359</v>
      </c>
      <c r="C340" s="247" t="s">
        <v>360</v>
      </c>
      <c r="D340" s="247" t="s">
        <v>256</v>
      </c>
      <c r="E340" s="248"/>
      <c r="F340" s="248"/>
      <c r="G340" s="247" t="s">
        <v>103</v>
      </c>
      <c r="H340" s="248" t="s">
        <v>1212</v>
      </c>
      <c r="I340" s="248" t="s">
        <v>105</v>
      </c>
      <c r="J340" s="300" t="s">
        <v>106</v>
      </c>
      <c r="K340" s="301">
        <v>92.6</v>
      </c>
      <c r="L340" s="302">
        <v>128213.0</v>
      </c>
      <c r="M340" s="303">
        <v>13.89</v>
      </c>
      <c r="N340" s="250">
        <v>19232.0</v>
      </c>
      <c r="O340" s="249">
        <v>9.42</v>
      </c>
      <c r="P340" s="250">
        <v>13042.0</v>
      </c>
      <c r="Q340" s="251">
        <f t="shared" ref="Q340:R340" si="1150">M340-O340</f>
        <v>4.47</v>
      </c>
      <c r="R340" s="252">
        <f t="shared" si="1150"/>
        <v>6190</v>
      </c>
      <c r="S340" s="253">
        <v>1384.6</v>
      </c>
      <c r="T340" s="254">
        <v>15.0</v>
      </c>
      <c r="U340" s="255" t="s">
        <v>107</v>
      </c>
      <c r="V340" s="255"/>
      <c r="W340" s="304">
        <v>0.0926</v>
      </c>
      <c r="X340" s="304">
        <v>0.029814</v>
      </c>
      <c r="Y340" s="304">
        <v>0.062786</v>
      </c>
      <c r="Z340" s="305">
        <f>IFERROR(ROUND(K340/W340,0),0)</f>
        <v>1000</v>
      </c>
      <c r="AA340" s="306">
        <f t="shared" ref="AA340:AA341" si="1152">Z340*W340</f>
        <v>92.6</v>
      </c>
      <c r="AB340" s="307">
        <f t="shared" ref="AB340:AB341" si="1153">ROUND(AA340*S340,0)</f>
        <v>128214</v>
      </c>
      <c r="AC340" s="308">
        <f t="shared" ref="AC340:AC341" si="1154">AA340</f>
        <v>92.6</v>
      </c>
      <c r="AD340" s="309">
        <f t="shared" si="1134"/>
        <v>128214</v>
      </c>
      <c r="AE340" s="310">
        <f t="shared" si="1135"/>
        <v>62.79</v>
      </c>
      <c r="AF340" s="252">
        <f t="shared" si="1136"/>
        <v>86939</v>
      </c>
      <c r="AG340" s="306">
        <f t="shared" ref="AG340:AG341" si="1155">ROUND(AC340*0.15,2)</f>
        <v>13.89</v>
      </c>
      <c r="AH340" s="252">
        <f t="shared" ref="AH340:AH341" si="1156">ROUND(AD340*0.15,0)</f>
        <v>19232</v>
      </c>
      <c r="AI340" s="311"/>
      <c r="AJ340" s="311"/>
      <c r="AK340" s="311"/>
      <c r="AL340" s="311"/>
      <c r="AM340" s="312"/>
      <c r="AN340" s="313"/>
    </row>
    <row r="341" ht="12.75" customHeight="1">
      <c r="A341" s="245" t="s">
        <v>594</v>
      </c>
      <c r="B341" s="246" t="s">
        <v>359</v>
      </c>
      <c r="C341" s="247" t="s">
        <v>360</v>
      </c>
      <c r="D341" s="247" t="s">
        <v>256</v>
      </c>
      <c r="E341" s="248"/>
      <c r="F341" s="248"/>
      <c r="G341" s="247" t="s">
        <v>103</v>
      </c>
      <c r="H341" s="248" t="s">
        <v>1213</v>
      </c>
      <c r="I341" s="248" t="s">
        <v>105</v>
      </c>
      <c r="J341" s="300" t="s">
        <v>106</v>
      </c>
      <c r="K341" s="314">
        <f t="shared" ref="K341:R341" si="1151">-K340</f>
        <v>-92.6</v>
      </c>
      <c r="L341" s="309">
        <f t="shared" si="1151"/>
        <v>-128213</v>
      </c>
      <c r="M341" s="315">
        <f t="shared" si="1151"/>
        <v>-13.89</v>
      </c>
      <c r="N341" s="252">
        <f t="shared" si="1151"/>
        <v>-19232</v>
      </c>
      <c r="O341" s="251">
        <f t="shared" si="1151"/>
        <v>-9.42</v>
      </c>
      <c r="P341" s="252">
        <f t="shared" si="1151"/>
        <v>-13042</v>
      </c>
      <c r="Q341" s="251">
        <f t="shared" si="1151"/>
        <v>-4.47</v>
      </c>
      <c r="R341" s="252">
        <f t="shared" si="1151"/>
        <v>-6190</v>
      </c>
      <c r="S341" s="253">
        <v>1384.6</v>
      </c>
      <c r="T341" s="254">
        <v>15.0</v>
      </c>
      <c r="U341" s="255" t="s">
        <v>107</v>
      </c>
      <c r="V341" s="255"/>
      <c r="W341" s="304">
        <v>0.0926</v>
      </c>
      <c r="X341" s="304">
        <v>0.029814</v>
      </c>
      <c r="Y341" s="304">
        <v>0.062786</v>
      </c>
      <c r="Z341" s="305">
        <f>-Z340</f>
        <v>-1000</v>
      </c>
      <c r="AA341" s="306">
        <f t="shared" si="1152"/>
        <v>-92.6</v>
      </c>
      <c r="AB341" s="307">
        <f t="shared" si="1153"/>
        <v>-128214</v>
      </c>
      <c r="AC341" s="308">
        <f t="shared" si="1154"/>
        <v>-92.6</v>
      </c>
      <c r="AD341" s="309">
        <f t="shared" si="1134"/>
        <v>-128214</v>
      </c>
      <c r="AE341" s="310">
        <f t="shared" si="1135"/>
        <v>-62.79</v>
      </c>
      <c r="AF341" s="252">
        <f t="shared" si="1136"/>
        <v>-86939</v>
      </c>
      <c r="AG341" s="306">
        <f t="shared" si="1155"/>
        <v>-13.89</v>
      </c>
      <c r="AH341" s="252">
        <f t="shared" si="1156"/>
        <v>-19232</v>
      </c>
      <c r="AI341" s="311"/>
      <c r="AJ341" s="311"/>
      <c r="AK341" s="311"/>
      <c r="AL341" s="311"/>
      <c r="AM341" s="312"/>
      <c r="AN341" s="313"/>
    </row>
    <row r="342" ht="12.75" customHeight="1">
      <c r="A342" s="256" t="s">
        <v>595</v>
      </c>
      <c r="B342" s="257" t="s">
        <v>359</v>
      </c>
      <c r="C342" s="258" t="s">
        <v>360</v>
      </c>
      <c r="D342" s="258" t="s">
        <v>256</v>
      </c>
      <c r="E342" s="259"/>
      <c r="F342" s="259"/>
      <c r="G342" s="258" t="s">
        <v>103</v>
      </c>
      <c r="H342" s="259" t="s">
        <v>1214</v>
      </c>
      <c r="I342" s="259" t="s">
        <v>105</v>
      </c>
      <c r="J342" s="316" t="s">
        <v>106</v>
      </c>
      <c r="K342" s="317">
        <f>ROUND(M342/0.15,2)</f>
        <v>29.8</v>
      </c>
      <c r="L342" s="318">
        <f>ROUND(N342/0.15,0)</f>
        <v>41267</v>
      </c>
      <c r="M342" s="319">
        <f t="shared" ref="M342:N342" si="1157">Q342</f>
        <v>4.47</v>
      </c>
      <c r="N342" s="261">
        <f t="shared" si="1157"/>
        <v>6190</v>
      </c>
      <c r="O342" s="262">
        <v>9.42</v>
      </c>
      <c r="P342" s="263">
        <v>13042.0</v>
      </c>
      <c r="Q342" s="260">
        <f t="shared" ref="Q342:R342" si="1158">M340-O342</f>
        <v>4.47</v>
      </c>
      <c r="R342" s="261">
        <f t="shared" si="1158"/>
        <v>6190</v>
      </c>
      <c r="S342" s="264">
        <v>1384.6</v>
      </c>
      <c r="T342" s="265">
        <v>15.0</v>
      </c>
      <c r="U342" s="266" t="s">
        <v>107</v>
      </c>
      <c r="V342" s="266" t="s">
        <v>1215</v>
      </c>
      <c r="W342" s="320">
        <v>0.0926</v>
      </c>
      <c r="X342" s="320">
        <v>0.029814</v>
      </c>
      <c r="Y342" s="320">
        <v>0.062786</v>
      </c>
      <c r="Z342" s="321">
        <f>Z340</f>
        <v>1000</v>
      </c>
      <c r="AA342" s="311"/>
      <c r="AB342" s="322"/>
      <c r="AC342" s="323">
        <f>IFERROR(ROUND(Z342*X342,2),0)</f>
        <v>29.81</v>
      </c>
      <c r="AD342" s="318">
        <f t="shared" si="1134"/>
        <v>41275</v>
      </c>
      <c r="AE342" s="324">
        <f t="shared" si="1135"/>
        <v>62.79</v>
      </c>
      <c r="AF342" s="261">
        <f t="shared" si="1136"/>
        <v>86939</v>
      </c>
      <c r="AG342" s="311"/>
      <c r="AH342" s="311"/>
      <c r="AI342" s="325">
        <f>ROUND(AC342*0.15,2)</f>
        <v>4.47</v>
      </c>
      <c r="AJ342" s="261">
        <f>ROUND(AD342*0.15,0)</f>
        <v>6191</v>
      </c>
      <c r="AK342" s="325">
        <f>ROUND(AE342*0.15,2)</f>
        <v>9.42</v>
      </c>
      <c r="AL342" s="261">
        <f>ROUND(AF342*0.15,0)</f>
        <v>13041</v>
      </c>
      <c r="AM342" s="326">
        <f>IFERROR(AC342/K342,IFERROR(AK342/O342,""))</f>
        <v>1.00033557</v>
      </c>
      <c r="AN342" s="313"/>
    </row>
    <row r="343" ht="12.75" customHeight="1">
      <c r="A343" s="245" t="s">
        <v>597</v>
      </c>
      <c r="B343" s="246" t="s">
        <v>359</v>
      </c>
      <c r="C343" s="247" t="s">
        <v>360</v>
      </c>
      <c r="D343" s="247" t="s">
        <v>258</v>
      </c>
      <c r="E343" s="248"/>
      <c r="F343" s="248"/>
      <c r="G343" s="247" t="s">
        <v>103</v>
      </c>
      <c r="H343" s="248" t="s">
        <v>1216</v>
      </c>
      <c r="I343" s="248" t="s">
        <v>105</v>
      </c>
      <c r="J343" s="300" t="s">
        <v>106</v>
      </c>
      <c r="K343" s="301">
        <v>92.1</v>
      </c>
      <c r="L343" s="302">
        <v>130008.0</v>
      </c>
      <c r="M343" s="303">
        <v>13.81</v>
      </c>
      <c r="N343" s="250">
        <v>19494.0</v>
      </c>
      <c r="O343" s="249">
        <v>9.36</v>
      </c>
      <c r="P343" s="250">
        <v>13212.0</v>
      </c>
      <c r="Q343" s="251">
        <f t="shared" ref="Q343:R343" si="1159">M343-O343</f>
        <v>4.45</v>
      </c>
      <c r="R343" s="252">
        <f t="shared" si="1159"/>
        <v>6282</v>
      </c>
      <c r="S343" s="253">
        <v>1411.6</v>
      </c>
      <c r="T343" s="254">
        <v>15.0</v>
      </c>
      <c r="U343" s="255" t="s">
        <v>107</v>
      </c>
      <c r="V343" s="255"/>
      <c r="W343" s="304">
        <v>0.0913</v>
      </c>
      <c r="X343" s="304">
        <v>0.029396</v>
      </c>
      <c r="Y343" s="304">
        <v>0.061904</v>
      </c>
      <c r="Z343" s="305">
        <f>IFERROR(ROUND(K343/W343,0),0)</f>
        <v>1009</v>
      </c>
      <c r="AA343" s="306">
        <f t="shared" ref="AA343:AA344" si="1161">Z343*W343</f>
        <v>92.1217</v>
      </c>
      <c r="AB343" s="307">
        <f t="shared" ref="AB343:AB344" si="1162">ROUND(AA343*S343,0)</f>
        <v>130039</v>
      </c>
      <c r="AC343" s="308">
        <f t="shared" ref="AC343:AC344" si="1163">AA343</f>
        <v>92.1217</v>
      </c>
      <c r="AD343" s="309">
        <f t="shared" si="1134"/>
        <v>130039</v>
      </c>
      <c r="AE343" s="310">
        <f t="shared" si="1135"/>
        <v>62.46</v>
      </c>
      <c r="AF343" s="252">
        <f t="shared" si="1136"/>
        <v>88169</v>
      </c>
      <c r="AG343" s="306">
        <f t="shared" ref="AG343:AG344" si="1164">ROUND(AC343*0.15,2)</f>
        <v>13.82</v>
      </c>
      <c r="AH343" s="252">
        <f t="shared" ref="AH343:AH344" si="1165">ROUND(AD343*0.15,0)</f>
        <v>19506</v>
      </c>
      <c r="AI343" s="311"/>
      <c r="AJ343" s="311"/>
      <c r="AK343" s="311"/>
      <c r="AL343" s="311"/>
      <c r="AM343" s="312"/>
      <c r="AN343" s="313"/>
    </row>
    <row r="344" ht="12.75" customHeight="1">
      <c r="A344" s="245" t="s">
        <v>598</v>
      </c>
      <c r="B344" s="246" t="s">
        <v>359</v>
      </c>
      <c r="C344" s="247" t="s">
        <v>360</v>
      </c>
      <c r="D344" s="247" t="s">
        <v>258</v>
      </c>
      <c r="E344" s="248"/>
      <c r="F344" s="248"/>
      <c r="G344" s="247" t="s">
        <v>103</v>
      </c>
      <c r="H344" s="248" t="s">
        <v>1217</v>
      </c>
      <c r="I344" s="248" t="s">
        <v>105</v>
      </c>
      <c r="J344" s="300" t="s">
        <v>106</v>
      </c>
      <c r="K344" s="314">
        <f t="shared" ref="K344:R344" si="1160">-K343</f>
        <v>-92.1</v>
      </c>
      <c r="L344" s="309">
        <f t="shared" si="1160"/>
        <v>-130008</v>
      </c>
      <c r="M344" s="315">
        <f t="shared" si="1160"/>
        <v>-13.81</v>
      </c>
      <c r="N344" s="252">
        <f t="shared" si="1160"/>
        <v>-19494</v>
      </c>
      <c r="O344" s="251">
        <f t="shared" si="1160"/>
        <v>-9.36</v>
      </c>
      <c r="P344" s="252">
        <f t="shared" si="1160"/>
        <v>-13212</v>
      </c>
      <c r="Q344" s="251">
        <f t="shared" si="1160"/>
        <v>-4.45</v>
      </c>
      <c r="R344" s="252">
        <f t="shared" si="1160"/>
        <v>-6282</v>
      </c>
      <c r="S344" s="253">
        <v>1411.6</v>
      </c>
      <c r="T344" s="254">
        <v>15.0</v>
      </c>
      <c r="U344" s="255" t="s">
        <v>107</v>
      </c>
      <c r="V344" s="255"/>
      <c r="W344" s="304">
        <v>0.0913</v>
      </c>
      <c r="X344" s="304">
        <v>0.029396</v>
      </c>
      <c r="Y344" s="304">
        <v>0.061904</v>
      </c>
      <c r="Z344" s="305">
        <f>-Z343</f>
        <v>-1009</v>
      </c>
      <c r="AA344" s="306">
        <f t="shared" si="1161"/>
        <v>-92.1217</v>
      </c>
      <c r="AB344" s="307">
        <f t="shared" si="1162"/>
        <v>-130039</v>
      </c>
      <c r="AC344" s="308">
        <f t="shared" si="1163"/>
        <v>-92.1217</v>
      </c>
      <c r="AD344" s="309">
        <f t="shared" si="1134"/>
        <v>-130039</v>
      </c>
      <c r="AE344" s="310">
        <f t="shared" si="1135"/>
        <v>-62.46</v>
      </c>
      <c r="AF344" s="252">
        <f t="shared" si="1136"/>
        <v>-88169</v>
      </c>
      <c r="AG344" s="306">
        <f t="shared" si="1164"/>
        <v>-13.82</v>
      </c>
      <c r="AH344" s="252">
        <f t="shared" si="1165"/>
        <v>-19506</v>
      </c>
      <c r="AI344" s="311"/>
      <c r="AJ344" s="311"/>
      <c r="AK344" s="311"/>
      <c r="AL344" s="311"/>
      <c r="AM344" s="312"/>
      <c r="AN344" s="313"/>
    </row>
    <row r="345" ht="12.75" customHeight="1">
      <c r="A345" s="256" t="s">
        <v>599</v>
      </c>
      <c r="B345" s="257" t="s">
        <v>359</v>
      </c>
      <c r="C345" s="258" t="s">
        <v>360</v>
      </c>
      <c r="D345" s="258" t="s">
        <v>258</v>
      </c>
      <c r="E345" s="259"/>
      <c r="F345" s="259"/>
      <c r="G345" s="258" t="s">
        <v>103</v>
      </c>
      <c r="H345" s="259" t="s">
        <v>1218</v>
      </c>
      <c r="I345" s="259" t="s">
        <v>105</v>
      </c>
      <c r="J345" s="316" t="s">
        <v>106</v>
      </c>
      <c r="K345" s="317">
        <f>ROUND(M345/0.15,2)</f>
        <v>29.67</v>
      </c>
      <c r="L345" s="318">
        <f>ROUND(N345/0.15,0)</f>
        <v>41880</v>
      </c>
      <c r="M345" s="319">
        <f t="shared" ref="M345:N345" si="1166">Q345</f>
        <v>4.45</v>
      </c>
      <c r="N345" s="261">
        <f t="shared" si="1166"/>
        <v>6282</v>
      </c>
      <c r="O345" s="262">
        <v>9.36</v>
      </c>
      <c r="P345" s="263">
        <v>13212.0</v>
      </c>
      <c r="Q345" s="260">
        <f t="shared" ref="Q345:R345" si="1167">M343-O345</f>
        <v>4.45</v>
      </c>
      <c r="R345" s="261">
        <f t="shared" si="1167"/>
        <v>6282</v>
      </c>
      <c r="S345" s="264">
        <v>1411.6</v>
      </c>
      <c r="T345" s="265">
        <v>15.0</v>
      </c>
      <c r="U345" s="266" t="s">
        <v>107</v>
      </c>
      <c r="V345" s="266" t="s">
        <v>1219</v>
      </c>
      <c r="W345" s="320">
        <v>0.0913</v>
      </c>
      <c r="X345" s="320">
        <v>0.029396</v>
      </c>
      <c r="Y345" s="320">
        <v>0.061904</v>
      </c>
      <c r="Z345" s="321">
        <f>Z343</f>
        <v>1009</v>
      </c>
      <c r="AA345" s="311"/>
      <c r="AB345" s="322"/>
      <c r="AC345" s="323">
        <f>IFERROR(ROUND(Z345*X345,2),0)</f>
        <v>29.66</v>
      </c>
      <c r="AD345" s="318">
        <f t="shared" si="1134"/>
        <v>41868</v>
      </c>
      <c r="AE345" s="324">
        <f t="shared" si="1135"/>
        <v>62.46</v>
      </c>
      <c r="AF345" s="261">
        <f t="shared" si="1136"/>
        <v>88169</v>
      </c>
      <c r="AG345" s="311"/>
      <c r="AH345" s="311"/>
      <c r="AI345" s="325">
        <f>ROUND(AC345*0.15,2)</f>
        <v>4.45</v>
      </c>
      <c r="AJ345" s="261">
        <f>ROUND(AD345*0.15,0)</f>
        <v>6280</v>
      </c>
      <c r="AK345" s="325">
        <f>ROUND(AE345*0.15,2)</f>
        <v>9.37</v>
      </c>
      <c r="AL345" s="261">
        <f>ROUND(AF345*0.15,0)</f>
        <v>13225</v>
      </c>
      <c r="AM345" s="326">
        <f>IFERROR(AC345/K345,IFERROR(AK345/O345,""))</f>
        <v>0.9996629592</v>
      </c>
      <c r="AN345" s="313"/>
    </row>
    <row r="346" ht="12.75" customHeight="1">
      <c r="A346" s="267" t="s">
        <v>930</v>
      </c>
      <c r="B346" s="268" t="s">
        <v>359</v>
      </c>
      <c r="C346" s="269" t="s">
        <v>360</v>
      </c>
      <c r="D346" s="269" t="s">
        <v>417</v>
      </c>
      <c r="E346" s="270"/>
      <c r="F346" s="270"/>
      <c r="G346" s="269" t="s">
        <v>288</v>
      </c>
      <c r="H346" s="270" t="s">
        <v>1220</v>
      </c>
      <c r="I346" s="270" t="s">
        <v>105</v>
      </c>
      <c r="J346" s="354" t="s">
        <v>106</v>
      </c>
      <c r="K346" s="355">
        <v>3.72</v>
      </c>
      <c r="L346" s="356">
        <v>5483.0</v>
      </c>
      <c r="M346" s="357">
        <v>0.56</v>
      </c>
      <c r="N346" s="272">
        <v>825.0</v>
      </c>
      <c r="O346" s="271">
        <v>0.0</v>
      </c>
      <c r="P346" s="272">
        <v>0.0</v>
      </c>
      <c r="Q346" s="273">
        <f t="shared" ref="Q346:R346" si="1168">M346-O346</f>
        <v>0.56</v>
      </c>
      <c r="R346" s="274">
        <f t="shared" si="1168"/>
        <v>825</v>
      </c>
      <c r="S346" s="275">
        <v>1474.1</v>
      </c>
      <c r="T346" s="276">
        <v>15.0</v>
      </c>
      <c r="U346" s="367" t="s">
        <v>107</v>
      </c>
      <c r="V346" s="367"/>
      <c r="W346" s="358"/>
      <c r="X346" s="358"/>
      <c r="Y346" s="358"/>
      <c r="Z346" s="358"/>
      <c r="AA346" s="358"/>
      <c r="AB346" s="359"/>
      <c r="AC346" s="360">
        <f t="shared" ref="AC346:AD346" si="1169">K346</f>
        <v>3.72</v>
      </c>
      <c r="AD346" s="361">
        <f t="shared" si="1169"/>
        <v>5483</v>
      </c>
      <c r="AE346" s="362"/>
      <c r="AF346" s="358"/>
      <c r="AG346" s="358"/>
      <c r="AH346" s="358"/>
      <c r="AI346" s="363">
        <f t="shared" ref="AI346:AJ346" si="1170">Q346</f>
        <v>0.56</v>
      </c>
      <c r="AJ346" s="364">
        <f t="shared" si="1170"/>
        <v>825</v>
      </c>
      <c r="AK346" s="358"/>
      <c r="AL346" s="358"/>
      <c r="AM346" s="368"/>
      <c r="AN346" s="369"/>
    </row>
    <row r="347" ht="13.5" customHeight="1">
      <c r="A347" s="233" t="s">
        <v>1221</v>
      </c>
      <c r="B347" s="370"/>
      <c r="C347" s="278"/>
      <c r="D347" s="278"/>
      <c r="E347" s="278"/>
      <c r="F347" s="278"/>
      <c r="G347" s="278"/>
      <c r="H347" s="278"/>
      <c r="I347" s="278"/>
      <c r="J347" s="371"/>
      <c r="K347" s="372">
        <f t="shared" ref="K347:R347" si="1171">SUM(K3:K346)</f>
        <v>10305.68</v>
      </c>
      <c r="L347" s="373">
        <f t="shared" si="1171"/>
        <v>14596361</v>
      </c>
      <c r="M347" s="374">
        <f t="shared" si="1171"/>
        <v>1546.02</v>
      </c>
      <c r="N347" s="236">
        <f t="shared" si="1171"/>
        <v>2189886</v>
      </c>
      <c r="O347" s="235">
        <f t="shared" si="1171"/>
        <v>2655.97</v>
      </c>
      <c r="P347" s="236">
        <f t="shared" si="1171"/>
        <v>3732177</v>
      </c>
      <c r="Q347" s="235">
        <f t="shared" si="1171"/>
        <v>1546.02</v>
      </c>
      <c r="R347" s="236">
        <f t="shared" si="1171"/>
        <v>2189886</v>
      </c>
      <c r="S347" s="278"/>
      <c r="T347" s="371"/>
      <c r="U347" s="375" t="str">
        <f>IF(SUM(K347:R347)=SUM(K351:R351),"(소계1=소계2)QI_재분류_국외원천소득PASS","QI_재분류_국외원천소득FAIL")</f>
        <v>(소계1=소계2)QI_재분류_국외원천소득PASS</v>
      </c>
      <c r="V347" s="376"/>
      <c r="W347" s="377"/>
      <c r="X347" s="278"/>
      <c r="Y347" s="278"/>
      <c r="Z347" s="278"/>
      <c r="AA347" s="278"/>
      <c r="AB347" s="371"/>
      <c r="AC347" s="372">
        <f t="shared" ref="AC347:AF347" si="1172">SUM(AC3:AC346)</f>
        <v>10306.62</v>
      </c>
      <c r="AD347" s="373">
        <f t="shared" si="1172"/>
        <v>14597834</v>
      </c>
      <c r="AE347" s="374">
        <f t="shared" si="1172"/>
        <v>17705.4</v>
      </c>
      <c r="AF347" s="236">
        <f t="shared" si="1172"/>
        <v>24879814.98</v>
      </c>
      <c r="AG347" s="278"/>
      <c r="AH347" s="278"/>
      <c r="AI347" s="235">
        <f t="shared" ref="AI347:AL347" si="1173">SUM(AI3:AI346)</f>
        <v>1546.17</v>
      </c>
      <c r="AJ347" s="236">
        <f t="shared" si="1173"/>
        <v>2190107</v>
      </c>
      <c r="AK347" s="235">
        <f t="shared" si="1173"/>
        <v>2655.8</v>
      </c>
      <c r="AL347" s="378">
        <f t="shared" si="1173"/>
        <v>3731975</v>
      </c>
      <c r="AM347" s="379" t="str">
        <f>IF(SUM(AA347:AL347)=SUM(AA351:AL351),"(소계1=소계2)ICI_국외배당소득PASS","ICI_국외배당소득FAIL")</f>
        <v>(소계1=소계2)ICI_국외배당소득PASS</v>
      </c>
      <c r="AN347" s="376"/>
    </row>
    <row r="348" ht="13.5" customHeight="1">
      <c r="A348" s="280" t="s">
        <v>1222</v>
      </c>
      <c r="B348" s="370"/>
      <c r="C348" s="281"/>
      <c r="D348" s="281"/>
      <c r="E348" s="281"/>
      <c r="F348" s="281"/>
      <c r="G348" s="281"/>
      <c r="H348" s="281"/>
      <c r="I348" s="281"/>
      <c r="J348" s="380"/>
      <c r="K348" s="381">
        <f>SUMIF(B3:B346,"삼성증권",K3:K346)</f>
        <v>146.87</v>
      </c>
      <c r="L348" s="382">
        <f>SUMIF(B3:B346,"삼성증권",L3:L346)</f>
        <v>204060</v>
      </c>
      <c r="M348" s="383">
        <f>SUMIF(B3:B346,"삼성증권",M3:M346)</f>
        <v>22.03</v>
      </c>
      <c r="N348" s="283">
        <f>SUMIF(B3:B346,"삼성증권",N3:N346)</f>
        <v>30609</v>
      </c>
      <c r="O348" s="282">
        <f>SUMIF(B3:B346,"삼성증권",O3:O346)</f>
        <v>14.84</v>
      </c>
      <c r="P348" s="283">
        <f>SUMIF(B3:B346,"삼성증권",P3:P346)</f>
        <v>20540</v>
      </c>
      <c r="Q348" s="282">
        <f>SUMIF(B3:B346,"삼성증권",Q3:Q346)</f>
        <v>22.03</v>
      </c>
      <c r="R348" s="283">
        <f>SUMIF(B3:B346,"삼성증권",R3:R346)</f>
        <v>30609</v>
      </c>
      <c r="S348" s="281"/>
      <c r="T348" s="380"/>
      <c r="U348" s="384">
        <f t="shared" ref="U348:V348" si="1174">Q348/M348</f>
        <v>1</v>
      </c>
      <c r="V348" s="385">
        <f t="shared" si="1174"/>
        <v>1</v>
      </c>
      <c r="W348" s="386"/>
      <c r="X348" s="281"/>
      <c r="Y348" s="281"/>
      <c r="Z348" s="281"/>
      <c r="AA348" s="281"/>
      <c r="AB348" s="380"/>
      <c r="AC348" s="381">
        <f>SUMIF(B3:B346,"삼성증권",AC3:AC346)</f>
        <v>146.89</v>
      </c>
      <c r="AD348" s="382">
        <f>SUMIF(B3:B346,"삼성증권",AD3:AD346)</f>
        <v>204088</v>
      </c>
      <c r="AE348" s="383">
        <f>SUMIF(B3:B346,"삼성증권",AE3:AE346)</f>
        <v>98.87</v>
      </c>
      <c r="AF348" s="283">
        <f>SUMIF(B3:B346,"삼성증권",AF3:AF346)</f>
        <v>136856.33</v>
      </c>
      <c r="AG348" s="281"/>
      <c r="AH348" s="281"/>
      <c r="AI348" s="282">
        <f>SUMIF(B3:B346,"삼성증권",AI3:AI346)</f>
        <v>22.03</v>
      </c>
      <c r="AJ348" s="283">
        <f>SUMIF(B3:B346,"삼성증권",AJ3:AJ346)</f>
        <v>30612</v>
      </c>
      <c r="AK348" s="282">
        <f>SUMIF(B3:B346,"삼성증권",AK3:AK346)</f>
        <v>14.83</v>
      </c>
      <c r="AL348" s="387">
        <f>SUMIF(B3:B346,"삼성증권",AL3:AL346)</f>
        <v>20528</v>
      </c>
      <c r="AM348" s="388">
        <f t="shared" ref="AM348:AN348" si="1175">K348/AC348</f>
        <v>0.9998638437</v>
      </c>
      <c r="AN348" s="389">
        <f t="shared" si="1175"/>
        <v>0.9998628043</v>
      </c>
    </row>
    <row r="349" ht="13.5" customHeight="1">
      <c r="A349" s="280" t="s">
        <v>1223</v>
      </c>
      <c r="B349" s="370"/>
      <c r="C349" s="281"/>
      <c r="D349" s="281"/>
      <c r="E349" s="281"/>
      <c r="F349" s="281"/>
      <c r="G349" s="281"/>
      <c r="H349" s="281"/>
      <c r="I349" s="281"/>
      <c r="J349" s="380"/>
      <c r="K349" s="381">
        <f>SUMIF(B3:B346,"미래에셋증권",K3:K346)</f>
        <v>8779.73</v>
      </c>
      <c r="L349" s="382">
        <f>SUMIF(B3:B346,"미래에셋증권",L3:L346)</f>
        <v>12475888</v>
      </c>
      <c r="M349" s="383">
        <f>SUMIF(B3:B346,"미래에셋증권",M3:M346)</f>
        <v>1317.13</v>
      </c>
      <c r="N349" s="283">
        <f>SUMIF(B3:B346,"미래에셋증권",N3:N346)</f>
        <v>1871829</v>
      </c>
      <c r="O349" s="282">
        <f>SUMIF(B3:B346,"미래에셋증권",O3:O346)</f>
        <v>2385.42</v>
      </c>
      <c r="P349" s="283">
        <f>SUMIF(B3:B346,"미래에셋증권",P3:P346)</f>
        <v>3356709</v>
      </c>
      <c r="Q349" s="282">
        <f>SUMIF(B3:B346,"미래에셋증권",Q3:Q346)</f>
        <v>1317.13</v>
      </c>
      <c r="R349" s="283">
        <f>SUMIF(B3:B346,"미래에셋증권",R3:R346)</f>
        <v>1871829</v>
      </c>
      <c r="S349" s="281"/>
      <c r="T349" s="380"/>
      <c r="U349" s="390">
        <f t="shared" ref="U349:V349" si="1176">Q349/M349</f>
        <v>1</v>
      </c>
      <c r="V349" s="391">
        <f t="shared" si="1176"/>
        <v>1</v>
      </c>
      <c r="W349" s="386"/>
      <c r="X349" s="281"/>
      <c r="Y349" s="281"/>
      <c r="Z349" s="281"/>
      <c r="AA349" s="281"/>
      <c r="AB349" s="380"/>
      <c r="AC349" s="381">
        <f>SUMIF(B3:B346,"미래에셋증권",AC3:AC346)</f>
        <v>8780.62</v>
      </c>
      <c r="AD349" s="382">
        <f>SUMIF(B3:B346,"미래에셋증권",AD3:AD346)</f>
        <v>12477319</v>
      </c>
      <c r="AE349" s="383">
        <f>SUMIF(B3:B346,"미래에셋증권",AE3:AE346)</f>
        <v>15901.73</v>
      </c>
      <c r="AF349" s="283">
        <f>SUMIF(B3:B346,"미래에셋증권",AF3:AF346)</f>
        <v>22376560.65</v>
      </c>
      <c r="AG349" s="281"/>
      <c r="AH349" s="281"/>
      <c r="AI349" s="282">
        <f>SUMIF(B3:B346,"미래에셋증권",AI3:AI346)</f>
        <v>1317.26</v>
      </c>
      <c r="AJ349" s="283">
        <f>SUMIF(B3:B346,"미래에셋증권",AJ3:AJ346)</f>
        <v>1872047</v>
      </c>
      <c r="AK349" s="282">
        <f>SUMIF(B3:B346,"미래에셋증권",AK3:AK346)</f>
        <v>2385.26</v>
      </c>
      <c r="AL349" s="387">
        <f>SUMIF(B3:B346,"미래에셋증권",AL3:AL346)</f>
        <v>3356487</v>
      </c>
      <c r="AM349" s="388">
        <f t="shared" ref="AM349:AN349" si="1177">K349/AC349</f>
        <v>0.9998986404</v>
      </c>
      <c r="AN349" s="389">
        <f t="shared" si="1177"/>
        <v>0.9998853119</v>
      </c>
    </row>
    <row r="350" ht="13.5" customHeight="1">
      <c r="A350" s="280" t="s">
        <v>1224</v>
      </c>
      <c r="B350" s="370"/>
      <c r="C350" s="281"/>
      <c r="D350" s="281"/>
      <c r="E350" s="281"/>
      <c r="F350" s="281"/>
      <c r="G350" s="281"/>
      <c r="H350" s="281"/>
      <c r="I350" s="281"/>
      <c r="J350" s="380"/>
      <c r="K350" s="381">
        <f>SUMIF(B3:B346,"토스증권",K3:K346)</f>
        <v>1379.08</v>
      </c>
      <c r="L350" s="382">
        <f>SUMIF(B3:B346,"토스증권",L3:L346)</f>
        <v>1916413</v>
      </c>
      <c r="M350" s="383">
        <f>SUMIF(B3:B346,"토스증권",M3:M346)</f>
        <v>206.86</v>
      </c>
      <c r="N350" s="283">
        <f>SUMIF(B3:B346,"토스증권",N3:N346)</f>
        <v>287448</v>
      </c>
      <c r="O350" s="282">
        <f>SUMIF(B3:B346,"토스증권",O3:O346)</f>
        <v>255.71</v>
      </c>
      <c r="P350" s="283">
        <f>SUMIF(B3:B346,"토스증권",P3:P346)</f>
        <v>354928</v>
      </c>
      <c r="Q350" s="282">
        <f>SUMIF(B3:B346,"토스증권",Q3:Q346)</f>
        <v>206.86</v>
      </c>
      <c r="R350" s="283">
        <f>SUMIF(B3:B346,"토스증권",R3:R346)</f>
        <v>287448</v>
      </c>
      <c r="S350" s="281"/>
      <c r="T350" s="380"/>
      <c r="U350" s="392">
        <f t="shared" ref="U350:V350" si="1178">Q350/M350</f>
        <v>1</v>
      </c>
      <c r="V350" s="393">
        <f t="shared" si="1178"/>
        <v>1</v>
      </c>
      <c r="W350" s="386"/>
      <c r="X350" s="281"/>
      <c r="Y350" s="281"/>
      <c r="Z350" s="281"/>
      <c r="AA350" s="281"/>
      <c r="AB350" s="380"/>
      <c r="AC350" s="381">
        <f>SUMIF(B3:B346,"토스증권",AC3:AC346)</f>
        <v>1379.11</v>
      </c>
      <c r="AD350" s="382">
        <f>SUMIF(B3:B346,"토스증권",AD3:AD346)</f>
        <v>1916427</v>
      </c>
      <c r="AE350" s="383">
        <f>SUMIF(B3:B346,"토스증권",AE3:AE346)</f>
        <v>1704.8</v>
      </c>
      <c r="AF350" s="283">
        <f>SUMIF(B3:B346,"토스증권",AF3:AF346)</f>
        <v>2366398</v>
      </c>
      <c r="AG350" s="281"/>
      <c r="AH350" s="281"/>
      <c r="AI350" s="282">
        <f>SUMIF(B3:B346,"토스증권",AI3:AI346)</f>
        <v>206.88</v>
      </c>
      <c r="AJ350" s="283">
        <f>SUMIF(B3:B346,"토스증권",AJ3:AJ346)</f>
        <v>287448</v>
      </c>
      <c r="AK350" s="282">
        <f>SUMIF(B3:B346,"토스증권",AK3:AK346)</f>
        <v>255.71</v>
      </c>
      <c r="AL350" s="387">
        <f>SUMIF(B3:B346,"토스증권",AL3:AL346)</f>
        <v>354960</v>
      </c>
      <c r="AM350" s="388">
        <f t="shared" ref="AM350:AN350" si="1179">K350/AC350</f>
        <v>0.9999782468</v>
      </c>
      <c r="AN350" s="389">
        <f t="shared" si="1179"/>
        <v>0.9999926947</v>
      </c>
    </row>
    <row r="351" ht="13.5" customHeight="1">
      <c r="A351" s="233" t="s">
        <v>1225</v>
      </c>
      <c r="B351" s="370"/>
      <c r="C351" s="278"/>
      <c r="D351" s="278"/>
      <c r="E351" s="278"/>
      <c r="F351" s="278"/>
      <c r="G351" s="278"/>
      <c r="H351" s="278"/>
      <c r="I351" s="278"/>
      <c r="J351" s="371"/>
      <c r="K351" s="372">
        <f t="shared" ref="K351:R351" si="1180">SUM(K348:K350)</f>
        <v>10305.68</v>
      </c>
      <c r="L351" s="373">
        <f t="shared" si="1180"/>
        <v>14596361</v>
      </c>
      <c r="M351" s="374">
        <f t="shared" si="1180"/>
        <v>1546.02</v>
      </c>
      <c r="N351" s="236">
        <f t="shared" si="1180"/>
        <v>2189886</v>
      </c>
      <c r="O351" s="235">
        <f t="shared" si="1180"/>
        <v>2655.97</v>
      </c>
      <c r="P351" s="236">
        <f t="shared" si="1180"/>
        <v>3732177</v>
      </c>
      <c r="Q351" s="235">
        <f t="shared" si="1180"/>
        <v>1546.02</v>
      </c>
      <c r="R351" s="236">
        <f t="shared" si="1180"/>
        <v>2189886</v>
      </c>
      <c r="S351" s="278"/>
      <c r="T351" s="371"/>
      <c r="U351" s="394" t="s">
        <v>1226</v>
      </c>
      <c r="V351" s="395"/>
      <c r="W351" s="377"/>
      <c r="X351" s="278"/>
      <c r="Y351" s="278"/>
      <c r="Z351" s="278"/>
      <c r="AA351" s="278"/>
      <c r="AB351" s="371"/>
      <c r="AC351" s="372">
        <f t="shared" ref="AC351:AF351" si="1181">SUM(AC348:AC350)</f>
        <v>10306.62</v>
      </c>
      <c r="AD351" s="373">
        <f t="shared" si="1181"/>
        <v>14597834</v>
      </c>
      <c r="AE351" s="374">
        <f t="shared" si="1181"/>
        <v>17705.4</v>
      </c>
      <c r="AF351" s="236">
        <f t="shared" si="1181"/>
        <v>24879814.98</v>
      </c>
      <c r="AG351" s="278"/>
      <c r="AH351" s="278"/>
      <c r="AI351" s="235">
        <f t="shared" ref="AI351:AL351" si="1182">SUM(AI348:AI350)</f>
        <v>1546.17</v>
      </c>
      <c r="AJ351" s="236">
        <f t="shared" si="1182"/>
        <v>2190107</v>
      </c>
      <c r="AK351" s="235">
        <f t="shared" si="1182"/>
        <v>2655.8</v>
      </c>
      <c r="AL351" s="378">
        <f t="shared" si="1182"/>
        <v>3731975</v>
      </c>
      <c r="AM351" s="396" t="s">
        <v>1227</v>
      </c>
      <c r="AN351" s="395"/>
    </row>
    <row r="352" ht="15.75" customHeight="1">
      <c r="A352" s="311"/>
      <c r="B352" s="311"/>
      <c r="C352" s="311"/>
      <c r="D352" s="311"/>
      <c r="E352" s="311"/>
      <c r="F352" s="311"/>
      <c r="G352" s="311"/>
      <c r="H352" s="311"/>
      <c r="I352" s="311"/>
      <c r="J352" s="322"/>
      <c r="K352" s="397">
        <f t="shared" ref="K352:L352" si="1183">K351/AC351</f>
        <v>0.9999087965</v>
      </c>
      <c r="L352" s="398">
        <f t="shared" si="1183"/>
        <v>0.9998990946</v>
      </c>
      <c r="M352" s="399"/>
      <c r="N352" s="311"/>
      <c r="O352" s="311"/>
      <c r="P352" s="311"/>
      <c r="Q352" s="311"/>
      <c r="R352" s="311"/>
      <c r="S352" s="311"/>
      <c r="T352" s="322"/>
      <c r="U352" s="400"/>
      <c r="V352" s="401"/>
      <c r="W352" s="399"/>
      <c r="X352" s="311"/>
      <c r="Y352" s="311"/>
      <c r="Z352" s="311"/>
      <c r="AA352" s="311"/>
      <c r="AB352" s="322"/>
      <c r="AC352" s="402">
        <f t="shared" ref="AC352:AD352" si="1184">K351/AC351</f>
        <v>0.9999087965</v>
      </c>
      <c r="AD352" s="403">
        <f t="shared" si="1184"/>
        <v>0.9998990946</v>
      </c>
      <c r="AE352" s="399"/>
      <c r="AF352" s="311"/>
      <c r="AG352" s="311"/>
      <c r="AH352" s="311"/>
      <c r="AI352" s="311"/>
      <c r="AJ352" s="311"/>
      <c r="AK352" s="311"/>
      <c r="AL352" s="322"/>
      <c r="AM352" s="400"/>
      <c r="AN352" s="401"/>
    </row>
    <row r="353" ht="15.75" customHeight="1">
      <c r="I353" s="404">
        <f>O353+Q353</f>
        <v>28013.27</v>
      </c>
      <c r="O353" s="404">
        <f>round(O351/0.15,2)</f>
        <v>17706.47</v>
      </c>
      <c r="Q353" s="404">
        <f>round(Q351/0.15,2)</f>
        <v>10306.8</v>
      </c>
      <c r="AA353" s="284">
        <f>AC351+AE351</f>
        <v>28012.02</v>
      </c>
      <c r="AE353" s="284">
        <f>AE351-O353</f>
        <v>-1.07</v>
      </c>
      <c r="AN353" s="405"/>
    </row>
    <row r="354" ht="15.75" customHeight="1">
      <c r="I354" s="284">
        <f>S01_US_DVCA!K205</f>
        <v>28011.98</v>
      </c>
      <c r="AA354" s="284">
        <f>I354</f>
        <v>28011.98</v>
      </c>
      <c r="AN354" s="405"/>
    </row>
    <row r="355" ht="15.75" customHeight="1">
      <c r="I355" s="284">
        <f>I353-I354</f>
        <v>1.29</v>
      </c>
      <c r="AA355" s="284">
        <f>AA353-AA354</f>
        <v>0.04000000001</v>
      </c>
      <c r="AN355" s="405"/>
    </row>
    <row r="356" ht="15.75" customHeight="1">
      <c r="AN356" s="405"/>
    </row>
    <row r="357" ht="15.75" customHeight="1">
      <c r="AN357" s="405"/>
    </row>
    <row r="358" ht="15.75" customHeight="1">
      <c r="AN358" s="405"/>
    </row>
    <row r="359" ht="15.75" customHeight="1">
      <c r="AN359" s="405"/>
    </row>
    <row r="360" ht="15.75" customHeight="1">
      <c r="AN360" s="405"/>
    </row>
    <row r="361" ht="15.75" customHeight="1">
      <c r="AN361" s="405"/>
    </row>
    <row r="362" ht="15.75" customHeight="1">
      <c r="AN362" s="405"/>
    </row>
    <row r="363" ht="15.75" customHeight="1">
      <c r="AN363" s="405"/>
    </row>
    <row r="364" ht="15.75" customHeight="1">
      <c r="AN364" s="405"/>
    </row>
    <row r="365" ht="15.75" customHeight="1">
      <c r="AN365" s="405"/>
    </row>
    <row r="366" ht="15.75" customHeight="1">
      <c r="AN366" s="405"/>
    </row>
    <row r="367" ht="15.75" customHeight="1">
      <c r="AN367" s="405"/>
    </row>
    <row r="368" ht="15.75" customHeight="1">
      <c r="AN368" s="405"/>
    </row>
    <row r="369" ht="15.75" customHeight="1">
      <c r="AN369" s="405"/>
    </row>
    <row r="370" ht="15.75" customHeight="1">
      <c r="AN370" s="405"/>
    </row>
    <row r="371" ht="15.75" customHeight="1">
      <c r="AN371" s="405"/>
    </row>
    <row r="372" ht="15.75" customHeight="1">
      <c r="AN372" s="405"/>
    </row>
    <row r="373" ht="15.75" customHeight="1">
      <c r="AN373" s="405"/>
    </row>
    <row r="374" ht="15.75" customHeight="1">
      <c r="AN374" s="405"/>
    </row>
    <row r="375" ht="15.75" customHeight="1">
      <c r="AN375" s="405"/>
    </row>
    <row r="376" ht="15.75" customHeight="1">
      <c r="AN376" s="405"/>
    </row>
    <row r="377" ht="15.75" customHeight="1">
      <c r="AN377" s="405"/>
    </row>
    <row r="378" ht="15.75" customHeight="1">
      <c r="AN378" s="405"/>
    </row>
    <row r="379" ht="15.75" customHeight="1">
      <c r="AN379" s="405"/>
    </row>
    <row r="380" ht="15.75" customHeight="1">
      <c r="AN380" s="405"/>
    </row>
    <row r="381" ht="15.75" customHeight="1">
      <c r="AN381" s="405"/>
    </row>
    <row r="382" ht="15.75" customHeight="1">
      <c r="AN382" s="405"/>
    </row>
    <row r="383" ht="15.75" customHeight="1">
      <c r="AN383" s="405"/>
    </row>
    <row r="384" ht="15.75" customHeight="1">
      <c r="AN384" s="405"/>
    </row>
    <row r="385" ht="15.75" customHeight="1">
      <c r="AN385" s="405"/>
    </row>
    <row r="386" ht="15.75" customHeight="1">
      <c r="AN386" s="405"/>
    </row>
    <row r="387" ht="15.75" customHeight="1">
      <c r="AN387" s="405"/>
    </row>
    <row r="388" ht="15.75" customHeight="1">
      <c r="AN388" s="405"/>
    </row>
    <row r="389" ht="15.75" customHeight="1">
      <c r="AN389" s="405"/>
    </row>
    <row r="390" ht="15.75" customHeight="1">
      <c r="AN390" s="405"/>
    </row>
    <row r="391" ht="15.75" customHeight="1">
      <c r="AN391" s="405"/>
    </row>
    <row r="392" ht="15.75" customHeight="1">
      <c r="AN392" s="405"/>
    </row>
    <row r="393" ht="15.75" customHeight="1">
      <c r="AN393" s="405"/>
    </row>
    <row r="394" ht="15.75" customHeight="1">
      <c r="AN394" s="405"/>
    </row>
    <row r="395" ht="15.75" customHeight="1">
      <c r="AN395" s="405"/>
    </row>
    <row r="396" ht="15.75" customHeight="1">
      <c r="AN396" s="405"/>
    </row>
    <row r="397" ht="15.75" customHeight="1">
      <c r="AN397" s="405"/>
    </row>
    <row r="398" ht="15.75" customHeight="1">
      <c r="AN398" s="405"/>
    </row>
    <row r="399" ht="15.75" customHeight="1">
      <c r="AN399" s="405"/>
    </row>
    <row r="400" ht="15.75" customHeight="1">
      <c r="AN400" s="405"/>
    </row>
    <row r="401" ht="15.75" customHeight="1">
      <c r="AN401" s="405"/>
    </row>
    <row r="402" ht="15.75" customHeight="1">
      <c r="AN402" s="405"/>
    </row>
    <row r="403" ht="15.75" customHeight="1">
      <c r="AN403" s="405"/>
    </row>
    <row r="404" ht="15.75" customHeight="1">
      <c r="AN404" s="405"/>
    </row>
    <row r="405" ht="15.75" customHeight="1">
      <c r="AN405" s="405"/>
    </row>
    <row r="406" ht="15.75" customHeight="1">
      <c r="AN406" s="405"/>
    </row>
    <row r="407" ht="15.75" customHeight="1">
      <c r="AN407" s="405"/>
    </row>
    <row r="408" ht="15.75" customHeight="1">
      <c r="AN408" s="405"/>
    </row>
    <row r="409" ht="15.75" customHeight="1">
      <c r="AN409" s="405"/>
    </row>
    <row r="410" ht="15.75" customHeight="1">
      <c r="AN410" s="405"/>
    </row>
    <row r="411" ht="15.75" customHeight="1">
      <c r="AN411" s="405"/>
    </row>
    <row r="412" ht="15.75" customHeight="1">
      <c r="AN412" s="405"/>
    </row>
    <row r="413" ht="15.75" customHeight="1">
      <c r="AN413" s="405"/>
    </row>
    <row r="414" ht="15.75" customHeight="1">
      <c r="AN414" s="405"/>
    </row>
    <row r="415" ht="15.75" customHeight="1">
      <c r="AN415" s="405"/>
    </row>
    <row r="416" ht="15.75" customHeight="1">
      <c r="AN416" s="405"/>
    </row>
    <row r="417" ht="15.75" customHeight="1">
      <c r="AN417" s="405"/>
    </row>
    <row r="418" ht="15.75" customHeight="1">
      <c r="AN418" s="405"/>
    </row>
    <row r="419" ht="15.75" customHeight="1">
      <c r="AN419" s="405"/>
    </row>
    <row r="420" ht="15.75" customHeight="1">
      <c r="AN420" s="405"/>
    </row>
    <row r="421" ht="15.75" customHeight="1">
      <c r="AN421" s="405"/>
    </row>
    <row r="422" ht="15.75" customHeight="1">
      <c r="AN422" s="405"/>
    </row>
    <row r="423" ht="15.75" customHeight="1">
      <c r="AN423" s="405"/>
    </row>
    <row r="424" ht="15.75" customHeight="1">
      <c r="AN424" s="405"/>
    </row>
    <row r="425" ht="15.75" customHeight="1">
      <c r="AN425" s="405"/>
    </row>
    <row r="426" ht="15.75" customHeight="1">
      <c r="AN426" s="405"/>
    </row>
    <row r="427" ht="15.75" customHeight="1">
      <c r="AN427" s="405"/>
    </row>
    <row r="428" ht="15.75" customHeight="1">
      <c r="AN428" s="405"/>
    </row>
    <row r="429" ht="15.75" customHeight="1">
      <c r="AN429" s="405"/>
    </row>
    <row r="430" ht="15.75" customHeight="1">
      <c r="AN430" s="405"/>
    </row>
    <row r="431" ht="15.75" customHeight="1">
      <c r="AN431" s="405"/>
    </row>
    <row r="432" ht="15.75" customHeight="1">
      <c r="AN432" s="405"/>
    </row>
    <row r="433" ht="15.75" customHeight="1">
      <c r="AN433" s="405"/>
    </row>
    <row r="434" ht="15.75" customHeight="1">
      <c r="AN434" s="405"/>
    </row>
    <row r="435" ht="15.75" customHeight="1">
      <c r="AN435" s="405"/>
    </row>
    <row r="436" ht="15.75" customHeight="1">
      <c r="AN436" s="405"/>
    </row>
    <row r="437" ht="15.75" customHeight="1">
      <c r="AN437" s="405"/>
    </row>
    <row r="438" ht="15.75" customHeight="1">
      <c r="AN438" s="405"/>
    </row>
    <row r="439" ht="15.75" customHeight="1">
      <c r="AN439" s="405"/>
    </row>
    <row r="440" ht="15.75" customHeight="1">
      <c r="AN440" s="405"/>
    </row>
    <row r="441" ht="15.75" customHeight="1">
      <c r="AN441" s="405"/>
    </row>
    <row r="442" ht="15.75" customHeight="1">
      <c r="AN442" s="405"/>
    </row>
    <row r="443" ht="15.75" customHeight="1">
      <c r="AN443" s="405"/>
    </row>
    <row r="444" ht="15.75" customHeight="1">
      <c r="AN444" s="405"/>
    </row>
    <row r="445" ht="15.75" customHeight="1">
      <c r="AN445" s="405"/>
    </row>
    <row r="446" ht="15.75" customHeight="1">
      <c r="AN446" s="405"/>
    </row>
    <row r="447" ht="15.75" customHeight="1">
      <c r="AN447" s="405"/>
    </row>
    <row r="448" ht="15.75" customHeight="1">
      <c r="AN448" s="405"/>
    </row>
    <row r="449" ht="15.75" customHeight="1">
      <c r="AN449" s="405"/>
    </row>
    <row r="450" ht="15.75" customHeight="1">
      <c r="AN450" s="405"/>
    </row>
    <row r="451" ht="15.75" customHeight="1">
      <c r="AN451" s="405"/>
    </row>
    <row r="452" ht="15.75" customHeight="1">
      <c r="AN452" s="405"/>
    </row>
    <row r="453" ht="15.75" customHeight="1">
      <c r="AN453" s="405"/>
    </row>
    <row r="454" ht="15.75" customHeight="1">
      <c r="AN454" s="405"/>
    </row>
    <row r="455" ht="15.75" customHeight="1">
      <c r="AN455" s="405"/>
    </row>
    <row r="456" ht="15.75" customHeight="1">
      <c r="AN456" s="405"/>
    </row>
    <row r="457" ht="15.75" customHeight="1">
      <c r="AN457" s="405"/>
    </row>
    <row r="458" ht="15.75" customHeight="1">
      <c r="AN458" s="405"/>
    </row>
    <row r="459" ht="15.75" customHeight="1">
      <c r="AN459" s="405"/>
    </row>
    <row r="460" ht="15.75" customHeight="1">
      <c r="AN460" s="405"/>
    </row>
    <row r="461" ht="15.75" customHeight="1">
      <c r="AN461" s="405"/>
    </row>
    <row r="462" ht="15.75" customHeight="1">
      <c r="AN462" s="405"/>
    </row>
    <row r="463" ht="15.75" customHeight="1">
      <c r="AN463" s="405"/>
    </row>
    <row r="464" ht="15.75" customHeight="1">
      <c r="AN464" s="405"/>
    </row>
    <row r="465" ht="15.75" customHeight="1">
      <c r="AN465" s="405"/>
    </row>
    <row r="466" ht="15.75" customHeight="1">
      <c r="AN466" s="405"/>
    </row>
    <row r="467" ht="15.75" customHeight="1">
      <c r="AN467" s="405"/>
    </row>
    <row r="468" ht="15.75" customHeight="1">
      <c r="AN468" s="405"/>
    </row>
    <row r="469" ht="15.75" customHeight="1">
      <c r="AN469" s="405"/>
    </row>
    <row r="470" ht="15.75" customHeight="1">
      <c r="AN470" s="405"/>
    </row>
    <row r="471" ht="15.75" customHeight="1">
      <c r="AN471" s="405"/>
    </row>
    <row r="472" ht="15.75" customHeight="1">
      <c r="AN472" s="405"/>
    </row>
    <row r="473" ht="15.75" customHeight="1">
      <c r="AN473" s="405"/>
    </row>
    <row r="474" ht="15.75" customHeight="1">
      <c r="AN474" s="405"/>
    </row>
    <row r="475" ht="15.75" customHeight="1">
      <c r="AN475" s="405"/>
    </row>
    <row r="476" ht="15.75" customHeight="1">
      <c r="AN476" s="405"/>
    </row>
    <row r="477" ht="15.75" customHeight="1">
      <c r="AN477" s="405"/>
    </row>
    <row r="478" ht="15.75" customHeight="1">
      <c r="AN478" s="405"/>
    </row>
    <row r="479" ht="15.75" customHeight="1">
      <c r="AN479" s="405"/>
    </row>
    <row r="480" ht="15.75" customHeight="1">
      <c r="AN480" s="405"/>
    </row>
    <row r="481" ht="15.75" customHeight="1">
      <c r="AN481" s="405"/>
    </row>
    <row r="482" ht="15.75" customHeight="1">
      <c r="AN482" s="405"/>
    </row>
    <row r="483" ht="15.75" customHeight="1">
      <c r="AN483" s="405"/>
    </row>
    <row r="484" ht="15.75" customHeight="1">
      <c r="AN484" s="405"/>
    </row>
    <row r="485" ht="15.75" customHeight="1">
      <c r="AN485" s="405"/>
    </row>
    <row r="486" ht="15.75" customHeight="1">
      <c r="AN486" s="405"/>
    </row>
    <row r="487" ht="15.75" customHeight="1">
      <c r="AN487" s="405"/>
    </row>
    <row r="488" ht="15.75" customHeight="1">
      <c r="AN488" s="405"/>
    </row>
    <row r="489" ht="15.75" customHeight="1">
      <c r="AN489" s="405"/>
    </row>
    <row r="490" ht="15.75" customHeight="1">
      <c r="AN490" s="405"/>
    </row>
    <row r="491" ht="15.75" customHeight="1">
      <c r="AN491" s="405"/>
    </row>
    <row r="492" ht="15.75" customHeight="1">
      <c r="AN492" s="405"/>
    </row>
    <row r="493" ht="15.75" customHeight="1">
      <c r="AN493" s="405"/>
    </row>
    <row r="494" ht="15.75" customHeight="1">
      <c r="AN494" s="405"/>
    </row>
    <row r="495" ht="15.75" customHeight="1">
      <c r="AN495" s="405"/>
    </row>
    <row r="496" ht="15.75" customHeight="1">
      <c r="AN496" s="405"/>
    </row>
    <row r="497" ht="15.75" customHeight="1">
      <c r="AN497" s="405"/>
    </row>
    <row r="498" ht="15.75" customHeight="1">
      <c r="AN498" s="405"/>
    </row>
    <row r="499" ht="15.75" customHeight="1">
      <c r="AN499" s="405"/>
    </row>
    <row r="500" ht="15.75" customHeight="1">
      <c r="AN500" s="405"/>
    </row>
    <row r="501" ht="15.75" customHeight="1">
      <c r="AN501" s="405"/>
    </row>
    <row r="502" ht="15.75" customHeight="1">
      <c r="AN502" s="405"/>
    </row>
    <row r="503" ht="15.75" customHeight="1">
      <c r="AN503" s="405"/>
    </row>
    <row r="504" ht="15.75" customHeight="1">
      <c r="AN504" s="405"/>
    </row>
    <row r="505" ht="15.75" customHeight="1">
      <c r="AN505" s="405"/>
    </row>
    <row r="506" ht="15.75" customHeight="1">
      <c r="AN506" s="405"/>
    </row>
    <row r="507" ht="15.75" customHeight="1">
      <c r="AN507" s="405"/>
    </row>
    <row r="508" ht="15.75" customHeight="1">
      <c r="AN508" s="405"/>
    </row>
    <row r="509" ht="15.75" customHeight="1">
      <c r="AN509" s="405"/>
    </row>
    <row r="510" ht="15.75" customHeight="1">
      <c r="AN510" s="405"/>
    </row>
    <row r="511" ht="15.75" customHeight="1">
      <c r="AN511" s="405"/>
    </row>
    <row r="512" ht="15.75" customHeight="1">
      <c r="AN512" s="405"/>
    </row>
    <row r="513" ht="15.75" customHeight="1">
      <c r="AN513" s="405"/>
    </row>
    <row r="514" ht="15.75" customHeight="1">
      <c r="AN514" s="405"/>
    </row>
    <row r="515" ht="15.75" customHeight="1">
      <c r="AN515" s="405"/>
    </row>
    <row r="516" ht="15.75" customHeight="1">
      <c r="AN516" s="405"/>
    </row>
    <row r="517" ht="15.75" customHeight="1">
      <c r="AN517" s="405"/>
    </row>
    <row r="518" ht="15.75" customHeight="1">
      <c r="AN518" s="405"/>
    </row>
    <row r="519" ht="15.75" customHeight="1">
      <c r="AN519" s="405"/>
    </row>
    <row r="520" ht="15.75" customHeight="1">
      <c r="AN520" s="405"/>
    </row>
    <row r="521" ht="15.75" customHeight="1">
      <c r="AN521" s="405"/>
    </row>
    <row r="522" ht="15.75" customHeight="1">
      <c r="AN522" s="405"/>
    </row>
    <row r="523" ht="15.75" customHeight="1">
      <c r="AN523" s="405"/>
    </row>
    <row r="524" ht="15.75" customHeight="1">
      <c r="AN524" s="405"/>
    </row>
    <row r="525" ht="15.75" customHeight="1">
      <c r="AN525" s="405"/>
    </row>
    <row r="526" ht="15.75" customHeight="1">
      <c r="AN526" s="405"/>
    </row>
    <row r="527" ht="15.75" customHeight="1">
      <c r="AN527" s="405"/>
    </row>
    <row r="528" ht="15.75" customHeight="1">
      <c r="AN528" s="405"/>
    </row>
    <row r="529" ht="15.75" customHeight="1">
      <c r="AN529" s="405"/>
    </row>
    <row r="530" ht="15.75" customHeight="1">
      <c r="AN530" s="405"/>
    </row>
    <row r="531" ht="15.75" customHeight="1">
      <c r="AN531" s="405"/>
    </row>
    <row r="532" ht="15.75" customHeight="1">
      <c r="AN532" s="405"/>
    </row>
    <row r="533" ht="15.75" customHeight="1">
      <c r="AN533" s="405"/>
    </row>
    <row r="534" ht="15.75" customHeight="1">
      <c r="AN534" s="405"/>
    </row>
    <row r="535" ht="15.75" customHeight="1">
      <c r="AN535" s="405"/>
    </row>
    <row r="536" ht="15.75" customHeight="1">
      <c r="AN536" s="405"/>
    </row>
    <row r="537" ht="15.75" customHeight="1">
      <c r="AN537" s="405"/>
    </row>
    <row r="538" ht="15.75" customHeight="1">
      <c r="AN538" s="405"/>
    </row>
    <row r="539" ht="15.75" customHeight="1">
      <c r="AN539" s="405"/>
    </row>
    <row r="540" ht="15.75" customHeight="1">
      <c r="AN540" s="405"/>
    </row>
    <row r="541" ht="15.75" customHeight="1">
      <c r="AN541" s="405"/>
    </row>
    <row r="542" ht="15.75" customHeight="1">
      <c r="AN542" s="405"/>
    </row>
    <row r="543" ht="15.75" customHeight="1">
      <c r="AN543" s="405"/>
    </row>
    <row r="544" ht="15.75" customHeight="1">
      <c r="AN544" s="405"/>
    </row>
    <row r="545" ht="15.75" customHeight="1">
      <c r="AN545" s="405"/>
    </row>
    <row r="546" ht="15.75" customHeight="1">
      <c r="AN546" s="405"/>
    </row>
    <row r="547" ht="15.75" customHeight="1">
      <c r="AN547" s="405"/>
    </row>
    <row r="548" ht="15.75" customHeight="1">
      <c r="AN548" s="405"/>
    </row>
    <row r="549" ht="15.75" customHeight="1">
      <c r="AN549" s="405"/>
    </row>
    <row r="550" ht="15.75" customHeight="1">
      <c r="AN550" s="405"/>
    </row>
    <row r="551" ht="15.75" customHeight="1">
      <c r="AN551" s="405"/>
    </row>
    <row r="552" ht="15.75" customHeight="1">
      <c r="AN552" s="405"/>
    </row>
    <row r="553" ht="15.75" customHeight="1">
      <c r="AN553" s="405"/>
    </row>
    <row r="554" ht="15.75" customHeight="1">
      <c r="AN554" s="405"/>
    </row>
    <row r="555" ht="15.75" customHeight="1">
      <c r="AN555" s="405"/>
    </row>
    <row r="556" ht="15.75" customHeight="1">
      <c r="AN556" s="405"/>
    </row>
    <row r="557" ht="15.75" customHeight="1">
      <c r="AN557" s="405"/>
    </row>
    <row r="558" ht="15.75" customHeight="1">
      <c r="AN558" s="405"/>
    </row>
    <row r="559" ht="15.75" customHeight="1">
      <c r="AN559" s="405"/>
    </row>
    <row r="560" ht="15.75" customHeight="1">
      <c r="AN560" s="405"/>
    </row>
    <row r="561" ht="15.75" customHeight="1">
      <c r="AN561" s="405"/>
    </row>
    <row r="562" ht="15.75" customHeight="1">
      <c r="AN562" s="405"/>
    </row>
    <row r="563" ht="15.75" customHeight="1">
      <c r="AN563" s="405"/>
    </row>
    <row r="564" ht="15.75" customHeight="1">
      <c r="AN564" s="405"/>
    </row>
    <row r="565" ht="15.75" customHeight="1">
      <c r="AN565" s="405"/>
    </row>
    <row r="566" ht="15.75" customHeight="1">
      <c r="AN566" s="405"/>
    </row>
    <row r="567" ht="15.75" customHeight="1">
      <c r="AN567" s="405"/>
    </row>
    <row r="568" ht="15.75" customHeight="1">
      <c r="AN568" s="405"/>
    </row>
    <row r="569" ht="15.75" customHeight="1">
      <c r="AN569" s="405"/>
    </row>
    <row r="570" ht="15.75" customHeight="1">
      <c r="AN570" s="405"/>
    </row>
    <row r="571" ht="15.75" customHeight="1">
      <c r="AN571" s="405"/>
    </row>
    <row r="572" ht="15.75" customHeight="1">
      <c r="AN572" s="405"/>
    </row>
    <row r="573" ht="15.75" customHeight="1">
      <c r="AN573" s="405"/>
    </row>
    <row r="574" ht="15.75" customHeight="1">
      <c r="AN574" s="405"/>
    </row>
    <row r="575" ht="15.75" customHeight="1">
      <c r="AN575" s="405"/>
    </row>
    <row r="576" ht="15.75" customHeight="1">
      <c r="AN576" s="405"/>
    </row>
    <row r="577" ht="15.75" customHeight="1">
      <c r="AN577" s="405"/>
    </row>
    <row r="578" ht="15.75" customHeight="1">
      <c r="AN578" s="405"/>
    </row>
    <row r="579" ht="15.75" customHeight="1">
      <c r="AN579" s="405"/>
    </row>
    <row r="580" ht="15.75" customHeight="1">
      <c r="AN580" s="405"/>
    </row>
    <row r="581" ht="15.75" customHeight="1">
      <c r="AN581" s="405"/>
    </row>
    <row r="582" ht="15.75" customHeight="1">
      <c r="AN582" s="405"/>
    </row>
    <row r="583" ht="15.75" customHeight="1">
      <c r="AN583" s="405"/>
    </row>
    <row r="584" ht="15.75" customHeight="1">
      <c r="AN584" s="405"/>
    </row>
    <row r="585" ht="15.75" customHeight="1">
      <c r="AN585" s="405"/>
    </row>
    <row r="586" ht="15.75" customHeight="1">
      <c r="AN586" s="405"/>
    </row>
    <row r="587" ht="15.75" customHeight="1">
      <c r="AN587" s="405"/>
    </row>
    <row r="588" ht="15.75" customHeight="1">
      <c r="AN588" s="405"/>
    </row>
    <row r="589" ht="15.75" customHeight="1">
      <c r="AN589" s="405"/>
    </row>
    <row r="590" ht="15.75" customHeight="1">
      <c r="AN590" s="405"/>
    </row>
    <row r="591" ht="15.75" customHeight="1">
      <c r="AN591" s="405"/>
    </row>
    <row r="592" ht="15.75" customHeight="1">
      <c r="AN592" s="405"/>
    </row>
    <row r="593" ht="15.75" customHeight="1">
      <c r="AN593" s="405"/>
    </row>
    <row r="594" ht="15.75" customHeight="1">
      <c r="AN594" s="405"/>
    </row>
    <row r="595" ht="15.75" customHeight="1">
      <c r="AN595" s="405"/>
    </row>
    <row r="596" ht="15.75" customHeight="1">
      <c r="AN596" s="405"/>
    </row>
    <row r="597" ht="15.75" customHeight="1">
      <c r="AN597" s="405"/>
    </row>
    <row r="598" ht="15.75" customHeight="1">
      <c r="AN598" s="405"/>
    </row>
    <row r="599" ht="15.75" customHeight="1">
      <c r="AN599" s="405"/>
    </row>
    <row r="600" ht="15.75" customHeight="1">
      <c r="AN600" s="405"/>
    </row>
    <row r="601" ht="15.75" customHeight="1">
      <c r="AN601" s="405"/>
    </row>
    <row r="602" ht="15.75" customHeight="1">
      <c r="AN602" s="405"/>
    </row>
    <row r="603" ht="15.75" customHeight="1">
      <c r="AN603" s="405"/>
    </row>
    <row r="604" ht="15.75" customHeight="1">
      <c r="AN604" s="405"/>
    </row>
    <row r="605" ht="15.75" customHeight="1">
      <c r="AN605" s="405"/>
    </row>
    <row r="606" ht="15.75" customHeight="1">
      <c r="AN606" s="405"/>
    </row>
    <row r="607" ht="15.75" customHeight="1">
      <c r="AN607" s="405"/>
    </row>
    <row r="608" ht="15.75" customHeight="1">
      <c r="AN608" s="405"/>
    </row>
    <row r="609" ht="15.75" customHeight="1">
      <c r="AN609" s="405"/>
    </row>
    <row r="610" ht="15.75" customHeight="1">
      <c r="AN610" s="405"/>
    </row>
    <row r="611" ht="15.75" customHeight="1">
      <c r="AN611" s="405"/>
    </row>
    <row r="612" ht="15.75" customHeight="1">
      <c r="AN612" s="405"/>
    </row>
    <row r="613" ht="15.75" customHeight="1">
      <c r="AN613" s="405"/>
    </row>
    <row r="614" ht="15.75" customHeight="1">
      <c r="AN614" s="405"/>
    </row>
    <row r="615" ht="15.75" customHeight="1">
      <c r="AN615" s="405"/>
    </row>
    <row r="616" ht="15.75" customHeight="1">
      <c r="AN616" s="405"/>
    </row>
    <row r="617" ht="15.75" customHeight="1">
      <c r="AN617" s="405"/>
    </row>
    <row r="618" ht="15.75" customHeight="1">
      <c r="AN618" s="405"/>
    </row>
    <row r="619" ht="15.75" customHeight="1">
      <c r="AN619" s="405"/>
    </row>
    <row r="620" ht="15.75" customHeight="1">
      <c r="AN620" s="405"/>
    </row>
    <row r="621" ht="15.75" customHeight="1">
      <c r="AN621" s="405"/>
    </row>
    <row r="622" ht="15.75" customHeight="1">
      <c r="AN622" s="405"/>
    </row>
    <row r="623" ht="15.75" customHeight="1">
      <c r="AN623" s="405"/>
    </row>
    <row r="624" ht="15.75" customHeight="1">
      <c r="AN624" s="405"/>
    </row>
    <row r="625" ht="15.75" customHeight="1">
      <c r="AN625" s="405"/>
    </row>
    <row r="626" ht="15.75" customHeight="1">
      <c r="AN626" s="405"/>
    </row>
    <row r="627" ht="15.75" customHeight="1">
      <c r="AN627" s="405"/>
    </row>
    <row r="628" ht="15.75" customHeight="1">
      <c r="AN628" s="405"/>
    </row>
    <row r="629" ht="15.75" customHeight="1">
      <c r="AN629" s="405"/>
    </row>
    <row r="630" ht="15.75" customHeight="1">
      <c r="AN630" s="405"/>
    </row>
    <row r="631" ht="15.75" customHeight="1">
      <c r="AN631" s="405"/>
    </row>
    <row r="632" ht="15.75" customHeight="1">
      <c r="AN632" s="405"/>
    </row>
    <row r="633" ht="15.75" customHeight="1">
      <c r="AN633" s="405"/>
    </row>
    <row r="634" ht="15.75" customHeight="1">
      <c r="AN634" s="405"/>
    </row>
    <row r="635" ht="15.75" customHeight="1">
      <c r="AN635" s="405"/>
    </row>
    <row r="636" ht="15.75" customHeight="1">
      <c r="AN636" s="405"/>
    </row>
    <row r="637" ht="15.75" customHeight="1">
      <c r="AN637" s="405"/>
    </row>
    <row r="638" ht="15.75" customHeight="1">
      <c r="AN638" s="405"/>
    </row>
    <row r="639" ht="15.75" customHeight="1">
      <c r="AN639" s="405"/>
    </row>
    <row r="640" ht="15.75" customHeight="1">
      <c r="AN640" s="405"/>
    </row>
    <row r="641" ht="15.75" customHeight="1">
      <c r="AN641" s="405"/>
    </row>
    <row r="642" ht="15.75" customHeight="1">
      <c r="AN642" s="405"/>
    </row>
    <row r="643" ht="15.75" customHeight="1">
      <c r="AN643" s="405"/>
    </row>
    <row r="644" ht="15.75" customHeight="1">
      <c r="AN644" s="405"/>
    </row>
    <row r="645" ht="15.75" customHeight="1">
      <c r="AN645" s="405"/>
    </row>
    <row r="646" ht="15.75" customHeight="1">
      <c r="AN646" s="405"/>
    </row>
    <row r="647" ht="15.75" customHeight="1">
      <c r="AN647" s="405"/>
    </row>
    <row r="648" ht="15.75" customHeight="1">
      <c r="AN648" s="405"/>
    </row>
    <row r="649" ht="15.75" customHeight="1">
      <c r="AN649" s="405"/>
    </row>
    <row r="650" ht="15.75" customHeight="1">
      <c r="AN650" s="405"/>
    </row>
    <row r="651" ht="15.75" customHeight="1">
      <c r="AN651" s="405"/>
    </row>
    <row r="652" ht="15.75" customHeight="1">
      <c r="AN652" s="405"/>
    </row>
    <row r="653" ht="15.75" customHeight="1">
      <c r="AN653" s="405"/>
    </row>
    <row r="654" ht="15.75" customHeight="1">
      <c r="AN654" s="405"/>
    </row>
    <row r="655" ht="15.75" customHeight="1">
      <c r="AN655" s="405"/>
    </row>
    <row r="656" ht="15.75" customHeight="1">
      <c r="AN656" s="405"/>
    </row>
    <row r="657" ht="15.75" customHeight="1">
      <c r="AN657" s="405"/>
    </row>
    <row r="658" ht="15.75" customHeight="1">
      <c r="AN658" s="405"/>
    </row>
    <row r="659" ht="15.75" customHeight="1">
      <c r="AN659" s="405"/>
    </row>
    <row r="660" ht="15.75" customHeight="1">
      <c r="AN660" s="405"/>
    </row>
    <row r="661" ht="15.75" customHeight="1">
      <c r="AN661" s="405"/>
    </row>
    <row r="662" ht="15.75" customHeight="1">
      <c r="AN662" s="405"/>
    </row>
    <row r="663" ht="15.75" customHeight="1">
      <c r="AN663" s="405"/>
    </row>
    <row r="664" ht="15.75" customHeight="1">
      <c r="AN664" s="405"/>
    </row>
    <row r="665" ht="15.75" customHeight="1">
      <c r="AN665" s="405"/>
    </row>
    <row r="666" ht="15.75" customHeight="1">
      <c r="AN666" s="405"/>
    </row>
    <row r="667" ht="15.75" customHeight="1">
      <c r="AN667" s="405"/>
    </row>
    <row r="668" ht="15.75" customHeight="1">
      <c r="AN668" s="405"/>
    </row>
    <row r="669" ht="15.75" customHeight="1">
      <c r="AN669" s="405"/>
    </row>
    <row r="670" ht="15.75" customHeight="1">
      <c r="AN670" s="405"/>
    </row>
    <row r="671" ht="15.75" customHeight="1">
      <c r="AN671" s="405"/>
    </row>
    <row r="672" ht="15.75" customHeight="1">
      <c r="AN672" s="405"/>
    </row>
    <row r="673" ht="15.75" customHeight="1">
      <c r="AN673" s="405"/>
    </row>
    <row r="674" ht="15.75" customHeight="1">
      <c r="AN674" s="405"/>
    </row>
    <row r="675" ht="15.75" customHeight="1">
      <c r="AN675" s="405"/>
    </row>
    <row r="676" ht="15.75" customHeight="1">
      <c r="AN676" s="405"/>
    </row>
    <row r="677" ht="15.75" customHeight="1">
      <c r="AN677" s="405"/>
    </row>
    <row r="678" ht="15.75" customHeight="1">
      <c r="AN678" s="405"/>
    </row>
    <row r="679" ht="15.75" customHeight="1">
      <c r="AN679" s="405"/>
    </row>
    <row r="680" ht="15.75" customHeight="1">
      <c r="AN680" s="405"/>
    </row>
    <row r="681" ht="15.75" customHeight="1">
      <c r="AN681" s="405"/>
    </row>
    <row r="682" ht="15.75" customHeight="1">
      <c r="AN682" s="405"/>
    </row>
    <row r="683" ht="15.75" customHeight="1">
      <c r="AN683" s="405"/>
    </row>
    <row r="684" ht="15.75" customHeight="1">
      <c r="AN684" s="405"/>
    </row>
    <row r="685" ht="15.75" customHeight="1">
      <c r="AN685" s="405"/>
    </row>
    <row r="686" ht="15.75" customHeight="1">
      <c r="AN686" s="405"/>
    </row>
    <row r="687" ht="15.75" customHeight="1">
      <c r="AN687" s="405"/>
    </row>
    <row r="688" ht="15.75" customHeight="1">
      <c r="AN688" s="405"/>
    </row>
    <row r="689" ht="15.75" customHeight="1">
      <c r="AN689" s="405"/>
    </row>
    <row r="690" ht="15.75" customHeight="1">
      <c r="AN690" s="405"/>
    </row>
    <row r="691" ht="15.75" customHeight="1">
      <c r="AN691" s="405"/>
    </row>
    <row r="692" ht="15.75" customHeight="1">
      <c r="AN692" s="405"/>
    </row>
    <row r="693" ht="15.75" customHeight="1">
      <c r="AN693" s="405"/>
    </row>
    <row r="694" ht="15.75" customHeight="1">
      <c r="AN694" s="405"/>
    </row>
    <row r="695" ht="15.75" customHeight="1">
      <c r="AN695" s="405"/>
    </row>
    <row r="696" ht="15.75" customHeight="1">
      <c r="AN696" s="405"/>
    </row>
    <row r="697" ht="15.75" customHeight="1">
      <c r="AN697" s="405"/>
    </row>
    <row r="698" ht="15.75" customHeight="1">
      <c r="AN698" s="405"/>
    </row>
    <row r="699" ht="15.75" customHeight="1">
      <c r="AN699" s="405"/>
    </row>
    <row r="700" ht="15.75" customHeight="1">
      <c r="AN700" s="405"/>
    </row>
    <row r="701" ht="15.75" customHeight="1">
      <c r="AN701" s="405"/>
    </row>
    <row r="702" ht="15.75" customHeight="1">
      <c r="AN702" s="405"/>
    </row>
    <row r="703" ht="15.75" customHeight="1">
      <c r="AN703" s="405"/>
    </row>
    <row r="704" ht="15.75" customHeight="1">
      <c r="AN704" s="405"/>
    </row>
    <row r="705" ht="15.75" customHeight="1">
      <c r="AN705" s="405"/>
    </row>
    <row r="706" ht="15.75" customHeight="1">
      <c r="AN706" s="405"/>
    </row>
    <row r="707" ht="15.75" customHeight="1">
      <c r="AN707" s="405"/>
    </row>
    <row r="708" ht="15.75" customHeight="1">
      <c r="AN708" s="405"/>
    </row>
    <row r="709" ht="15.75" customHeight="1">
      <c r="AN709" s="405"/>
    </row>
    <row r="710" ht="15.75" customHeight="1">
      <c r="AN710" s="405"/>
    </row>
    <row r="711" ht="15.75" customHeight="1">
      <c r="AN711" s="405"/>
    </row>
    <row r="712" ht="15.75" customHeight="1">
      <c r="AN712" s="405"/>
    </row>
    <row r="713" ht="15.75" customHeight="1">
      <c r="AN713" s="405"/>
    </row>
    <row r="714" ht="15.75" customHeight="1">
      <c r="AN714" s="405"/>
    </row>
    <row r="715" ht="15.75" customHeight="1">
      <c r="AN715" s="405"/>
    </row>
    <row r="716" ht="15.75" customHeight="1">
      <c r="AN716" s="405"/>
    </row>
    <row r="717" ht="15.75" customHeight="1">
      <c r="AN717" s="405"/>
    </row>
    <row r="718" ht="15.75" customHeight="1">
      <c r="AN718" s="405"/>
    </row>
    <row r="719" ht="15.75" customHeight="1">
      <c r="AN719" s="405"/>
    </row>
    <row r="720" ht="15.75" customHeight="1">
      <c r="AN720" s="405"/>
    </row>
    <row r="721" ht="15.75" customHeight="1">
      <c r="AN721" s="405"/>
    </row>
    <row r="722" ht="15.75" customHeight="1">
      <c r="AN722" s="405"/>
    </row>
    <row r="723" ht="15.75" customHeight="1">
      <c r="AN723" s="405"/>
    </row>
    <row r="724" ht="15.75" customHeight="1">
      <c r="AN724" s="405"/>
    </row>
    <row r="725" ht="15.75" customHeight="1">
      <c r="AN725" s="405"/>
    </row>
    <row r="726" ht="15.75" customHeight="1">
      <c r="AN726" s="405"/>
    </row>
    <row r="727" ht="15.75" customHeight="1">
      <c r="AN727" s="405"/>
    </row>
    <row r="728" ht="15.75" customHeight="1">
      <c r="AN728" s="405"/>
    </row>
    <row r="729" ht="15.75" customHeight="1">
      <c r="AN729" s="405"/>
    </row>
    <row r="730" ht="15.75" customHeight="1">
      <c r="AN730" s="405"/>
    </row>
    <row r="731" ht="15.75" customHeight="1">
      <c r="AN731" s="405"/>
    </row>
    <row r="732" ht="15.75" customHeight="1">
      <c r="AN732" s="405"/>
    </row>
    <row r="733" ht="15.75" customHeight="1">
      <c r="AN733" s="405"/>
    </row>
    <row r="734" ht="15.75" customHeight="1">
      <c r="AN734" s="405"/>
    </row>
    <row r="735" ht="15.75" customHeight="1">
      <c r="AN735" s="405"/>
    </row>
    <row r="736" ht="15.75" customHeight="1">
      <c r="AN736" s="405"/>
    </row>
    <row r="737" ht="15.75" customHeight="1">
      <c r="AN737" s="405"/>
    </row>
    <row r="738" ht="15.75" customHeight="1">
      <c r="AN738" s="405"/>
    </row>
    <row r="739" ht="15.75" customHeight="1">
      <c r="AN739" s="405"/>
    </row>
    <row r="740" ht="15.75" customHeight="1">
      <c r="AN740" s="405"/>
    </row>
    <row r="741" ht="15.75" customHeight="1">
      <c r="AN741" s="405"/>
    </row>
    <row r="742" ht="15.75" customHeight="1">
      <c r="AN742" s="405"/>
    </row>
    <row r="743" ht="15.75" customHeight="1">
      <c r="AN743" s="405"/>
    </row>
    <row r="744" ht="15.75" customHeight="1">
      <c r="AN744" s="405"/>
    </row>
    <row r="745" ht="15.75" customHeight="1">
      <c r="AN745" s="405"/>
    </row>
    <row r="746" ht="15.75" customHeight="1">
      <c r="AN746" s="405"/>
    </row>
    <row r="747" ht="15.75" customHeight="1">
      <c r="AN747" s="405"/>
    </row>
    <row r="748" ht="15.75" customHeight="1">
      <c r="AN748" s="405"/>
    </row>
    <row r="749" ht="15.75" customHeight="1">
      <c r="AN749" s="405"/>
    </row>
    <row r="750" ht="15.75" customHeight="1">
      <c r="AN750" s="405"/>
    </row>
    <row r="751" ht="15.75" customHeight="1">
      <c r="AN751" s="405"/>
    </row>
    <row r="752" ht="15.75" customHeight="1">
      <c r="AN752" s="405"/>
    </row>
    <row r="753" ht="15.75" customHeight="1">
      <c r="AN753" s="405"/>
    </row>
    <row r="754" ht="15.75" customHeight="1">
      <c r="AN754" s="405"/>
    </row>
    <row r="755" ht="15.75" customHeight="1">
      <c r="AN755" s="405"/>
    </row>
    <row r="756" ht="15.75" customHeight="1">
      <c r="AN756" s="405"/>
    </row>
    <row r="757" ht="15.75" customHeight="1">
      <c r="AN757" s="405"/>
    </row>
    <row r="758" ht="15.75" customHeight="1">
      <c r="AN758" s="405"/>
    </row>
    <row r="759" ht="15.75" customHeight="1">
      <c r="AN759" s="405"/>
    </row>
    <row r="760" ht="15.75" customHeight="1">
      <c r="AN760" s="405"/>
    </row>
    <row r="761" ht="15.75" customHeight="1">
      <c r="AN761" s="405"/>
    </row>
    <row r="762" ht="15.75" customHeight="1">
      <c r="AN762" s="405"/>
    </row>
    <row r="763" ht="15.75" customHeight="1">
      <c r="AN763" s="405"/>
    </row>
    <row r="764" ht="15.75" customHeight="1">
      <c r="AN764" s="405"/>
    </row>
    <row r="765" ht="15.75" customHeight="1">
      <c r="AN765" s="405"/>
    </row>
    <row r="766" ht="15.75" customHeight="1">
      <c r="AN766" s="405"/>
    </row>
    <row r="767" ht="15.75" customHeight="1">
      <c r="AN767" s="405"/>
    </row>
    <row r="768" ht="15.75" customHeight="1">
      <c r="AN768" s="405"/>
    </row>
    <row r="769" ht="15.75" customHeight="1">
      <c r="AN769" s="405"/>
    </row>
    <row r="770" ht="15.75" customHeight="1">
      <c r="AN770" s="405"/>
    </row>
    <row r="771" ht="15.75" customHeight="1">
      <c r="AN771" s="405"/>
    </row>
    <row r="772" ht="15.75" customHeight="1">
      <c r="AN772" s="405"/>
    </row>
    <row r="773" ht="15.75" customHeight="1">
      <c r="AN773" s="405"/>
    </row>
    <row r="774" ht="15.75" customHeight="1">
      <c r="AN774" s="405"/>
    </row>
    <row r="775" ht="15.75" customHeight="1">
      <c r="AN775" s="405"/>
    </row>
    <row r="776" ht="15.75" customHeight="1">
      <c r="AN776" s="405"/>
    </row>
    <row r="777" ht="15.75" customHeight="1">
      <c r="AN777" s="405"/>
    </row>
    <row r="778" ht="15.75" customHeight="1">
      <c r="AN778" s="405"/>
    </row>
    <row r="779" ht="15.75" customHeight="1">
      <c r="AN779" s="405"/>
    </row>
    <row r="780" ht="15.75" customHeight="1">
      <c r="AN780" s="405"/>
    </row>
    <row r="781" ht="15.75" customHeight="1">
      <c r="AN781" s="405"/>
    </row>
    <row r="782" ht="15.75" customHeight="1">
      <c r="AN782" s="405"/>
    </row>
    <row r="783" ht="15.75" customHeight="1">
      <c r="AN783" s="405"/>
    </row>
    <row r="784" ht="15.75" customHeight="1">
      <c r="AN784" s="405"/>
    </row>
    <row r="785" ht="15.75" customHeight="1">
      <c r="AN785" s="405"/>
    </row>
    <row r="786" ht="15.75" customHeight="1">
      <c r="AN786" s="405"/>
    </row>
    <row r="787" ht="15.75" customHeight="1">
      <c r="AN787" s="405"/>
    </row>
    <row r="788" ht="15.75" customHeight="1">
      <c r="AN788" s="405"/>
    </row>
    <row r="789" ht="15.75" customHeight="1">
      <c r="AN789" s="405"/>
    </row>
    <row r="790" ht="15.75" customHeight="1">
      <c r="AN790" s="405"/>
    </row>
    <row r="791" ht="15.75" customHeight="1">
      <c r="AN791" s="405"/>
    </row>
    <row r="792" ht="15.75" customHeight="1">
      <c r="AN792" s="405"/>
    </row>
    <row r="793" ht="15.75" customHeight="1">
      <c r="AN793" s="405"/>
    </row>
    <row r="794" ht="15.75" customHeight="1">
      <c r="AN794" s="405"/>
    </row>
    <row r="795" ht="15.75" customHeight="1">
      <c r="AN795" s="405"/>
    </row>
    <row r="796" ht="15.75" customHeight="1">
      <c r="AN796" s="405"/>
    </row>
    <row r="797" ht="15.75" customHeight="1">
      <c r="AN797" s="405"/>
    </row>
    <row r="798" ht="15.75" customHeight="1">
      <c r="AN798" s="405"/>
    </row>
    <row r="799" ht="15.75" customHeight="1">
      <c r="AN799" s="405"/>
    </row>
    <row r="800" ht="15.75" customHeight="1">
      <c r="AN800" s="405"/>
    </row>
    <row r="801" ht="15.75" customHeight="1">
      <c r="AN801" s="405"/>
    </row>
    <row r="802" ht="15.75" customHeight="1">
      <c r="AN802" s="405"/>
    </row>
    <row r="803" ht="15.75" customHeight="1">
      <c r="AN803" s="405"/>
    </row>
    <row r="804" ht="15.75" customHeight="1">
      <c r="AN804" s="405"/>
    </row>
    <row r="805" ht="15.75" customHeight="1">
      <c r="AN805" s="405"/>
    </row>
    <row r="806" ht="15.75" customHeight="1">
      <c r="AN806" s="405"/>
    </row>
    <row r="807" ht="15.75" customHeight="1">
      <c r="AN807" s="405"/>
    </row>
    <row r="808" ht="15.75" customHeight="1">
      <c r="AN808" s="405"/>
    </row>
    <row r="809" ht="15.75" customHeight="1">
      <c r="AN809" s="405"/>
    </row>
    <row r="810" ht="15.75" customHeight="1">
      <c r="AN810" s="405"/>
    </row>
    <row r="811" ht="15.75" customHeight="1">
      <c r="AN811" s="405"/>
    </row>
    <row r="812" ht="15.75" customHeight="1">
      <c r="AN812" s="405"/>
    </row>
    <row r="813" ht="15.75" customHeight="1">
      <c r="AN813" s="405"/>
    </row>
    <row r="814" ht="15.75" customHeight="1">
      <c r="AN814" s="405"/>
    </row>
    <row r="815" ht="15.75" customHeight="1">
      <c r="AN815" s="405"/>
    </row>
    <row r="816" ht="15.75" customHeight="1">
      <c r="AN816" s="405"/>
    </row>
    <row r="817" ht="15.75" customHeight="1">
      <c r="AN817" s="405"/>
    </row>
    <row r="818" ht="15.75" customHeight="1">
      <c r="AN818" s="405"/>
    </row>
    <row r="819" ht="15.75" customHeight="1">
      <c r="AN819" s="405"/>
    </row>
    <row r="820" ht="15.75" customHeight="1">
      <c r="AN820" s="405"/>
    </row>
    <row r="821" ht="15.75" customHeight="1">
      <c r="AN821" s="405"/>
    </row>
    <row r="822" ht="15.75" customHeight="1">
      <c r="AN822" s="405"/>
    </row>
    <row r="823" ht="15.75" customHeight="1">
      <c r="AN823" s="405"/>
    </row>
    <row r="824" ht="15.75" customHeight="1">
      <c r="AN824" s="405"/>
    </row>
    <row r="825" ht="15.75" customHeight="1">
      <c r="AN825" s="405"/>
    </row>
    <row r="826" ht="15.75" customHeight="1">
      <c r="AN826" s="405"/>
    </row>
    <row r="827" ht="15.75" customHeight="1">
      <c r="AN827" s="405"/>
    </row>
    <row r="828" ht="15.75" customHeight="1">
      <c r="AN828" s="405"/>
    </row>
    <row r="829" ht="15.75" customHeight="1">
      <c r="AN829" s="405"/>
    </row>
    <row r="830" ht="15.75" customHeight="1">
      <c r="AN830" s="405"/>
    </row>
    <row r="831" ht="15.75" customHeight="1">
      <c r="AN831" s="405"/>
    </row>
    <row r="832" ht="15.75" customHeight="1">
      <c r="AN832" s="405"/>
    </row>
    <row r="833" ht="15.75" customHeight="1">
      <c r="AN833" s="405"/>
    </row>
    <row r="834" ht="15.75" customHeight="1">
      <c r="AN834" s="405"/>
    </row>
    <row r="835" ht="15.75" customHeight="1">
      <c r="AN835" s="405"/>
    </row>
    <row r="836" ht="15.75" customHeight="1">
      <c r="AN836" s="405"/>
    </row>
    <row r="837" ht="15.75" customHeight="1">
      <c r="AN837" s="405"/>
    </row>
    <row r="838" ht="15.75" customHeight="1">
      <c r="AN838" s="405"/>
    </row>
    <row r="839" ht="15.75" customHeight="1">
      <c r="AN839" s="405"/>
    </row>
    <row r="840" ht="15.75" customHeight="1">
      <c r="AN840" s="405"/>
    </row>
    <row r="841" ht="15.75" customHeight="1">
      <c r="AN841" s="405"/>
    </row>
    <row r="842" ht="15.75" customHeight="1">
      <c r="AN842" s="405"/>
    </row>
    <row r="843" ht="15.75" customHeight="1">
      <c r="AN843" s="405"/>
    </row>
    <row r="844" ht="15.75" customHeight="1">
      <c r="AN844" s="405"/>
    </row>
    <row r="845" ht="15.75" customHeight="1">
      <c r="AN845" s="405"/>
    </row>
    <row r="846" ht="15.75" customHeight="1">
      <c r="AN846" s="405"/>
    </row>
    <row r="847" ht="15.75" customHeight="1">
      <c r="AN847" s="405"/>
    </row>
    <row r="848" ht="15.75" customHeight="1">
      <c r="AN848" s="405"/>
    </row>
    <row r="849" ht="15.75" customHeight="1">
      <c r="AN849" s="405"/>
    </row>
    <row r="850" ht="15.75" customHeight="1">
      <c r="AN850" s="405"/>
    </row>
    <row r="851" ht="15.75" customHeight="1">
      <c r="AN851" s="405"/>
    </row>
    <row r="852" ht="15.75" customHeight="1">
      <c r="AN852" s="405"/>
    </row>
    <row r="853" ht="15.75" customHeight="1">
      <c r="AN853" s="405"/>
    </row>
    <row r="854" ht="15.75" customHeight="1">
      <c r="AN854" s="405"/>
    </row>
    <row r="855" ht="15.75" customHeight="1">
      <c r="AN855" s="405"/>
    </row>
    <row r="856" ht="15.75" customHeight="1">
      <c r="AN856" s="405"/>
    </row>
    <row r="857" ht="15.75" customHeight="1">
      <c r="AN857" s="405"/>
    </row>
    <row r="858" ht="15.75" customHeight="1">
      <c r="AN858" s="405"/>
    </row>
    <row r="859" ht="15.75" customHeight="1">
      <c r="AN859" s="405"/>
    </row>
    <row r="860" ht="15.75" customHeight="1">
      <c r="AN860" s="405"/>
    </row>
    <row r="861" ht="15.75" customHeight="1">
      <c r="AN861" s="405"/>
    </row>
    <row r="862" ht="15.75" customHeight="1">
      <c r="AN862" s="405"/>
    </row>
    <row r="863" ht="15.75" customHeight="1">
      <c r="AN863" s="405"/>
    </row>
    <row r="864" ht="15.75" customHeight="1">
      <c r="AN864" s="405"/>
    </row>
    <row r="865" ht="15.75" customHeight="1">
      <c r="AN865" s="405"/>
    </row>
    <row r="866" ht="15.75" customHeight="1">
      <c r="AN866" s="405"/>
    </row>
    <row r="867" ht="15.75" customHeight="1">
      <c r="AN867" s="405"/>
    </row>
    <row r="868" ht="15.75" customHeight="1">
      <c r="AN868" s="405"/>
    </row>
    <row r="869" ht="15.75" customHeight="1">
      <c r="AN869" s="405"/>
    </row>
    <row r="870" ht="15.75" customHeight="1">
      <c r="AN870" s="405"/>
    </row>
    <row r="871" ht="15.75" customHeight="1">
      <c r="AN871" s="405"/>
    </row>
    <row r="872" ht="15.75" customHeight="1">
      <c r="AN872" s="405"/>
    </row>
    <row r="873" ht="15.75" customHeight="1">
      <c r="AN873" s="405"/>
    </row>
    <row r="874" ht="15.75" customHeight="1">
      <c r="AN874" s="405"/>
    </row>
    <row r="875" ht="15.75" customHeight="1">
      <c r="AN875" s="405"/>
    </row>
    <row r="876" ht="15.75" customHeight="1">
      <c r="AN876" s="405"/>
    </row>
    <row r="877" ht="15.75" customHeight="1">
      <c r="AN877" s="405"/>
    </row>
    <row r="878" ht="15.75" customHeight="1">
      <c r="AN878" s="405"/>
    </row>
    <row r="879" ht="15.75" customHeight="1">
      <c r="AN879" s="405"/>
    </row>
    <row r="880" ht="15.75" customHeight="1">
      <c r="AN880" s="405"/>
    </row>
    <row r="881" ht="15.75" customHeight="1">
      <c r="AN881" s="405"/>
    </row>
    <row r="882" ht="15.75" customHeight="1">
      <c r="AN882" s="405"/>
    </row>
    <row r="883" ht="15.75" customHeight="1">
      <c r="AN883" s="405"/>
    </row>
    <row r="884" ht="15.75" customHeight="1">
      <c r="AN884" s="405"/>
    </row>
    <row r="885" ht="15.75" customHeight="1">
      <c r="AN885" s="405"/>
    </row>
    <row r="886" ht="15.75" customHeight="1">
      <c r="AN886" s="405"/>
    </row>
    <row r="887" ht="15.75" customHeight="1">
      <c r="AN887" s="405"/>
    </row>
    <row r="888" ht="15.75" customHeight="1">
      <c r="AN888" s="405"/>
    </row>
    <row r="889" ht="15.75" customHeight="1">
      <c r="AN889" s="405"/>
    </row>
    <row r="890" ht="15.75" customHeight="1">
      <c r="AN890" s="405"/>
    </row>
    <row r="891" ht="15.75" customHeight="1">
      <c r="AN891" s="405"/>
    </row>
    <row r="892" ht="15.75" customHeight="1">
      <c r="AN892" s="405"/>
    </row>
    <row r="893" ht="15.75" customHeight="1">
      <c r="AN893" s="405"/>
    </row>
    <row r="894" ht="15.75" customHeight="1">
      <c r="AN894" s="405"/>
    </row>
    <row r="895" ht="15.75" customHeight="1">
      <c r="AN895" s="405"/>
    </row>
    <row r="896" ht="15.75" customHeight="1">
      <c r="AN896" s="405"/>
    </row>
    <row r="897" ht="15.75" customHeight="1">
      <c r="AN897" s="405"/>
    </row>
    <row r="898" ht="15.75" customHeight="1">
      <c r="AN898" s="405"/>
    </row>
    <row r="899" ht="15.75" customHeight="1">
      <c r="AN899" s="405"/>
    </row>
    <row r="900" ht="15.75" customHeight="1">
      <c r="AN900" s="405"/>
    </row>
    <row r="901" ht="15.75" customHeight="1">
      <c r="AN901" s="405"/>
    </row>
    <row r="902" ht="15.75" customHeight="1">
      <c r="AN902" s="405"/>
    </row>
    <row r="903" ht="15.75" customHeight="1">
      <c r="AN903" s="405"/>
    </row>
    <row r="904" ht="15.75" customHeight="1">
      <c r="AN904" s="405"/>
    </row>
    <row r="905" ht="15.75" customHeight="1">
      <c r="AN905" s="405"/>
    </row>
    <row r="906" ht="15.75" customHeight="1">
      <c r="AN906" s="405"/>
    </row>
    <row r="907" ht="15.75" customHeight="1">
      <c r="AN907" s="405"/>
    </row>
    <row r="908" ht="15.75" customHeight="1">
      <c r="AN908" s="405"/>
    </row>
    <row r="909" ht="15.75" customHeight="1">
      <c r="AN909" s="405"/>
    </row>
    <row r="910" ht="15.75" customHeight="1">
      <c r="AN910" s="405"/>
    </row>
    <row r="911" ht="15.75" customHeight="1">
      <c r="AN911" s="405"/>
    </row>
    <row r="912" ht="15.75" customHeight="1">
      <c r="AN912" s="405"/>
    </row>
    <row r="913" ht="15.75" customHeight="1">
      <c r="AN913" s="405"/>
    </row>
    <row r="914" ht="15.75" customHeight="1">
      <c r="AN914" s="405"/>
    </row>
    <row r="915" ht="15.75" customHeight="1">
      <c r="AN915" s="405"/>
    </row>
    <row r="916" ht="15.75" customHeight="1">
      <c r="AN916" s="405"/>
    </row>
    <row r="917" ht="15.75" customHeight="1">
      <c r="AN917" s="405"/>
    </row>
    <row r="918" ht="15.75" customHeight="1">
      <c r="AN918" s="405"/>
    </row>
    <row r="919" ht="15.75" customHeight="1">
      <c r="AN919" s="405"/>
    </row>
    <row r="920" ht="15.75" customHeight="1">
      <c r="AN920" s="405"/>
    </row>
    <row r="921" ht="15.75" customHeight="1">
      <c r="AN921" s="405"/>
    </row>
    <row r="922" ht="15.75" customHeight="1">
      <c r="AN922" s="405"/>
    </row>
    <row r="923" ht="15.75" customHeight="1">
      <c r="AN923" s="405"/>
    </row>
    <row r="924" ht="15.75" customHeight="1">
      <c r="AN924" s="405"/>
    </row>
    <row r="925" ht="15.75" customHeight="1">
      <c r="AN925" s="405"/>
    </row>
    <row r="926" ht="15.75" customHeight="1">
      <c r="AN926" s="405"/>
    </row>
    <row r="927" ht="15.75" customHeight="1">
      <c r="AN927" s="405"/>
    </row>
    <row r="928" ht="15.75" customHeight="1">
      <c r="AN928" s="405"/>
    </row>
    <row r="929" ht="15.75" customHeight="1">
      <c r="AN929" s="405"/>
    </row>
    <row r="930" ht="15.75" customHeight="1">
      <c r="AN930" s="405"/>
    </row>
    <row r="931" ht="15.75" customHeight="1">
      <c r="AN931" s="405"/>
    </row>
    <row r="932" ht="15.75" customHeight="1">
      <c r="AN932" s="405"/>
    </row>
    <row r="933" ht="15.75" customHeight="1">
      <c r="AN933" s="405"/>
    </row>
    <row r="934" ht="15.75" customHeight="1">
      <c r="AN934" s="405"/>
    </row>
    <row r="935" ht="15.75" customHeight="1">
      <c r="AN935" s="405"/>
    </row>
    <row r="936" ht="15.75" customHeight="1">
      <c r="AN936" s="405"/>
    </row>
    <row r="937" ht="15.75" customHeight="1">
      <c r="AN937" s="405"/>
    </row>
    <row r="938" ht="15.75" customHeight="1">
      <c r="AN938" s="405"/>
    </row>
    <row r="939" ht="15.75" customHeight="1">
      <c r="AN939" s="405"/>
    </row>
    <row r="940" ht="15.75" customHeight="1">
      <c r="AN940" s="405"/>
    </row>
    <row r="941" ht="15.75" customHeight="1">
      <c r="AN941" s="405"/>
    </row>
    <row r="942" ht="15.75" customHeight="1">
      <c r="AN942" s="405"/>
    </row>
    <row r="943" ht="15.75" customHeight="1">
      <c r="AN943" s="405"/>
    </row>
    <row r="944" ht="15.75" customHeight="1">
      <c r="AN944" s="405"/>
    </row>
    <row r="945" ht="15.75" customHeight="1">
      <c r="AN945" s="405"/>
    </row>
    <row r="946" ht="15.75" customHeight="1">
      <c r="AN946" s="405"/>
    </row>
    <row r="947" ht="15.75" customHeight="1">
      <c r="AN947" s="405"/>
    </row>
    <row r="948" ht="15.75" customHeight="1">
      <c r="AN948" s="405"/>
    </row>
    <row r="949" ht="15.75" customHeight="1">
      <c r="AN949" s="405"/>
    </row>
    <row r="950" ht="15.75" customHeight="1">
      <c r="AN950" s="405"/>
    </row>
    <row r="951" ht="15.75" customHeight="1">
      <c r="AN951" s="405"/>
    </row>
    <row r="952" ht="15.75" customHeight="1">
      <c r="AN952" s="405"/>
    </row>
    <row r="953" ht="15.75" customHeight="1">
      <c r="AN953" s="405"/>
    </row>
    <row r="954" ht="15.75" customHeight="1">
      <c r="AN954" s="405"/>
    </row>
    <row r="955" ht="15.75" customHeight="1">
      <c r="AN955" s="405"/>
    </row>
    <row r="956" ht="15.75" customHeight="1">
      <c r="AN956" s="405"/>
    </row>
    <row r="957" ht="15.75" customHeight="1">
      <c r="AN957" s="405"/>
    </row>
    <row r="958" ht="15.75" customHeight="1">
      <c r="AN958" s="405"/>
    </row>
    <row r="959" ht="15.75" customHeight="1">
      <c r="AN959" s="405"/>
    </row>
    <row r="960" ht="15.75" customHeight="1">
      <c r="AN960" s="405"/>
    </row>
    <row r="961" ht="15.75" customHeight="1">
      <c r="AN961" s="405"/>
    </row>
    <row r="962" ht="15.75" customHeight="1">
      <c r="AN962" s="405"/>
    </row>
    <row r="963" ht="15.75" customHeight="1">
      <c r="AN963" s="405"/>
    </row>
    <row r="964" ht="15.75" customHeight="1">
      <c r="AN964" s="405"/>
    </row>
    <row r="965" ht="15.75" customHeight="1">
      <c r="AN965" s="405"/>
    </row>
    <row r="966" ht="15.75" customHeight="1">
      <c r="AN966" s="405"/>
    </row>
    <row r="967" ht="15.75" customHeight="1">
      <c r="AN967" s="405"/>
    </row>
    <row r="968" ht="15.75" customHeight="1">
      <c r="AN968" s="405"/>
    </row>
    <row r="969" ht="15.75" customHeight="1">
      <c r="AN969" s="405"/>
    </row>
    <row r="970" ht="15.75" customHeight="1">
      <c r="AN970" s="405"/>
    </row>
    <row r="971" ht="15.75" customHeight="1">
      <c r="AN971" s="405"/>
    </row>
    <row r="972" ht="15.75" customHeight="1">
      <c r="AN972" s="405"/>
    </row>
    <row r="973" ht="15.75" customHeight="1">
      <c r="AN973" s="405"/>
    </row>
    <row r="974" ht="15.75" customHeight="1">
      <c r="AN974" s="405"/>
    </row>
    <row r="975" ht="15.75" customHeight="1">
      <c r="AN975" s="405"/>
    </row>
    <row r="976" ht="15.75" customHeight="1">
      <c r="AN976" s="405"/>
    </row>
    <row r="977" ht="15.75" customHeight="1">
      <c r="AN977" s="405"/>
    </row>
    <row r="978" ht="15.75" customHeight="1">
      <c r="AN978" s="405"/>
    </row>
    <row r="979" ht="15.75" customHeight="1">
      <c r="AN979" s="405"/>
    </row>
    <row r="980" ht="15.75" customHeight="1">
      <c r="AN980" s="405"/>
    </row>
    <row r="981" ht="15.75" customHeight="1">
      <c r="AN981" s="405"/>
    </row>
    <row r="982" ht="15.75" customHeight="1">
      <c r="AN982" s="405"/>
    </row>
    <row r="983" ht="15.75" customHeight="1">
      <c r="AN983" s="405"/>
    </row>
    <row r="984" ht="15.75" customHeight="1">
      <c r="AN984" s="405"/>
    </row>
    <row r="985" ht="15.75" customHeight="1">
      <c r="AN985" s="405"/>
    </row>
    <row r="986" ht="15.75" customHeight="1">
      <c r="AN986" s="405"/>
    </row>
    <row r="987" ht="15.75" customHeight="1">
      <c r="AN987" s="405"/>
    </row>
    <row r="988" ht="15.75" customHeight="1">
      <c r="AN988" s="405"/>
    </row>
    <row r="989" ht="15.75" customHeight="1">
      <c r="AN989" s="405"/>
    </row>
    <row r="990" ht="15.75" customHeight="1">
      <c r="AN990" s="405"/>
    </row>
    <row r="991" ht="15.75" customHeight="1">
      <c r="AN991" s="405"/>
    </row>
    <row r="992" ht="15.75" customHeight="1">
      <c r="AN992" s="405"/>
    </row>
    <row r="993" ht="15.75" customHeight="1">
      <c r="AN993" s="405"/>
    </row>
    <row r="994" ht="15.75" customHeight="1">
      <c r="AN994" s="405"/>
    </row>
    <row r="995" ht="15.75" customHeight="1">
      <c r="AN995" s="405"/>
    </row>
    <row r="996" ht="15.75" customHeight="1">
      <c r="AN996" s="405"/>
    </row>
    <row r="997" ht="15.75" customHeight="1">
      <c r="AN997" s="405"/>
    </row>
    <row r="998" ht="15.75" customHeight="1">
      <c r="AN998" s="405"/>
    </row>
    <row r="999" ht="15.75" customHeight="1">
      <c r="AN999" s="405"/>
    </row>
    <row r="1000" ht="15.75" customHeight="1">
      <c r="AN1000" s="405"/>
    </row>
  </sheetData>
  <mergeCells count="11">
    <mergeCell ref="A350:B350"/>
    <mergeCell ref="A351:B351"/>
    <mergeCell ref="U351:V352"/>
    <mergeCell ref="AM351:AN352"/>
    <mergeCell ref="A1:V1"/>
    <mergeCell ref="W1:AN1"/>
    <mergeCell ref="A347:B347"/>
    <mergeCell ref="U347:V347"/>
    <mergeCell ref="AM347:AN347"/>
    <mergeCell ref="A348:B348"/>
    <mergeCell ref="A349:B34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16.29"/>
    <col customWidth="1" min="3" max="3" width="18.0"/>
    <col customWidth="1" min="4" max="5" width="12.0"/>
    <col customWidth="1" min="6" max="6" width="16.0"/>
    <col customWidth="1" min="7" max="7" width="9.43"/>
    <col customWidth="1" min="8" max="8" width="51.29"/>
    <col customWidth="1" min="9" max="9" width="9.86"/>
    <col customWidth="1" min="10" max="10" width="5.0"/>
    <col customWidth="1" min="11" max="11" width="14.0"/>
    <col customWidth="1" min="12" max="12" width="14.71"/>
    <col customWidth="1" min="13" max="13" width="13.0"/>
    <col customWidth="1" min="14" max="16" width="12.0"/>
    <col customWidth="1" min="17" max="17" width="13.0"/>
    <col customWidth="1" min="18" max="18" width="12.0"/>
    <col customWidth="1" min="19" max="19" width="11.43"/>
    <col customWidth="1" min="20" max="20" width="11.0"/>
    <col customWidth="1" min="21" max="21" width="24.0"/>
    <col customWidth="1" min="22" max="22" width="21.86"/>
    <col customWidth="1" min="23" max="23" width="15.29"/>
    <col customWidth="1" min="24" max="24" width="11.57"/>
    <col customWidth="1" min="25" max="25" width="14.29"/>
    <col customWidth="1" min="26" max="26" width="13.86"/>
    <col customWidth="1" min="27" max="34" width="14.0"/>
    <col customWidth="1" min="35" max="35" width="16.29"/>
    <col customWidth="1" min="36" max="36" width="15.43"/>
    <col customWidth="1" min="37" max="38" width="14.0"/>
    <col customWidth="1" min="39" max="39" width="19.29"/>
    <col customWidth="1" min="40" max="40" width="19.14"/>
    <col customWidth="1" min="41" max="42" width="14.0"/>
    <col customWidth="1" min="43" max="43" width="20.57"/>
    <col customWidth="1" min="44" max="44" width="20.43"/>
    <col customWidth="1" min="45" max="45" width="17.86"/>
    <col customWidth="1" min="46" max="57" width="17.71"/>
  </cols>
  <sheetData>
    <row r="1" ht="15.75" customHeight="1">
      <c r="A1" s="285" t="s">
        <v>1228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7"/>
      <c r="W1" s="406" t="s">
        <v>939</v>
      </c>
      <c r="X1" s="407"/>
      <c r="Y1" s="407"/>
      <c r="Z1" s="407"/>
      <c r="AA1" s="407"/>
      <c r="AB1" s="407"/>
      <c r="AC1" s="407"/>
      <c r="AD1" s="407"/>
      <c r="AE1" s="408"/>
      <c r="AF1" s="408"/>
      <c r="AG1" s="408"/>
      <c r="AH1" s="407"/>
      <c r="AI1" s="407"/>
      <c r="AJ1" s="407"/>
      <c r="AK1" s="407"/>
      <c r="AL1" s="407"/>
      <c r="AM1" s="407"/>
      <c r="AN1" s="407"/>
      <c r="AO1" s="407"/>
      <c r="AP1" s="407"/>
      <c r="AQ1" s="407"/>
      <c r="AR1" s="407"/>
      <c r="AS1" s="407"/>
      <c r="AT1" s="409"/>
      <c r="AU1" s="410"/>
      <c r="AV1" s="410"/>
      <c r="AW1" s="410"/>
      <c r="AX1" s="410"/>
      <c r="AY1" s="410"/>
      <c r="AZ1" s="410"/>
      <c r="BA1" s="410"/>
      <c r="BB1" s="410"/>
      <c r="BC1" s="410"/>
      <c r="BD1" s="410"/>
      <c r="BE1" s="410"/>
    </row>
    <row r="2" ht="56.25" customHeight="1">
      <c r="A2" s="243" t="s">
        <v>73</v>
      </c>
      <c r="B2" s="244" t="s">
        <v>74</v>
      </c>
      <c r="C2" s="244" t="s">
        <v>75</v>
      </c>
      <c r="D2" s="244" t="s">
        <v>76</v>
      </c>
      <c r="E2" s="244" t="s">
        <v>77</v>
      </c>
      <c r="F2" s="243" t="s">
        <v>78</v>
      </c>
      <c r="G2" s="244" t="s">
        <v>79</v>
      </c>
      <c r="H2" s="244" t="s">
        <v>80</v>
      </c>
      <c r="I2" s="244" t="s">
        <v>81</v>
      </c>
      <c r="J2" s="289" t="s">
        <v>82</v>
      </c>
      <c r="K2" s="290" t="s">
        <v>1229</v>
      </c>
      <c r="L2" s="291" t="s">
        <v>1230</v>
      </c>
      <c r="M2" s="292" t="s">
        <v>1231</v>
      </c>
      <c r="N2" s="244" t="s">
        <v>1232</v>
      </c>
      <c r="O2" s="244" t="s">
        <v>1233</v>
      </c>
      <c r="P2" s="244" t="s">
        <v>1234</v>
      </c>
      <c r="Q2" s="244" t="s">
        <v>1235</v>
      </c>
      <c r="R2" s="244" t="s">
        <v>1236</v>
      </c>
      <c r="S2" s="244" t="s">
        <v>91</v>
      </c>
      <c r="T2" s="244" t="s">
        <v>1237</v>
      </c>
      <c r="U2" s="244" t="s">
        <v>93</v>
      </c>
      <c r="V2" s="244" t="s">
        <v>94</v>
      </c>
      <c r="W2" s="411" t="s">
        <v>1238</v>
      </c>
      <c r="X2" s="411" t="s">
        <v>1239</v>
      </c>
      <c r="Y2" s="411" t="s">
        <v>1240</v>
      </c>
      <c r="Z2" s="412" t="s">
        <v>1241</v>
      </c>
      <c r="AA2" s="413" t="s">
        <v>1242</v>
      </c>
      <c r="AB2" s="414" t="s">
        <v>1243</v>
      </c>
      <c r="AC2" s="415" t="s">
        <v>1244</v>
      </c>
      <c r="AD2" s="416" t="s">
        <v>62</v>
      </c>
      <c r="AE2" s="417" t="s">
        <v>1245</v>
      </c>
      <c r="AF2" s="418" t="s">
        <v>1246</v>
      </c>
      <c r="AG2" s="419" t="s">
        <v>1247</v>
      </c>
      <c r="AH2" s="418" t="s">
        <v>64</v>
      </c>
      <c r="AI2" s="420" t="s">
        <v>1248</v>
      </c>
      <c r="AJ2" s="418" t="s">
        <v>1249</v>
      </c>
      <c r="AK2" s="420" t="s">
        <v>1250</v>
      </c>
      <c r="AL2" s="418" t="s">
        <v>1251</v>
      </c>
      <c r="AM2" s="419" t="s">
        <v>1252</v>
      </c>
      <c r="AN2" s="418" t="s">
        <v>1253</v>
      </c>
      <c r="AO2" s="420" t="s">
        <v>1254</v>
      </c>
      <c r="AP2" s="420" t="s">
        <v>1255</v>
      </c>
      <c r="AQ2" s="421" t="s">
        <v>1256</v>
      </c>
      <c r="AR2" s="421" t="s">
        <v>1257</v>
      </c>
      <c r="AS2" s="422" t="s">
        <v>965</v>
      </c>
      <c r="AT2" s="423" t="s">
        <v>94</v>
      </c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4"/>
    </row>
    <row r="3" ht="12.75" customHeight="1">
      <c r="A3" s="245" t="s">
        <v>434</v>
      </c>
      <c r="B3" s="246" t="s">
        <v>99</v>
      </c>
      <c r="C3" s="247" t="s">
        <v>100</v>
      </c>
      <c r="D3" s="247" t="s">
        <v>101</v>
      </c>
      <c r="E3" s="248"/>
      <c r="F3" s="247" t="s">
        <v>102</v>
      </c>
      <c r="G3" s="247" t="s">
        <v>103</v>
      </c>
      <c r="H3" s="247" t="s">
        <v>1258</v>
      </c>
      <c r="I3" s="248" t="s">
        <v>105</v>
      </c>
      <c r="J3" s="300" t="s">
        <v>106</v>
      </c>
      <c r="K3" s="301">
        <v>10.39</v>
      </c>
      <c r="L3" s="302">
        <v>14334.0</v>
      </c>
      <c r="M3" s="303">
        <v>1.55</v>
      </c>
      <c r="N3" s="250">
        <v>2138.0</v>
      </c>
      <c r="O3" s="249">
        <v>1.05</v>
      </c>
      <c r="P3" s="250">
        <v>1448.0</v>
      </c>
      <c r="Q3" s="251">
        <f t="shared" ref="Q3:R3" si="1">M3-O3</f>
        <v>0.5</v>
      </c>
      <c r="R3" s="252">
        <f t="shared" si="1"/>
        <v>690</v>
      </c>
      <c r="S3" s="253">
        <v>1379.6</v>
      </c>
      <c r="T3" s="254">
        <v>15.0</v>
      </c>
      <c r="U3" s="255" t="s">
        <v>107</v>
      </c>
      <c r="V3" s="255"/>
      <c r="W3" s="304">
        <v>0.1029</v>
      </c>
      <c r="X3" s="304">
        <v>0.03313</v>
      </c>
      <c r="Y3" s="304">
        <v>0.06977</v>
      </c>
      <c r="Z3" s="305">
        <f>IFERROR(ROUND(K3/W3,0),0)</f>
        <v>101</v>
      </c>
      <c r="AA3" s="306">
        <f t="shared" ref="AA3:AA4" si="3">Z3*W3</f>
        <v>10.3929</v>
      </c>
      <c r="AB3" s="307">
        <f t="shared" ref="AB3:AB4" si="4">ROUND(AA3*S3,0)</f>
        <v>14338</v>
      </c>
      <c r="AC3" s="308">
        <f t="shared" ref="AC3:AC4" si="5">AA3</f>
        <v>10.3929</v>
      </c>
      <c r="AD3" s="309">
        <f t="shared" ref="AD3:AD16" si="6">ROUND(AC3*S3,0)</f>
        <v>14338</v>
      </c>
      <c r="AE3" s="425"/>
      <c r="AF3" s="425"/>
      <c r="AG3" s="310">
        <f t="shared" ref="AG3:AG16" si="7">IFERROR(ROUND(Z3*Y3,2),0)</f>
        <v>7.05</v>
      </c>
      <c r="AH3" s="252">
        <f t="shared" ref="AH3:AH16" si="8">ROUND(AG3*S3,0)</f>
        <v>9726</v>
      </c>
      <c r="AI3" s="306">
        <f t="shared" ref="AI3:AI4" si="9">ROUND(AC3*0.15,2)</f>
        <v>1.56</v>
      </c>
      <c r="AJ3" s="252">
        <f t="shared" ref="AJ3:AJ4" si="10">ROUND(AD3*0.15,0)</f>
        <v>2151</v>
      </c>
      <c r="AK3" s="426"/>
      <c r="AL3" s="426"/>
      <c r="AM3" s="426"/>
      <c r="AN3" s="426"/>
      <c r="AO3" s="426"/>
      <c r="AP3" s="426"/>
      <c r="AQ3" s="427"/>
      <c r="AR3" s="427"/>
      <c r="AS3" s="427"/>
      <c r="AT3" s="426"/>
      <c r="AU3" s="410"/>
      <c r="AV3" s="410"/>
      <c r="AW3" s="410"/>
      <c r="AX3" s="410"/>
      <c r="AY3" s="410"/>
      <c r="AZ3" s="410"/>
      <c r="BA3" s="410"/>
      <c r="BB3" s="410"/>
      <c r="BC3" s="410"/>
      <c r="BD3" s="410"/>
      <c r="BE3" s="410"/>
    </row>
    <row r="4" ht="12.75" customHeight="1">
      <c r="A4" s="245" t="s">
        <v>436</v>
      </c>
      <c r="B4" s="246" t="s">
        <v>99</v>
      </c>
      <c r="C4" s="247" t="s">
        <v>100</v>
      </c>
      <c r="D4" s="247" t="s">
        <v>101</v>
      </c>
      <c r="E4" s="248"/>
      <c r="F4" s="247" t="s">
        <v>102</v>
      </c>
      <c r="G4" s="247" t="s">
        <v>103</v>
      </c>
      <c r="H4" s="247" t="s">
        <v>1259</v>
      </c>
      <c r="I4" s="248" t="s">
        <v>105</v>
      </c>
      <c r="J4" s="300" t="s">
        <v>106</v>
      </c>
      <c r="K4" s="314">
        <f t="shared" ref="K4:R4" si="2">-K3</f>
        <v>-10.39</v>
      </c>
      <c r="L4" s="309">
        <f t="shared" si="2"/>
        <v>-14334</v>
      </c>
      <c r="M4" s="315">
        <f t="shared" si="2"/>
        <v>-1.55</v>
      </c>
      <c r="N4" s="252">
        <f t="shared" si="2"/>
        <v>-2138</v>
      </c>
      <c r="O4" s="251">
        <f t="shared" si="2"/>
        <v>-1.05</v>
      </c>
      <c r="P4" s="252">
        <f t="shared" si="2"/>
        <v>-1448</v>
      </c>
      <c r="Q4" s="251">
        <f t="shared" si="2"/>
        <v>-0.5</v>
      </c>
      <c r="R4" s="252">
        <f t="shared" si="2"/>
        <v>-690</v>
      </c>
      <c r="S4" s="253">
        <v>1379.6</v>
      </c>
      <c r="T4" s="254">
        <v>15.0</v>
      </c>
      <c r="U4" s="255" t="s">
        <v>107</v>
      </c>
      <c r="V4" s="255"/>
      <c r="W4" s="304">
        <v>0.1029</v>
      </c>
      <c r="X4" s="304">
        <v>0.03313</v>
      </c>
      <c r="Y4" s="304">
        <v>0.06977</v>
      </c>
      <c r="Z4" s="305">
        <f>-Z3</f>
        <v>-101</v>
      </c>
      <c r="AA4" s="306">
        <f t="shared" si="3"/>
        <v>-10.3929</v>
      </c>
      <c r="AB4" s="307">
        <f t="shared" si="4"/>
        <v>-14338</v>
      </c>
      <c r="AC4" s="308">
        <f t="shared" si="5"/>
        <v>-10.3929</v>
      </c>
      <c r="AD4" s="309">
        <f t="shared" si="6"/>
        <v>-14338</v>
      </c>
      <c r="AE4" s="425"/>
      <c r="AF4" s="425"/>
      <c r="AG4" s="310">
        <f t="shared" si="7"/>
        <v>-7.05</v>
      </c>
      <c r="AH4" s="252">
        <f t="shared" si="8"/>
        <v>-9726</v>
      </c>
      <c r="AI4" s="306">
        <f t="shared" si="9"/>
        <v>-1.56</v>
      </c>
      <c r="AJ4" s="252">
        <f t="shared" si="10"/>
        <v>-2151</v>
      </c>
      <c r="AK4" s="426"/>
      <c r="AL4" s="426"/>
      <c r="AM4" s="426"/>
      <c r="AN4" s="426"/>
      <c r="AO4" s="426"/>
      <c r="AP4" s="426"/>
      <c r="AQ4" s="427"/>
      <c r="AR4" s="427"/>
      <c r="AS4" s="427"/>
      <c r="AT4" s="426"/>
      <c r="AU4" s="410"/>
      <c r="AV4" s="410"/>
      <c r="AW4" s="410"/>
      <c r="AX4" s="410"/>
      <c r="AY4" s="410"/>
      <c r="AZ4" s="410"/>
      <c r="BA4" s="410"/>
      <c r="BB4" s="410"/>
      <c r="BC4" s="410"/>
      <c r="BD4" s="410"/>
      <c r="BE4" s="410"/>
    </row>
    <row r="5" ht="12.75" customHeight="1">
      <c r="A5" s="256" t="s">
        <v>438</v>
      </c>
      <c r="B5" s="257" t="s">
        <v>99</v>
      </c>
      <c r="C5" s="258" t="s">
        <v>100</v>
      </c>
      <c r="D5" s="258" t="s">
        <v>101</v>
      </c>
      <c r="E5" s="259"/>
      <c r="F5" s="258" t="s">
        <v>102</v>
      </c>
      <c r="G5" s="258" t="s">
        <v>103</v>
      </c>
      <c r="H5" s="258" t="s">
        <v>1260</v>
      </c>
      <c r="I5" s="259" t="s">
        <v>105</v>
      </c>
      <c r="J5" s="316" t="s">
        <v>106</v>
      </c>
      <c r="K5" s="317">
        <f>ROUND(M5/0.15,2)</f>
        <v>3.33</v>
      </c>
      <c r="L5" s="318">
        <f>ROUND(N5/0.15,0)</f>
        <v>4600</v>
      </c>
      <c r="M5" s="319">
        <f t="shared" ref="M5:N5" si="11">Q5</f>
        <v>0.5</v>
      </c>
      <c r="N5" s="261">
        <f t="shared" si="11"/>
        <v>690</v>
      </c>
      <c r="O5" s="262">
        <v>1.05</v>
      </c>
      <c r="P5" s="263">
        <v>1448.0</v>
      </c>
      <c r="Q5" s="260">
        <f t="shared" ref="Q5:R5" si="12">M3-O5</f>
        <v>0.5</v>
      </c>
      <c r="R5" s="261">
        <f t="shared" si="12"/>
        <v>690</v>
      </c>
      <c r="S5" s="264">
        <v>1379.6</v>
      </c>
      <c r="T5" s="265">
        <v>15.0</v>
      </c>
      <c r="U5" s="266" t="s">
        <v>107</v>
      </c>
      <c r="V5" s="266" t="s">
        <v>1261</v>
      </c>
      <c r="W5" s="320">
        <v>0.1029</v>
      </c>
      <c r="X5" s="320">
        <v>0.03313</v>
      </c>
      <c r="Y5" s="320">
        <v>0.06977</v>
      </c>
      <c r="Z5" s="321">
        <f>Z3</f>
        <v>101</v>
      </c>
      <c r="AA5" s="426"/>
      <c r="AB5" s="428"/>
      <c r="AC5" s="323">
        <f>IFERROR(ROUND(Z5*X5,2),0)</f>
        <v>3.35</v>
      </c>
      <c r="AD5" s="318">
        <f t="shared" si="6"/>
        <v>4622</v>
      </c>
      <c r="AE5" s="429"/>
      <c r="AF5" s="429"/>
      <c r="AG5" s="324">
        <f t="shared" si="7"/>
        <v>7.05</v>
      </c>
      <c r="AH5" s="261">
        <f t="shared" si="8"/>
        <v>9726</v>
      </c>
      <c r="AI5" s="426"/>
      <c r="AJ5" s="426"/>
      <c r="AK5" s="325">
        <f>ROUND(AC5*0.15,2)</f>
        <v>0.5</v>
      </c>
      <c r="AL5" s="261">
        <f>ROUND(AD5*0.15,0)</f>
        <v>693</v>
      </c>
      <c r="AM5" s="325"/>
      <c r="AN5" s="325"/>
      <c r="AO5" s="325">
        <f>ROUND(AG5*0.15,2)</f>
        <v>1.06</v>
      </c>
      <c r="AP5" s="261">
        <f>ROUND(AH5*0.15,0)</f>
        <v>1459</v>
      </c>
      <c r="AQ5" s="326"/>
      <c r="AR5" s="326"/>
      <c r="AS5" s="326">
        <f>IFERROR(AC5/K5,IFERROR(AO5/O5,""))</f>
        <v>1.006006006</v>
      </c>
      <c r="AT5" s="426"/>
      <c r="AU5" s="410"/>
      <c r="AV5" s="410"/>
      <c r="AW5" s="410"/>
      <c r="AX5" s="410"/>
      <c r="AY5" s="410"/>
      <c r="AZ5" s="410"/>
      <c r="BA5" s="410"/>
      <c r="BB5" s="410"/>
      <c r="BC5" s="410"/>
      <c r="BD5" s="410"/>
      <c r="BE5" s="410"/>
    </row>
    <row r="6" ht="12.75" customHeight="1">
      <c r="A6" s="245" t="s">
        <v>441</v>
      </c>
      <c r="B6" s="246" t="s">
        <v>99</v>
      </c>
      <c r="C6" s="247" t="s">
        <v>100</v>
      </c>
      <c r="D6" s="247" t="s">
        <v>108</v>
      </c>
      <c r="E6" s="248"/>
      <c r="F6" s="247" t="s">
        <v>102</v>
      </c>
      <c r="G6" s="247" t="s">
        <v>103</v>
      </c>
      <c r="H6" s="247" t="s">
        <v>1262</v>
      </c>
      <c r="I6" s="248" t="s">
        <v>105</v>
      </c>
      <c r="J6" s="300" t="s">
        <v>106</v>
      </c>
      <c r="K6" s="301">
        <v>41.84</v>
      </c>
      <c r="L6" s="302">
        <v>57944.0</v>
      </c>
      <c r="M6" s="303">
        <v>6.28</v>
      </c>
      <c r="N6" s="250">
        <v>8697.0</v>
      </c>
      <c r="O6" s="249">
        <v>4.26</v>
      </c>
      <c r="P6" s="250">
        <v>5899.0</v>
      </c>
      <c r="Q6" s="251">
        <f t="shared" ref="Q6:R6" si="13">M6-O6</f>
        <v>2.02</v>
      </c>
      <c r="R6" s="252">
        <f t="shared" si="13"/>
        <v>2798</v>
      </c>
      <c r="S6" s="253">
        <v>1384.9</v>
      </c>
      <c r="T6" s="254">
        <v>15.0</v>
      </c>
      <c r="U6" s="255" t="s">
        <v>107</v>
      </c>
      <c r="V6" s="255"/>
      <c r="W6" s="304">
        <v>0.1008</v>
      </c>
      <c r="X6" s="304">
        <v>0.032454</v>
      </c>
      <c r="Y6" s="304">
        <v>0.068346</v>
      </c>
      <c r="Z6" s="305">
        <f>IFERROR(ROUND(K6/W6,0),0)</f>
        <v>415</v>
      </c>
      <c r="AA6" s="306">
        <f t="shared" ref="AA6:AA7" si="15">Z6*W6</f>
        <v>41.832</v>
      </c>
      <c r="AB6" s="307">
        <f t="shared" ref="AB6:AB7" si="16">ROUND(AA6*S6,0)</f>
        <v>57933</v>
      </c>
      <c r="AC6" s="308">
        <f t="shared" ref="AC6:AC7" si="17">AA6</f>
        <v>41.832</v>
      </c>
      <c r="AD6" s="309">
        <f t="shared" si="6"/>
        <v>57933</v>
      </c>
      <c r="AE6" s="425"/>
      <c r="AF6" s="425"/>
      <c r="AG6" s="310">
        <f t="shared" si="7"/>
        <v>28.36</v>
      </c>
      <c r="AH6" s="252">
        <f t="shared" si="8"/>
        <v>39276</v>
      </c>
      <c r="AI6" s="306">
        <f t="shared" ref="AI6:AI7" si="18">ROUND(AC6*0.15,2)</f>
        <v>6.27</v>
      </c>
      <c r="AJ6" s="252">
        <f t="shared" ref="AJ6:AJ7" si="19">ROUND(AD6*0.15,0)</f>
        <v>8690</v>
      </c>
      <c r="AK6" s="426"/>
      <c r="AL6" s="426"/>
      <c r="AM6" s="426"/>
      <c r="AN6" s="426"/>
      <c r="AO6" s="426"/>
      <c r="AP6" s="426"/>
      <c r="AQ6" s="427"/>
      <c r="AR6" s="427"/>
      <c r="AS6" s="427"/>
      <c r="AT6" s="426"/>
      <c r="AU6" s="410"/>
      <c r="AV6" s="410"/>
      <c r="AW6" s="410"/>
      <c r="AX6" s="410"/>
      <c r="AY6" s="410"/>
      <c r="AZ6" s="410"/>
      <c r="BA6" s="410"/>
      <c r="BB6" s="410"/>
      <c r="BC6" s="410"/>
      <c r="BD6" s="410"/>
      <c r="BE6" s="410"/>
    </row>
    <row r="7" ht="12.75" customHeight="1">
      <c r="A7" s="245" t="s">
        <v>443</v>
      </c>
      <c r="B7" s="246" t="s">
        <v>99</v>
      </c>
      <c r="C7" s="247" t="s">
        <v>100</v>
      </c>
      <c r="D7" s="247" t="s">
        <v>108</v>
      </c>
      <c r="E7" s="248"/>
      <c r="F7" s="247" t="s">
        <v>102</v>
      </c>
      <c r="G7" s="247" t="s">
        <v>103</v>
      </c>
      <c r="H7" s="247" t="s">
        <v>1263</v>
      </c>
      <c r="I7" s="248" t="s">
        <v>105</v>
      </c>
      <c r="J7" s="300" t="s">
        <v>106</v>
      </c>
      <c r="K7" s="314">
        <f t="shared" ref="K7:R7" si="14">-K6</f>
        <v>-41.84</v>
      </c>
      <c r="L7" s="309">
        <f t="shared" si="14"/>
        <v>-57944</v>
      </c>
      <c r="M7" s="315">
        <f t="shared" si="14"/>
        <v>-6.28</v>
      </c>
      <c r="N7" s="252">
        <f t="shared" si="14"/>
        <v>-8697</v>
      </c>
      <c r="O7" s="251">
        <f t="shared" si="14"/>
        <v>-4.26</v>
      </c>
      <c r="P7" s="252">
        <f t="shared" si="14"/>
        <v>-5899</v>
      </c>
      <c r="Q7" s="251">
        <f t="shared" si="14"/>
        <v>-2.02</v>
      </c>
      <c r="R7" s="252">
        <f t="shared" si="14"/>
        <v>-2798</v>
      </c>
      <c r="S7" s="253">
        <v>1384.9</v>
      </c>
      <c r="T7" s="254">
        <v>15.0</v>
      </c>
      <c r="U7" s="255" t="s">
        <v>107</v>
      </c>
      <c r="V7" s="255"/>
      <c r="W7" s="304">
        <v>0.1008</v>
      </c>
      <c r="X7" s="304">
        <v>0.032454</v>
      </c>
      <c r="Y7" s="304">
        <v>0.068346</v>
      </c>
      <c r="Z7" s="305">
        <f>-Z6</f>
        <v>-415</v>
      </c>
      <c r="AA7" s="306">
        <f t="shared" si="15"/>
        <v>-41.832</v>
      </c>
      <c r="AB7" s="307">
        <f t="shared" si="16"/>
        <v>-57933</v>
      </c>
      <c r="AC7" s="308">
        <f t="shared" si="17"/>
        <v>-41.832</v>
      </c>
      <c r="AD7" s="309">
        <f t="shared" si="6"/>
        <v>-57933</v>
      </c>
      <c r="AE7" s="425"/>
      <c r="AF7" s="425"/>
      <c r="AG7" s="310">
        <f t="shared" si="7"/>
        <v>-28.36</v>
      </c>
      <c r="AH7" s="252">
        <f t="shared" si="8"/>
        <v>-39276</v>
      </c>
      <c r="AI7" s="306">
        <f t="shared" si="18"/>
        <v>-6.27</v>
      </c>
      <c r="AJ7" s="252">
        <f t="shared" si="19"/>
        <v>-8690</v>
      </c>
      <c r="AK7" s="426"/>
      <c r="AL7" s="426"/>
      <c r="AM7" s="426"/>
      <c r="AN7" s="426"/>
      <c r="AO7" s="426"/>
      <c r="AP7" s="426"/>
      <c r="AQ7" s="427"/>
      <c r="AR7" s="427"/>
      <c r="AS7" s="427"/>
      <c r="AT7" s="426"/>
      <c r="AU7" s="410"/>
      <c r="AV7" s="410"/>
      <c r="AW7" s="410"/>
      <c r="AX7" s="410"/>
      <c r="AY7" s="410"/>
      <c r="AZ7" s="410"/>
      <c r="BA7" s="410"/>
      <c r="BB7" s="410"/>
      <c r="BC7" s="410"/>
      <c r="BD7" s="410"/>
      <c r="BE7" s="410"/>
    </row>
    <row r="8" ht="12.75" customHeight="1">
      <c r="A8" s="256" t="s">
        <v>445</v>
      </c>
      <c r="B8" s="257" t="s">
        <v>99</v>
      </c>
      <c r="C8" s="258" t="s">
        <v>100</v>
      </c>
      <c r="D8" s="258" t="s">
        <v>108</v>
      </c>
      <c r="E8" s="259"/>
      <c r="F8" s="258" t="s">
        <v>102</v>
      </c>
      <c r="G8" s="258" t="s">
        <v>103</v>
      </c>
      <c r="H8" s="258" t="s">
        <v>1264</v>
      </c>
      <c r="I8" s="259" t="s">
        <v>105</v>
      </c>
      <c r="J8" s="316" t="s">
        <v>106</v>
      </c>
      <c r="K8" s="317">
        <f>ROUND(M8/0.15,2)</f>
        <v>13.47</v>
      </c>
      <c r="L8" s="318">
        <f>ROUND(N8/0.15,0)</f>
        <v>18653</v>
      </c>
      <c r="M8" s="319">
        <f t="shared" ref="M8:N8" si="20">Q8</f>
        <v>2.02</v>
      </c>
      <c r="N8" s="261">
        <f t="shared" si="20"/>
        <v>2798</v>
      </c>
      <c r="O8" s="262">
        <v>4.26</v>
      </c>
      <c r="P8" s="263">
        <v>5899.0</v>
      </c>
      <c r="Q8" s="260">
        <f t="shared" ref="Q8:R8" si="21">M6-O8</f>
        <v>2.02</v>
      </c>
      <c r="R8" s="261">
        <f t="shared" si="21"/>
        <v>2798</v>
      </c>
      <c r="S8" s="264">
        <v>1384.9</v>
      </c>
      <c r="T8" s="265">
        <v>15.0</v>
      </c>
      <c r="U8" s="266" t="s">
        <v>107</v>
      </c>
      <c r="V8" s="266" t="s">
        <v>1265</v>
      </c>
      <c r="W8" s="320">
        <v>0.1008</v>
      </c>
      <c r="X8" s="320">
        <v>0.032454</v>
      </c>
      <c r="Y8" s="320">
        <v>0.068346</v>
      </c>
      <c r="Z8" s="321">
        <f>Z6</f>
        <v>415</v>
      </c>
      <c r="AA8" s="426"/>
      <c r="AB8" s="428"/>
      <c r="AC8" s="323">
        <f>IFERROR(ROUND(Z8*X8,2),0)</f>
        <v>13.47</v>
      </c>
      <c r="AD8" s="318">
        <f t="shared" si="6"/>
        <v>18655</v>
      </c>
      <c r="AE8" s="429"/>
      <c r="AF8" s="429"/>
      <c r="AG8" s="324">
        <f t="shared" si="7"/>
        <v>28.36</v>
      </c>
      <c r="AH8" s="261">
        <f t="shared" si="8"/>
        <v>39276</v>
      </c>
      <c r="AI8" s="426"/>
      <c r="AJ8" s="426"/>
      <c r="AK8" s="325">
        <f>ROUND(AC8*0.15,2)</f>
        <v>2.02</v>
      </c>
      <c r="AL8" s="261">
        <f>ROUND(AD8*0.15,0)</f>
        <v>2798</v>
      </c>
      <c r="AM8" s="325"/>
      <c r="AN8" s="325"/>
      <c r="AO8" s="325">
        <f>ROUND(AG8*0.15,2)</f>
        <v>4.25</v>
      </c>
      <c r="AP8" s="261">
        <f>ROUND(AH8*0.15,0)</f>
        <v>5891</v>
      </c>
      <c r="AQ8" s="326"/>
      <c r="AR8" s="326"/>
      <c r="AS8" s="326">
        <f>IFERROR(AC8/K8,IFERROR(AO8/O8,""))</f>
        <v>1</v>
      </c>
      <c r="AT8" s="426"/>
      <c r="AU8" s="410"/>
      <c r="AV8" s="410"/>
      <c r="AW8" s="410"/>
      <c r="AX8" s="410"/>
      <c r="AY8" s="410"/>
      <c r="AZ8" s="410"/>
      <c r="BA8" s="410"/>
      <c r="BB8" s="410"/>
      <c r="BC8" s="410"/>
      <c r="BD8" s="410"/>
      <c r="BE8" s="410"/>
    </row>
    <row r="9" ht="12.75" customHeight="1">
      <c r="A9" s="245" t="s">
        <v>448</v>
      </c>
      <c r="B9" s="246" t="s">
        <v>99</v>
      </c>
      <c r="C9" s="247" t="s">
        <v>100</v>
      </c>
      <c r="D9" s="247" t="s">
        <v>110</v>
      </c>
      <c r="E9" s="248"/>
      <c r="F9" s="247" t="s">
        <v>102</v>
      </c>
      <c r="G9" s="247" t="s">
        <v>103</v>
      </c>
      <c r="H9" s="247" t="s">
        <v>1266</v>
      </c>
      <c r="I9" s="248" t="s">
        <v>105</v>
      </c>
      <c r="J9" s="300" t="s">
        <v>106</v>
      </c>
      <c r="K9" s="301">
        <v>43.43</v>
      </c>
      <c r="L9" s="302">
        <v>60193.0</v>
      </c>
      <c r="M9" s="303">
        <v>6.52</v>
      </c>
      <c r="N9" s="250">
        <v>9036.0</v>
      </c>
      <c r="O9" s="249">
        <v>4.42</v>
      </c>
      <c r="P9" s="250">
        <v>6126.0</v>
      </c>
      <c r="Q9" s="251">
        <f t="shared" ref="Q9:R9" si="22">M9-O9</f>
        <v>2.1</v>
      </c>
      <c r="R9" s="252">
        <f t="shared" si="22"/>
        <v>2910</v>
      </c>
      <c r="S9" s="253">
        <v>1386.0</v>
      </c>
      <c r="T9" s="254">
        <v>15.0</v>
      </c>
      <c r="U9" s="255" t="s">
        <v>107</v>
      </c>
      <c r="V9" s="255"/>
      <c r="W9" s="304">
        <v>0.1003</v>
      </c>
      <c r="X9" s="304">
        <v>0.032293</v>
      </c>
      <c r="Y9" s="304">
        <v>0.068007</v>
      </c>
      <c r="Z9" s="305">
        <f>IFERROR(ROUND(K9/W9,0),0)</f>
        <v>433</v>
      </c>
      <c r="AA9" s="306">
        <f t="shared" ref="AA9:AA10" si="24">Z9*W9</f>
        <v>43.4299</v>
      </c>
      <c r="AB9" s="307">
        <f t="shared" ref="AB9:AB10" si="25">ROUND(AA9*S9,0)</f>
        <v>60194</v>
      </c>
      <c r="AC9" s="308">
        <f t="shared" ref="AC9:AC10" si="26">AA9</f>
        <v>43.4299</v>
      </c>
      <c r="AD9" s="309">
        <f t="shared" si="6"/>
        <v>60194</v>
      </c>
      <c r="AE9" s="425"/>
      <c r="AF9" s="425"/>
      <c r="AG9" s="310">
        <f t="shared" si="7"/>
        <v>29.45</v>
      </c>
      <c r="AH9" s="252">
        <f t="shared" si="8"/>
        <v>40818</v>
      </c>
      <c r="AI9" s="306">
        <f t="shared" ref="AI9:AI10" si="27">ROUND(AC9*0.15,2)</f>
        <v>6.51</v>
      </c>
      <c r="AJ9" s="252">
        <f t="shared" ref="AJ9:AJ10" si="28">ROUND(AD9*0.15,0)</f>
        <v>9029</v>
      </c>
      <c r="AK9" s="426"/>
      <c r="AL9" s="426"/>
      <c r="AM9" s="426"/>
      <c r="AN9" s="426"/>
      <c r="AO9" s="426"/>
      <c r="AP9" s="426"/>
      <c r="AQ9" s="427"/>
      <c r="AR9" s="427"/>
      <c r="AS9" s="427"/>
      <c r="AT9" s="426"/>
      <c r="AU9" s="410"/>
      <c r="AV9" s="410"/>
      <c r="AW9" s="410"/>
      <c r="AX9" s="410"/>
      <c r="AY9" s="410"/>
      <c r="AZ9" s="410"/>
      <c r="BA9" s="410"/>
      <c r="BB9" s="410"/>
      <c r="BC9" s="410"/>
      <c r="BD9" s="410"/>
      <c r="BE9" s="410"/>
    </row>
    <row r="10" ht="12.75" customHeight="1">
      <c r="A10" s="245" t="s">
        <v>450</v>
      </c>
      <c r="B10" s="246" t="s">
        <v>99</v>
      </c>
      <c r="C10" s="247" t="s">
        <v>100</v>
      </c>
      <c r="D10" s="247" t="s">
        <v>110</v>
      </c>
      <c r="E10" s="248"/>
      <c r="F10" s="247" t="s">
        <v>102</v>
      </c>
      <c r="G10" s="247" t="s">
        <v>103</v>
      </c>
      <c r="H10" s="247" t="s">
        <v>1267</v>
      </c>
      <c r="I10" s="248" t="s">
        <v>105</v>
      </c>
      <c r="J10" s="300" t="s">
        <v>106</v>
      </c>
      <c r="K10" s="314">
        <f t="shared" ref="K10:R10" si="23">-K9</f>
        <v>-43.43</v>
      </c>
      <c r="L10" s="309">
        <f t="shared" si="23"/>
        <v>-60193</v>
      </c>
      <c r="M10" s="315">
        <f t="shared" si="23"/>
        <v>-6.52</v>
      </c>
      <c r="N10" s="252">
        <f t="shared" si="23"/>
        <v>-9036</v>
      </c>
      <c r="O10" s="251">
        <f t="shared" si="23"/>
        <v>-4.42</v>
      </c>
      <c r="P10" s="252">
        <f t="shared" si="23"/>
        <v>-6126</v>
      </c>
      <c r="Q10" s="251">
        <f t="shared" si="23"/>
        <v>-2.1</v>
      </c>
      <c r="R10" s="252">
        <f t="shared" si="23"/>
        <v>-2910</v>
      </c>
      <c r="S10" s="253">
        <v>1386.0</v>
      </c>
      <c r="T10" s="254">
        <v>15.0</v>
      </c>
      <c r="U10" s="255" t="s">
        <v>107</v>
      </c>
      <c r="V10" s="255"/>
      <c r="W10" s="304">
        <v>0.1003</v>
      </c>
      <c r="X10" s="304">
        <v>0.032293</v>
      </c>
      <c r="Y10" s="304">
        <v>0.068007</v>
      </c>
      <c r="Z10" s="305">
        <f>-Z9</f>
        <v>-433</v>
      </c>
      <c r="AA10" s="306">
        <f t="shared" si="24"/>
        <v>-43.4299</v>
      </c>
      <c r="AB10" s="307">
        <f t="shared" si="25"/>
        <v>-60194</v>
      </c>
      <c r="AC10" s="308">
        <f t="shared" si="26"/>
        <v>-43.4299</v>
      </c>
      <c r="AD10" s="309">
        <f t="shared" si="6"/>
        <v>-60194</v>
      </c>
      <c r="AE10" s="425"/>
      <c r="AF10" s="425"/>
      <c r="AG10" s="310">
        <f t="shared" si="7"/>
        <v>-29.45</v>
      </c>
      <c r="AH10" s="252">
        <f t="shared" si="8"/>
        <v>-40818</v>
      </c>
      <c r="AI10" s="306">
        <f t="shared" si="27"/>
        <v>-6.51</v>
      </c>
      <c r="AJ10" s="252">
        <f t="shared" si="28"/>
        <v>-9029</v>
      </c>
      <c r="AK10" s="426"/>
      <c r="AL10" s="426"/>
      <c r="AM10" s="426"/>
      <c r="AN10" s="426"/>
      <c r="AO10" s="426"/>
      <c r="AP10" s="426"/>
      <c r="AQ10" s="427"/>
      <c r="AR10" s="427"/>
      <c r="AS10" s="427"/>
      <c r="AT10" s="426"/>
      <c r="AU10" s="410"/>
      <c r="AV10" s="410"/>
      <c r="AW10" s="410"/>
      <c r="AX10" s="410"/>
      <c r="AY10" s="410"/>
      <c r="AZ10" s="410"/>
      <c r="BA10" s="410"/>
      <c r="BB10" s="410"/>
      <c r="BC10" s="410"/>
      <c r="BD10" s="410"/>
      <c r="BE10" s="410"/>
    </row>
    <row r="11" ht="12.75" customHeight="1">
      <c r="A11" s="256" t="s">
        <v>452</v>
      </c>
      <c r="B11" s="257" t="s">
        <v>99</v>
      </c>
      <c r="C11" s="258" t="s">
        <v>100</v>
      </c>
      <c r="D11" s="258" t="s">
        <v>110</v>
      </c>
      <c r="E11" s="259"/>
      <c r="F11" s="258" t="s">
        <v>102</v>
      </c>
      <c r="G11" s="258" t="s">
        <v>103</v>
      </c>
      <c r="H11" s="258" t="s">
        <v>1268</v>
      </c>
      <c r="I11" s="259" t="s">
        <v>105</v>
      </c>
      <c r="J11" s="316" t="s">
        <v>106</v>
      </c>
      <c r="K11" s="317">
        <f>ROUND(M11/0.15,2)</f>
        <v>14</v>
      </c>
      <c r="L11" s="318">
        <f>ROUND(N11/0.15,0)</f>
        <v>19400</v>
      </c>
      <c r="M11" s="319">
        <f t="shared" ref="M11:N11" si="29">Q11</f>
        <v>2.1</v>
      </c>
      <c r="N11" s="261">
        <f t="shared" si="29"/>
        <v>2910</v>
      </c>
      <c r="O11" s="262">
        <v>4.42</v>
      </c>
      <c r="P11" s="263">
        <v>6126.0</v>
      </c>
      <c r="Q11" s="260">
        <f t="shared" ref="Q11:R11" si="30">M9-O11</f>
        <v>2.1</v>
      </c>
      <c r="R11" s="261">
        <f t="shared" si="30"/>
        <v>2910</v>
      </c>
      <c r="S11" s="264">
        <v>1386.0</v>
      </c>
      <c r="T11" s="265">
        <v>15.0</v>
      </c>
      <c r="U11" s="266" t="s">
        <v>107</v>
      </c>
      <c r="V11" s="266" t="s">
        <v>1269</v>
      </c>
      <c r="W11" s="320">
        <v>0.1003</v>
      </c>
      <c r="X11" s="320">
        <v>0.032293</v>
      </c>
      <c r="Y11" s="320">
        <v>0.068007</v>
      </c>
      <c r="Z11" s="321">
        <f>Z9</f>
        <v>433</v>
      </c>
      <c r="AA11" s="426"/>
      <c r="AB11" s="428"/>
      <c r="AC11" s="323">
        <f>IFERROR(ROUND(Z11*X11,2),0)</f>
        <v>13.98</v>
      </c>
      <c r="AD11" s="318">
        <f t="shared" si="6"/>
        <v>19376</v>
      </c>
      <c r="AE11" s="429"/>
      <c r="AF11" s="429"/>
      <c r="AG11" s="324">
        <f t="shared" si="7"/>
        <v>29.45</v>
      </c>
      <c r="AH11" s="261">
        <f t="shared" si="8"/>
        <v>40818</v>
      </c>
      <c r="AI11" s="426"/>
      <c r="AJ11" s="426"/>
      <c r="AK11" s="325">
        <f>ROUND(AC11*0.15,2)</f>
        <v>2.1</v>
      </c>
      <c r="AL11" s="261">
        <f>ROUND(AD11*0.15,0)</f>
        <v>2906</v>
      </c>
      <c r="AM11" s="325"/>
      <c r="AN11" s="325"/>
      <c r="AO11" s="325">
        <f>ROUND(AG11*0.15,2)</f>
        <v>4.42</v>
      </c>
      <c r="AP11" s="261">
        <f>ROUND(AH11*0.15,0)</f>
        <v>6123</v>
      </c>
      <c r="AQ11" s="326"/>
      <c r="AR11" s="326"/>
      <c r="AS11" s="326">
        <f>IFERROR(AC11/K11,IFERROR(AO11/O11,""))</f>
        <v>0.9985714286</v>
      </c>
      <c r="AT11" s="426"/>
      <c r="AU11" s="410"/>
      <c r="AV11" s="410"/>
      <c r="AW11" s="410"/>
      <c r="AX11" s="410"/>
      <c r="AY11" s="410"/>
      <c r="AZ11" s="410"/>
      <c r="BA11" s="410"/>
      <c r="BB11" s="410"/>
      <c r="BC11" s="410"/>
      <c r="BD11" s="410"/>
      <c r="BE11" s="410"/>
    </row>
    <row r="12" ht="12.75" customHeight="1">
      <c r="A12" s="245" t="s">
        <v>455</v>
      </c>
      <c r="B12" s="246" t="s">
        <v>99</v>
      </c>
      <c r="C12" s="247" t="s">
        <v>100</v>
      </c>
      <c r="D12" s="247" t="s">
        <v>112</v>
      </c>
      <c r="E12" s="248"/>
      <c r="F12" s="247" t="s">
        <v>102</v>
      </c>
      <c r="G12" s="247" t="s">
        <v>103</v>
      </c>
      <c r="H12" s="247" t="s">
        <v>1270</v>
      </c>
      <c r="I12" s="248" t="s">
        <v>105</v>
      </c>
      <c r="J12" s="300" t="s">
        <v>106</v>
      </c>
      <c r="K12" s="301">
        <v>44.17</v>
      </c>
      <c r="L12" s="302">
        <v>61051.0</v>
      </c>
      <c r="M12" s="303">
        <v>6.63</v>
      </c>
      <c r="N12" s="250">
        <v>9163.0</v>
      </c>
      <c r="O12" s="249">
        <v>4.5</v>
      </c>
      <c r="P12" s="250">
        <v>6219.0</v>
      </c>
      <c r="Q12" s="251">
        <f t="shared" ref="Q12:R12" si="31">M12-O12</f>
        <v>2.13</v>
      </c>
      <c r="R12" s="252">
        <f t="shared" si="31"/>
        <v>2944</v>
      </c>
      <c r="S12" s="253">
        <v>1382.2</v>
      </c>
      <c r="T12" s="254">
        <v>15.0</v>
      </c>
      <c r="U12" s="255" t="s">
        <v>107</v>
      </c>
      <c r="V12" s="255"/>
      <c r="W12" s="304">
        <v>0.1006</v>
      </c>
      <c r="X12" s="304">
        <v>0.03239</v>
      </c>
      <c r="Y12" s="304">
        <v>0.06821</v>
      </c>
      <c r="Z12" s="305">
        <f>IFERROR(ROUND(K12/W12,0),0)</f>
        <v>439</v>
      </c>
      <c r="AA12" s="306">
        <f t="shared" ref="AA12:AA13" si="33">Z12*W12</f>
        <v>44.1634</v>
      </c>
      <c r="AB12" s="307">
        <f t="shared" ref="AB12:AB13" si="34">ROUND(AA12*S12,0)</f>
        <v>61043</v>
      </c>
      <c r="AC12" s="308">
        <f t="shared" ref="AC12:AC13" si="35">AA12</f>
        <v>44.1634</v>
      </c>
      <c r="AD12" s="309">
        <f t="shared" si="6"/>
        <v>61043</v>
      </c>
      <c r="AE12" s="425"/>
      <c r="AF12" s="425"/>
      <c r="AG12" s="310">
        <f t="shared" si="7"/>
        <v>29.94</v>
      </c>
      <c r="AH12" s="252">
        <f t="shared" si="8"/>
        <v>41383</v>
      </c>
      <c r="AI12" s="306">
        <f t="shared" ref="AI12:AI13" si="36">ROUND(AC12*0.15,2)</f>
        <v>6.62</v>
      </c>
      <c r="AJ12" s="252">
        <f t="shared" ref="AJ12:AJ13" si="37">ROUND(AD12*0.15,0)</f>
        <v>9156</v>
      </c>
      <c r="AK12" s="426"/>
      <c r="AL12" s="426"/>
      <c r="AM12" s="426"/>
      <c r="AN12" s="426"/>
      <c r="AO12" s="426"/>
      <c r="AP12" s="426"/>
      <c r="AQ12" s="427"/>
      <c r="AR12" s="427"/>
      <c r="AS12" s="427"/>
      <c r="AT12" s="426"/>
      <c r="AU12" s="410"/>
      <c r="AV12" s="410"/>
      <c r="AW12" s="410"/>
      <c r="AX12" s="410"/>
      <c r="AY12" s="410"/>
      <c r="AZ12" s="410"/>
      <c r="BA12" s="410"/>
      <c r="BB12" s="410"/>
      <c r="BC12" s="410"/>
      <c r="BD12" s="410"/>
      <c r="BE12" s="410"/>
    </row>
    <row r="13" ht="12.75" customHeight="1">
      <c r="A13" s="245" t="s">
        <v>457</v>
      </c>
      <c r="B13" s="246" t="s">
        <v>99</v>
      </c>
      <c r="C13" s="247" t="s">
        <v>100</v>
      </c>
      <c r="D13" s="247" t="s">
        <v>112</v>
      </c>
      <c r="E13" s="248"/>
      <c r="F13" s="247" t="s">
        <v>102</v>
      </c>
      <c r="G13" s="247" t="s">
        <v>103</v>
      </c>
      <c r="H13" s="247" t="s">
        <v>1271</v>
      </c>
      <c r="I13" s="248" t="s">
        <v>105</v>
      </c>
      <c r="J13" s="300" t="s">
        <v>106</v>
      </c>
      <c r="K13" s="314">
        <f t="shared" ref="K13:R13" si="32">-K12</f>
        <v>-44.17</v>
      </c>
      <c r="L13" s="309">
        <f t="shared" si="32"/>
        <v>-61051</v>
      </c>
      <c r="M13" s="315">
        <f t="shared" si="32"/>
        <v>-6.63</v>
      </c>
      <c r="N13" s="252">
        <f t="shared" si="32"/>
        <v>-9163</v>
      </c>
      <c r="O13" s="251">
        <f t="shared" si="32"/>
        <v>-4.5</v>
      </c>
      <c r="P13" s="252">
        <f t="shared" si="32"/>
        <v>-6219</v>
      </c>
      <c r="Q13" s="251">
        <f t="shared" si="32"/>
        <v>-2.13</v>
      </c>
      <c r="R13" s="252">
        <f t="shared" si="32"/>
        <v>-2944</v>
      </c>
      <c r="S13" s="253">
        <v>1382.2</v>
      </c>
      <c r="T13" s="254">
        <v>15.0</v>
      </c>
      <c r="U13" s="255" t="s">
        <v>107</v>
      </c>
      <c r="V13" s="255"/>
      <c r="W13" s="304">
        <v>0.1006</v>
      </c>
      <c r="X13" s="304">
        <v>0.03239</v>
      </c>
      <c r="Y13" s="304">
        <v>0.06821</v>
      </c>
      <c r="Z13" s="305">
        <f>-Z12</f>
        <v>-439</v>
      </c>
      <c r="AA13" s="306">
        <f t="shared" si="33"/>
        <v>-44.1634</v>
      </c>
      <c r="AB13" s="307">
        <f t="shared" si="34"/>
        <v>-61043</v>
      </c>
      <c r="AC13" s="308">
        <f t="shared" si="35"/>
        <v>-44.1634</v>
      </c>
      <c r="AD13" s="309">
        <f t="shared" si="6"/>
        <v>-61043</v>
      </c>
      <c r="AE13" s="425"/>
      <c r="AF13" s="425"/>
      <c r="AG13" s="310">
        <f t="shared" si="7"/>
        <v>-29.94</v>
      </c>
      <c r="AH13" s="252">
        <f t="shared" si="8"/>
        <v>-41383</v>
      </c>
      <c r="AI13" s="306">
        <f t="shared" si="36"/>
        <v>-6.62</v>
      </c>
      <c r="AJ13" s="252">
        <f t="shared" si="37"/>
        <v>-9156</v>
      </c>
      <c r="AK13" s="426"/>
      <c r="AL13" s="426"/>
      <c r="AM13" s="426"/>
      <c r="AN13" s="426"/>
      <c r="AO13" s="426"/>
      <c r="AP13" s="426"/>
      <c r="AQ13" s="427"/>
      <c r="AR13" s="427"/>
      <c r="AS13" s="427"/>
      <c r="AT13" s="426"/>
      <c r="AU13" s="410"/>
      <c r="AV13" s="410"/>
      <c r="AW13" s="410"/>
      <c r="AX13" s="410"/>
      <c r="AY13" s="410"/>
      <c r="AZ13" s="410"/>
      <c r="BA13" s="410"/>
      <c r="BB13" s="410"/>
      <c r="BC13" s="410"/>
      <c r="BD13" s="410"/>
      <c r="BE13" s="410"/>
    </row>
    <row r="14" ht="12.75" customHeight="1">
      <c r="A14" s="256" t="s">
        <v>459</v>
      </c>
      <c r="B14" s="257" t="s">
        <v>99</v>
      </c>
      <c r="C14" s="258" t="s">
        <v>100</v>
      </c>
      <c r="D14" s="258" t="s">
        <v>112</v>
      </c>
      <c r="E14" s="259"/>
      <c r="F14" s="258" t="s">
        <v>102</v>
      </c>
      <c r="G14" s="258" t="s">
        <v>103</v>
      </c>
      <c r="H14" s="258" t="s">
        <v>1272</v>
      </c>
      <c r="I14" s="259" t="s">
        <v>105</v>
      </c>
      <c r="J14" s="316" t="s">
        <v>106</v>
      </c>
      <c r="K14" s="317">
        <f>ROUND(M14/0.15,2)</f>
        <v>14.2</v>
      </c>
      <c r="L14" s="318">
        <f>ROUND(N14/0.15,0)</f>
        <v>19627</v>
      </c>
      <c r="M14" s="319">
        <f t="shared" ref="M14:N14" si="38">Q14</f>
        <v>2.13</v>
      </c>
      <c r="N14" s="261">
        <f t="shared" si="38"/>
        <v>2944</v>
      </c>
      <c r="O14" s="262">
        <v>4.5</v>
      </c>
      <c r="P14" s="263">
        <v>6219.0</v>
      </c>
      <c r="Q14" s="260">
        <f t="shared" ref="Q14:R14" si="39">M12-O14</f>
        <v>2.13</v>
      </c>
      <c r="R14" s="261">
        <f t="shared" si="39"/>
        <v>2944</v>
      </c>
      <c r="S14" s="264">
        <v>1382.2</v>
      </c>
      <c r="T14" s="265">
        <v>15.0</v>
      </c>
      <c r="U14" s="266" t="s">
        <v>107</v>
      </c>
      <c r="V14" s="266" t="s">
        <v>1273</v>
      </c>
      <c r="W14" s="320">
        <v>0.1006</v>
      </c>
      <c r="X14" s="320">
        <v>0.03239</v>
      </c>
      <c r="Y14" s="320">
        <v>0.06821</v>
      </c>
      <c r="Z14" s="321">
        <f>Z12</f>
        <v>439</v>
      </c>
      <c r="AA14" s="426"/>
      <c r="AB14" s="428"/>
      <c r="AC14" s="323">
        <f>IFERROR(ROUND(Z14*X14,2),0)</f>
        <v>14.22</v>
      </c>
      <c r="AD14" s="318">
        <f t="shared" si="6"/>
        <v>19655</v>
      </c>
      <c r="AE14" s="429"/>
      <c r="AF14" s="429"/>
      <c r="AG14" s="324">
        <f t="shared" si="7"/>
        <v>29.94</v>
      </c>
      <c r="AH14" s="261">
        <f t="shared" si="8"/>
        <v>41383</v>
      </c>
      <c r="AI14" s="426"/>
      <c r="AJ14" s="426"/>
      <c r="AK14" s="325">
        <f>ROUND(AC14*0.15,2)</f>
        <v>2.13</v>
      </c>
      <c r="AL14" s="261">
        <f>ROUND(AD14*0.15,0)</f>
        <v>2948</v>
      </c>
      <c r="AM14" s="325"/>
      <c r="AN14" s="325"/>
      <c r="AO14" s="325">
        <f>ROUND(AG14*0.15,2)</f>
        <v>4.49</v>
      </c>
      <c r="AP14" s="261">
        <f>ROUND(AH14*0.15,0)</f>
        <v>6207</v>
      </c>
      <c r="AQ14" s="326"/>
      <c r="AR14" s="326"/>
      <c r="AS14" s="326">
        <f>IFERROR(AC14/K14,IFERROR(AO14/O14,""))</f>
        <v>1.001408451</v>
      </c>
      <c r="AT14" s="426"/>
      <c r="AU14" s="410"/>
      <c r="AV14" s="410"/>
      <c r="AW14" s="410"/>
      <c r="AX14" s="410"/>
      <c r="AY14" s="410"/>
      <c r="AZ14" s="410"/>
      <c r="BA14" s="410"/>
      <c r="BB14" s="410"/>
      <c r="BC14" s="410"/>
      <c r="BD14" s="410"/>
      <c r="BE14" s="410"/>
    </row>
    <row r="15" ht="12.75" customHeight="1">
      <c r="A15" s="245" t="s">
        <v>462</v>
      </c>
      <c r="B15" s="246" t="s">
        <v>99</v>
      </c>
      <c r="C15" s="247" t="s">
        <v>100</v>
      </c>
      <c r="D15" s="247" t="s">
        <v>114</v>
      </c>
      <c r="E15" s="248"/>
      <c r="F15" s="247" t="s">
        <v>115</v>
      </c>
      <c r="G15" s="247" t="s">
        <v>116</v>
      </c>
      <c r="H15" s="247" t="s">
        <v>117</v>
      </c>
      <c r="I15" s="248" t="s">
        <v>105</v>
      </c>
      <c r="J15" s="300" t="s">
        <v>106</v>
      </c>
      <c r="K15" s="301">
        <v>105.92</v>
      </c>
      <c r="L15" s="302">
        <v>147419.0</v>
      </c>
      <c r="M15" s="303">
        <v>15.89</v>
      </c>
      <c r="N15" s="250">
        <v>22115.0</v>
      </c>
      <c r="O15" s="249">
        <v>0.61</v>
      </c>
      <c r="P15" s="250">
        <v>848.0</v>
      </c>
      <c r="Q15" s="251">
        <f t="shared" ref="Q15:R15" si="40">M15-O15</f>
        <v>15.28</v>
      </c>
      <c r="R15" s="252">
        <f t="shared" si="40"/>
        <v>21267</v>
      </c>
      <c r="S15" s="253">
        <v>1391.8</v>
      </c>
      <c r="T15" s="254">
        <v>15.0</v>
      </c>
      <c r="U15" s="255" t="s">
        <v>107</v>
      </c>
      <c r="V15" s="255"/>
      <c r="W15" s="304">
        <v>0.743154</v>
      </c>
      <c r="X15" s="304">
        <v>0.743154</v>
      </c>
      <c r="Y15" s="304">
        <v>0.0</v>
      </c>
      <c r="Z15" s="305">
        <f>IFERROR(ROUND(K15/W15,0),0)</f>
        <v>143</v>
      </c>
      <c r="AA15" s="306">
        <f t="shared" ref="AA15:AA16" si="42">Z15*W15</f>
        <v>106.271022</v>
      </c>
      <c r="AB15" s="307">
        <f t="shared" ref="AB15:AB16" si="43">ROUND(AA15*S15,0)</f>
        <v>147908</v>
      </c>
      <c r="AC15" s="308">
        <f t="shared" ref="AC15:AC16" si="44">AA15</f>
        <v>106.271022</v>
      </c>
      <c r="AD15" s="309">
        <f t="shared" si="6"/>
        <v>147908</v>
      </c>
      <c r="AE15" s="425"/>
      <c r="AF15" s="425"/>
      <c r="AG15" s="310">
        <f t="shared" si="7"/>
        <v>0</v>
      </c>
      <c r="AH15" s="252">
        <f t="shared" si="8"/>
        <v>0</v>
      </c>
      <c r="AI15" s="306">
        <f t="shared" ref="AI15:AI16" si="45">ROUND(AC15*0.15,2)</f>
        <v>15.94</v>
      </c>
      <c r="AJ15" s="252">
        <f t="shared" ref="AJ15:AJ16" si="46">ROUND(AD15*0.15,0)</f>
        <v>22186</v>
      </c>
      <c r="AK15" s="426"/>
      <c r="AL15" s="426"/>
      <c r="AM15" s="426"/>
      <c r="AN15" s="426"/>
      <c r="AO15" s="426"/>
      <c r="AP15" s="426"/>
      <c r="AQ15" s="427"/>
      <c r="AR15" s="427"/>
      <c r="AS15" s="427"/>
      <c r="AT15" s="430" t="s">
        <v>1274</v>
      </c>
      <c r="AU15" s="431"/>
      <c r="AV15" s="431"/>
      <c r="AW15" s="431"/>
      <c r="AX15" s="431"/>
      <c r="AY15" s="431"/>
      <c r="AZ15" s="431"/>
      <c r="BA15" s="431"/>
      <c r="BB15" s="431"/>
      <c r="BC15" s="431"/>
      <c r="BD15" s="431"/>
      <c r="BE15" s="431"/>
    </row>
    <row r="16" ht="12.75" customHeight="1">
      <c r="A16" s="245" t="s">
        <v>463</v>
      </c>
      <c r="B16" s="246" t="s">
        <v>99</v>
      </c>
      <c r="C16" s="247" t="s">
        <v>100</v>
      </c>
      <c r="D16" s="247" t="s">
        <v>114</v>
      </c>
      <c r="E16" s="248"/>
      <c r="F16" s="247" t="s">
        <v>115</v>
      </c>
      <c r="G16" s="247" t="s">
        <v>116</v>
      </c>
      <c r="H16" s="247" t="s">
        <v>117</v>
      </c>
      <c r="I16" s="248" t="s">
        <v>105</v>
      </c>
      <c r="J16" s="300" t="s">
        <v>106</v>
      </c>
      <c r="K16" s="314">
        <f t="shared" ref="K16:R16" si="41">-K15</f>
        <v>-105.92</v>
      </c>
      <c r="L16" s="309">
        <f t="shared" si="41"/>
        <v>-147419</v>
      </c>
      <c r="M16" s="315">
        <f t="shared" si="41"/>
        <v>-15.89</v>
      </c>
      <c r="N16" s="252">
        <f t="shared" si="41"/>
        <v>-22115</v>
      </c>
      <c r="O16" s="251">
        <f t="shared" si="41"/>
        <v>-0.61</v>
      </c>
      <c r="P16" s="252">
        <f t="shared" si="41"/>
        <v>-848</v>
      </c>
      <c r="Q16" s="251">
        <f t="shared" si="41"/>
        <v>-15.28</v>
      </c>
      <c r="R16" s="252">
        <f t="shared" si="41"/>
        <v>-21267</v>
      </c>
      <c r="S16" s="253">
        <v>1391.8</v>
      </c>
      <c r="T16" s="254">
        <v>15.0</v>
      </c>
      <c r="U16" s="255" t="s">
        <v>107</v>
      </c>
      <c r="V16" s="255"/>
      <c r="W16" s="304">
        <v>0.743154</v>
      </c>
      <c r="X16" s="304">
        <v>0.743154</v>
      </c>
      <c r="Y16" s="304">
        <v>0.0</v>
      </c>
      <c r="Z16" s="305">
        <f>-Z15</f>
        <v>-143</v>
      </c>
      <c r="AA16" s="306">
        <f t="shared" si="42"/>
        <v>-106.271022</v>
      </c>
      <c r="AB16" s="307">
        <f t="shared" si="43"/>
        <v>-147908</v>
      </c>
      <c r="AC16" s="308">
        <f t="shared" si="44"/>
        <v>-106.271022</v>
      </c>
      <c r="AD16" s="309">
        <f t="shared" si="6"/>
        <v>-147908</v>
      </c>
      <c r="AE16" s="425"/>
      <c r="AF16" s="425"/>
      <c r="AG16" s="310">
        <f t="shared" si="7"/>
        <v>0</v>
      </c>
      <c r="AH16" s="252">
        <f t="shared" si="8"/>
        <v>0</v>
      </c>
      <c r="AI16" s="306">
        <f t="shared" si="45"/>
        <v>-15.94</v>
      </c>
      <c r="AJ16" s="252">
        <f t="shared" si="46"/>
        <v>-22186</v>
      </c>
      <c r="AK16" s="426"/>
      <c r="AL16" s="426"/>
      <c r="AM16" s="426"/>
      <c r="AN16" s="426"/>
      <c r="AO16" s="426"/>
      <c r="AP16" s="426"/>
      <c r="AQ16" s="427"/>
      <c r="AR16" s="427"/>
      <c r="AS16" s="427"/>
      <c r="AT16" s="430" t="s">
        <v>1274</v>
      </c>
      <c r="AU16" s="431"/>
      <c r="AV16" s="431"/>
      <c r="AW16" s="431"/>
      <c r="AX16" s="431"/>
      <c r="AY16" s="431"/>
      <c r="AZ16" s="431"/>
      <c r="BA16" s="431"/>
      <c r="BB16" s="431"/>
      <c r="BC16" s="431"/>
      <c r="BD16" s="431"/>
      <c r="BE16" s="431"/>
    </row>
    <row r="17" ht="12.75" customHeight="1">
      <c r="A17" s="256" t="s">
        <v>464</v>
      </c>
      <c r="B17" s="257" t="s">
        <v>99</v>
      </c>
      <c r="C17" s="258" t="s">
        <v>100</v>
      </c>
      <c r="D17" s="258" t="s">
        <v>114</v>
      </c>
      <c r="E17" s="259"/>
      <c r="F17" s="258" t="s">
        <v>115</v>
      </c>
      <c r="G17" s="258" t="s">
        <v>116</v>
      </c>
      <c r="H17" s="258" t="s">
        <v>117</v>
      </c>
      <c r="I17" s="259" t="s">
        <v>105</v>
      </c>
      <c r="J17" s="316" t="s">
        <v>106</v>
      </c>
      <c r="K17" s="317">
        <f>ROUND(M17/0.15,2)</f>
        <v>101.87</v>
      </c>
      <c r="L17" s="318">
        <f>ROUND(N17/0.15,0)</f>
        <v>141780</v>
      </c>
      <c r="M17" s="319">
        <f t="shared" ref="M17:N17" si="47">Q17</f>
        <v>15.28</v>
      </c>
      <c r="N17" s="261">
        <f t="shared" si="47"/>
        <v>21267</v>
      </c>
      <c r="O17" s="262">
        <v>0.61</v>
      </c>
      <c r="P17" s="263">
        <v>848.0</v>
      </c>
      <c r="Q17" s="260">
        <f t="shared" ref="Q17:R17" si="48">M15-O17</f>
        <v>15.28</v>
      </c>
      <c r="R17" s="261">
        <f t="shared" si="48"/>
        <v>21267</v>
      </c>
      <c r="S17" s="264">
        <v>1391.8</v>
      </c>
      <c r="T17" s="265">
        <v>15.0</v>
      </c>
      <c r="U17" s="266" t="s">
        <v>107</v>
      </c>
      <c r="V17" s="266" t="s">
        <v>1275</v>
      </c>
      <c r="W17" s="320">
        <v>0.743154</v>
      </c>
      <c r="X17" s="320">
        <v>0.743154</v>
      </c>
      <c r="Y17" s="320">
        <v>0.0</v>
      </c>
      <c r="Z17" s="321">
        <f>Z15</f>
        <v>143</v>
      </c>
      <c r="AA17" s="426"/>
      <c r="AB17" s="428"/>
      <c r="AC17" s="432">
        <f t="shared" ref="AC17:AD17" si="49">K17</f>
        <v>101.87</v>
      </c>
      <c r="AD17" s="433">
        <f t="shared" si="49"/>
        <v>141780</v>
      </c>
      <c r="AE17" s="434"/>
      <c r="AF17" s="434"/>
      <c r="AG17" s="348">
        <f t="shared" ref="AG17:AH17" si="50">round(AO17/0.15,2)</f>
        <v>4.07</v>
      </c>
      <c r="AH17" s="348">
        <f t="shared" si="50"/>
        <v>5653.33</v>
      </c>
      <c r="AI17" s="435"/>
      <c r="AJ17" s="435"/>
      <c r="AK17" s="436">
        <f>ROUND(AC17*0.15,2)</f>
        <v>15.28</v>
      </c>
      <c r="AL17" s="437">
        <f>ROUND(AD17*0.15,0)</f>
        <v>21267</v>
      </c>
      <c r="AM17" s="436"/>
      <c r="AN17" s="436"/>
      <c r="AO17" s="436">
        <f t="shared" ref="AO17:AP17" si="51">O17</f>
        <v>0.61</v>
      </c>
      <c r="AP17" s="436">
        <f t="shared" si="51"/>
        <v>848</v>
      </c>
      <c r="AQ17" s="438"/>
      <c r="AR17" s="438"/>
      <c r="AS17" s="438">
        <f>IFERROR(AC17/K17,IFERROR(AO17/O17,""))</f>
        <v>1</v>
      </c>
      <c r="AT17" s="430" t="s">
        <v>1274</v>
      </c>
      <c r="AU17" s="431"/>
      <c r="AV17" s="431"/>
      <c r="AW17" s="431"/>
      <c r="AX17" s="431"/>
      <c r="AY17" s="431"/>
      <c r="AZ17" s="431"/>
      <c r="BA17" s="431"/>
      <c r="BB17" s="431"/>
      <c r="BC17" s="431"/>
      <c r="BD17" s="431"/>
      <c r="BE17" s="431"/>
    </row>
    <row r="18" ht="12.75" customHeight="1">
      <c r="A18" s="439" t="s">
        <v>1276</v>
      </c>
      <c r="B18" s="440" t="str">
        <f t="shared" ref="B18:J18" si="52">B17</f>
        <v>삼성증권</v>
      </c>
      <c r="C18" s="441" t="str">
        <f t="shared" si="52"/>
        <v>7099929193-01</v>
      </c>
      <c r="D18" s="441" t="str">
        <f t="shared" si="52"/>
        <v>2025-09-08</v>
      </c>
      <c r="E18" s="441" t="str">
        <f t="shared" si="52"/>
        <v/>
      </c>
      <c r="F18" s="441" t="str">
        <f t="shared" si="52"/>
        <v>US74347G4405</v>
      </c>
      <c r="G18" s="441" t="str">
        <f t="shared" si="52"/>
        <v>BITO</v>
      </c>
      <c r="H18" s="441" t="str">
        <f t="shared" si="52"/>
        <v>PROSHARES BITCOIN ETF</v>
      </c>
      <c r="I18" s="441" t="str">
        <f t="shared" si="52"/>
        <v>배당소득</v>
      </c>
      <c r="J18" s="440" t="str">
        <f t="shared" si="52"/>
        <v>USD</v>
      </c>
      <c r="K18" s="442"/>
      <c r="L18" s="443"/>
      <c r="M18" s="444"/>
      <c r="N18" s="445"/>
      <c r="O18" s="446"/>
      <c r="P18" s="447"/>
      <c r="Q18" s="446"/>
      <c r="R18" s="448"/>
      <c r="S18" s="449"/>
      <c r="T18" s="450"/>
      <c r="U18" s="451"/>
      <c r="V18" s="451"/>
      <c r="W18" s="452"/>
      <c r="X18" s="452"/>
      <c r="Y18" s="452"/>
      <c r="Z18" s="448"/>
      <c r="AA18" s="446"/>
      <c r="AB18" s="453"/>
      <c r="AC18" s="454"/>
      <c r="AD18" s="455"/>
      <c r="AE18" s="456"/>
      <c r="AF18" s="457"/>
      <c r="AG18" s="458">
        <f>IFERROR(ROUND(AO18/0.15,2),0)</f>
        <v>-4.07</v>
      </c>
      <c r="AH18" s="458">
        <f>IFERROR(ROUND(AP18/0.15,0),0)</f>
        <v>-5653</v>
      </c>
      <c r="AI18" s="457"/>
      <c r="AJ18" s="459"/>
      <c r="AK18" s="457"/>
      <c r="AL18" s="459"/>
      <c r="AM18" s="457"/>
      <c r="AN18" s="457"/>
      <c r="AO18" s="460">
        <f t="shared" ref="AO18:AP18" si="53">-AO17</f>
        <v>-0.61</v>
      </c>
      <c r="AP18" s="460">
        <f t="shared" si="53"/>
        <v>-848</v>
      </c>
      <c r="AQ18" s="459"/>
      <c r="AR18" s="459"/>
      <c r="AS18" s="459"/>
      <c r="AT18" s="430" t="s">
        <v>1274</v>
      </c>
      <c r="AU18" s="431"/>
      <c r="AV18" s="431"/>
      <c r="AW18" s="431"/>
      <c r="AX18" s="431"/>
      <c r="AY18" s="431"/>
      <c r="AZ18" s="431"/>
      <c r="BA18" s="431"/>
      <c r="BB18" s="431"/>
      <c r="BC18" s="431"/>
      <c r="BD18" s="431"/>
      <c r="BE18" s="431"/>
    </row>
    <row r="19" ht="12.75" customHeight="1">
      <c r="A19" s="439" t="s">
        <v>1277</v>
      </c>
      <c r="B19" s="440" t="str">
        <f t="shared" ref="B19:J19" si="54">B18</f>
        <v>삼성증권</v>
      </c>
      <c r="C19" s="441" t="str">
        <f t="shared" si="54"/>
        <v>7099929193-01</v>
      </c>
      <c r="D19" s="441" t="str">
        <f t="shared" si="54"/>
        <v>2025-09-08</v>
      </c>
      <c r="E19" s="441" t="str">
        <f t="shared" si="54"/>
        <v/>
      </c>
      <c r="F19" s="441" t="str">
        <f t="shared" si="54"/>
        <v>US74347G4405</v>
      </c>
      <c r="G19" s="441" t="str">
        <f t="shared" si="54"/>
        <v>BITO</v>
      </c>
      <c r="H19" s="441" t="str">
        <f t="shared" si="54"/>
        <v>PROSHARES BITCOIN ETF</v>
      </c>
      <c r="I19" s="441" t="str">
        <f t="shared" si="54"/>
        <v>배당소득</v>
      </c>
      <c r="J19" s="440" t="str">
        <f t="shared" si="54"/>
        <v>USD</v>
      </c>
      <c r="K19" s="442"/>
      <c r="L19" s="443"/>
      <c r="M19" s="444"/>
      <c r="N19" s="445"/>
      <c r="O19" s="446"/>
      <c r="P19" s="447"/>
      <c r="Q19" s="446"/>
      <c r="R19" s="448"/>
      <c r="S19" s="449"/>
      <c r="T19" s="450"/>
      <c r="U19" s="451"/>
      <c r="V19" s="451"/>
      <c r="W19" s="452"/>
      <c r="X19" s="452"/>
      <c r="Y19" s="452"/>
      <c r="Z19" s="448"/>
      <c r="AA19" s="446"/>
      <c r="AB19" s="453"/>
      <c r="AC19" s="454"/>
      <c r="AD19" s="461"/>
      <c r="AE19" s="462">
        <f>IFERROR(ROUND(AM19/0.15,2),0)</f>
        <v>4.07</v>
      </c>
      <c r="AF19" s="458">
        <f>IFERROR(ROUND(AN19/0.15,0),0)</f>
        <v>5653</v>
      </c>
      <c r="AG19" s="463"/>
      <c r="AH19" s="464"/>
      <c r="AI19" s="457"/>
      <c r="AJ19" s="459"/>
      <c r="AK19" s="457"/>
      <c r="AL19" s="459"/>
      <c r="AM19" s="460">
        <f t="shared" ref="AM19:AN19" si="55">AO17</f>
        <v>0.61</v>
      </c>
      <c r="AN19" s="460">
        <f t="shared" si="55"/>
        <v>848</v>
      </c>
      <c r="AO19" s="457"/>
      <c r="AP19" s="465"/>
      <c r="AQ19" s="466">
        <f>AF19</f>
        <v>5653</v>
      </c>
      <c r="AR19" s="466">
        <f>ROUND(AQ19*0.14,0)</f>
        <v>791</v>
      </c>
      <c r="AS19" s="459"/>
      <c r="AT19" s="430" t="s">
        <v>1274</v>
      </c>
      <c r="AU19" s="431"/>
      <c r="AV19" s="431"/>
      <c r="AW19" s="431"/>
      <c r="AX19" s="431"/>
      <c r="AY19" s="431"/>
      <c r="AZ19" s="431"/>
      <c r="BA19" s="431"/>
      <c r="BB19" s="431"/>
      <c r="BC19" s="431"/>
      <c r="BD19" s="431"/>
      <c r="BE19" s="431"/>
    </row>
    <row r="20" ht="12.75" customHeight="1">
      <c r="A20" s="245" t="s">
        <v>434</v>
      </c>
      <c r="B20" s="246" t="s">
        <v>118</v>
      </c>
      <c r="C20" s="247" t="s">
        <v>119</v>
      </c>
      <c r="D20" s="247" t="s">
        <v>120</v>
      </c>
      <c r="E20" s="247" t="s">
        <v>121</v>
      </c>
      <c r="F20" s="248"/>
      <c r="G20" s="247" t="s">
        <v>116</v>
      </c>
      <c r="H20" s="247" t="s">
        <v>117</v>
      </c>
      <c r="I20" s="248" t="s">
        <v>105</v>
      </c>
      <c r="J20" s="300" t="s">
        <v>106</v>
      </c>
      <c r="K20" s="301">
        <v>1410.29</v>
      </c>
      <c r="L20" s="302">
        <v>2073126.0</v>
      </c>
      <c r="M20" s="303">
        <v>211.54</v>
      </c>
      <c r="N20" s="250">
        <v>310963.0</v>
      </c>
      <c r="O20" s="249">
        <v>0.0</v>
      </c>
      <c r="P20" s="250">
        <v>0.0</v>
      </c>
      <c r="Q20" s="251">
        <f t="shared" ref="Q20:R20" si="56">M20-O20</f>
        <v>211.54</v>
      </c>
      <c r="R20" s="252">
        <f t="shared" si="56"/>
        <v>310963</v>
      </c>
      <c r="S20" s="253">
        <v>1470.0</v>
      </c>
      <c r="T20" s="254">
        <v>15.0</v>
      </c>
      <c r="U20" s="255" t="s">
        <v>107</v>
      </c>
      <c r="V20" s="255"/>
      <c r="W20" s="304">
        <v>0.544737</v>
      </c>
      <c r="X20" s="304">
        <v>0.544737</v>
      </c>
      <c r="Y20" s="304">
        <v>0.0</v>
      </c>
      <c r="Z20" s="305">
        <f>IFERROR(ROUND(K20/W20,0),0)</f>
        <v>2589</v>
      </c>
      <c r="AA20" s="306">
        <f t="shared" ref="AA20:AA21" si="58">Z20*W20</f>
        <v>1410.324093</v>
      </c>
      <c r="AB20" s="307">
        <f t="shared" ref="AB20:AB21" si="59">ROUND(AA20*S20,0)</f>
        <v>2073176</v>
      </c>
      <c r="AC20" s="308">
        <f t="shared" ref="AC20:AC21" si="60">AA20</f>
        <v>1410.324093</v>
      </c>
      <c r="AD20" s="309">
        <f t="shared" ref="AD20:AD21" si="61">ROUND(AC20*S20,0)</f>
        <v>2073176</v>
      </c>
      <c r="AE20" s="425"/>
      <c r="AF20" s="425"/>
      <c r="AG20" s="310">
        <f t="shared" ref="AG20:AG21" si="62">IFERROR(ROUND(Z20*Y20,2),0)</f>
        <v>0</v>
      </c>
      <c r="AH20" s="252">
        <f t="shared" ref="AH20:AH21" si="63">ROUND(AG20*S20,0)</f>
        <v>0</v>
      </c>
      <c r="AI20" s="306">
        <f t="shared" ref="AI20:AI21" si="64">ROUND(AC20*0.15,2)</f>
        <v>211.55</v>
      </c>
      <c r="AJ20" s="252">
        <f t="shared" ref="AJ20:AJ21" si="65">ROUND(AD20*0.15,0)</f>
        <v>310976</v>
      </c>
      <c r="AK20" s="426"/>
      <c r="AL20" s="426"/>
      <c r="AM20" s="426"/>
      <c r="AN20" s="426"/>
      <c r="AO20" s="426"/>
      <c r="AP20" s="426"/>
      <c r="AQ20" s="427"/>
      <c r="AR20" s="427"/>
      <c r="AS20" s="427"/>
      <c r="AT20" s="430" t="s">
        <v>1274</v>
      </c>
      <c r="AU20" s="431"/>
      <c r="AV20" s="431"/>
      <c r="AW20" s="431"/>
      <c r="AX20" s="431"/>
      <c r="AY20" s="431"/>
      <c r="AZ20" s="431"/>
      <c r="BA20" s="431"/>
      <c r="BB20" s="431"/>
      <c r="BC20" s="431"/>
      <c r="BD20" s="431"/>
      <c r="BE20" s="431"/>
    </row>
    <row r="21" ht="12.75" customHeight="1">
      <c r="A21" s="245" t="s">
        <v>436</v>
      </c>
      <c r="B21" s="246" t="s">
        <v>118</v>
      </c>
      <c r="C21" s="247" t="s">
        <v>119</v>
      </c>
      <c r="D21" s="247" t="s">
        <v>120</v>
      </c>
      <c r="E21" s="247" t="s">
        <v>121</v>
      </c>
      <c r="F21" s="248"/>
      <c r="G21" s="247" t="s">
        <v>116</v>
      </c>
      <c r="H21" s="247" t="s">
        <v>117</v>
      </c>
      <c r="I21" s="248" t="s">
        <v>105</v>
      </c>
      <c r="J21" s="300" t="s">
        <v>106</v>
      </c>
      <c r="K21" s="314">
        <f t="shared" ref="K21:R21" si="57">-K20</f>
        <v>-1410.29</v>
      </c>
      <c r="L21" s="309">
        <f t="shared" si="57"/>
        <v>-2073126</v>
      </c>
      <c r="M21" s="315">
        <f t="shared" si="57"/>
        <v>-211.54</v>
      </c>
      <c r="N21" s="252">
        <f t="shared" si="57"/>
        <v>-310963</v>
      </c>
      <c r="O21" s="251">
        <f t="shared" si="57"/>
        <v>0</v>
      </c>
      <c r="P21" s="252">
        <f t="shared" si="57"/>
        <v>0</v>
      </c>
      <c r="Q21" s="251">
        <f t="shared" si="57"/>
        <v>-211.54</v>
      </c>
      <c r="R21" s="252">
        <f t="shared" si="57"/>
        <v>-310963</v>
      </c>
      <c r="S21" s="253">
        <v>1470.0</v>
      </c>
      <c r="T21" s="254">
        <v>15.0</v>
      </c>
      <c r="U21" s="255" t="s">
        <v>107</v>
      </c>
      <c r="V21" s="255"/>
      <c r="W21" s="304">
        <v>0.544737</v>
      </c>
      <c r="X21" s="304">
        <v>0.544737</v>
      </c>
      <c r="Y21" s="304">
        <v>0.0</v>
      </c>
      <c r="Z21" s="305">
        <f>-Z20</f>
        <v>-2589</v>
      </c>
      <c r="AA21" s="306">
        <f t="shared" si="58"/>
        <v>-1410.324093</v>
      </c>
      <c r="AB21" s="307">
        <f t="shared" si="59"/>
        <v>-2073176</v>
      </c>
      <c r="AC21" s="308">
        <f t="shared" si="60"/>
        <v>-1410.324093</v>
      </c>
      <c r="AD21" s="309">
        <f t="shared" si="61"/>
        <v>-2073176</v>
      </c>
      <c r="AE21" s="425"/>
      <c r="AF21" s="425"/>
      <c r="AG21" s="310">
        <f t="shared" si="62"/>
        <v>0</v>
      </c>
      <c r="AH21" s="252">
        <f t="shared" si="63"/>
        <v>0</v>
      </c>
      <c r="AI21" s="306">
        <f t="shared" si="64"/>
        <v>-211.55</v>
      </c>
      <c r="AJ21" s="252">
        <f t="shared" si="65"/>
        <v>-310976</v>
      </c>
      <c r="AK21" s="426"/>
      <c r="AL21" s="426"/>
      <c r="AM21" s="426"/>
      <c r="AN21" s="426"/>
      <c r="AO21" s="426"/>
      <c r="AP21" s="426"/>
      <c r="AQ21" s="427"/>
      <c r="AR21" s="427"/>
      <c r="AS21" s="427"/>
      <c r="AT21" s="430" t="s">
        <v>1274</v>
      </c>
      <c r="AU21" s="431"/>
      <c r="AV21" s="431"/>
      <c r="AW21" s="431"/>
      <c r="AX21" s="431"/>
      <c r="AY21" s="431"/>
      <c r="AZ21" s="431"/>
      <c r="BA21" s="431"/>
      <c r="BB21" s="431"/>
      <c r="BC21" s="431"/>
      <c r="BD21" s="431"/>
      <c r="BE21" s="431"/>
    </row>
    <row r="22" ht="12.75" customHeight="1">
      <c r="A22" s="256" t="s">
        <v>438</v>
      </c>
      <c r="B22" s="257" t="s">
        <v>118</v>
      </c>
      <c r="C22" s="258" t="s">
        <v>119</v>
      </c>
      <c r="D22" s="258" t="s">
        <v>120</v>
      </c>
      <c r="E22" s="258" t="s">
        <v>121</v>
      </c>
      <c r="F22" s="259"/>
      <c r="G22" s="258" t="s">
        <v>116</v>
      </c>
      <c r="H22" s="258" t="s">
        <v>117</v>
      </c>
      <c r="I22" s="259" t="s">
        <v>105</v>
      </c>
      <c r="J22" s="316" t="s">
        <v>106</v>
      </c>
      <c r="K22" s="317">
        <f>ROUND(M22/0.15,2)</f>
        <v>1350.87</v>
      </c>
      <c r="L22" s="318">
        <f>ROUND(N22/0.15,0)</f>
        <v>1985767</v>
      </c>
      <c r="M22" s="319">
        <f t="shared" ref="M22:N22" si="66">Q22</f>
        <v>202.63</v>
      </c>
      <c r="N22" s="261">
        <f t="shared" si="66"/>
        <v>297865</v>
      </c>
      <c r="O22" s="262">
        <v>8.91</v>
      </c>
      <c r="P22" s="263">
        <v>13098.0</v>
      </c>
      <c r="Q22" s="260">
        <f t="shared" ref="Q22:R22" si="67">M20-O22</f>
        <v>202.63</v>
      </c>
      <c r="R22" s="261">
        <f t="shared" si="67"/>
        <v>297865</v>
      </c>
      <c r="S22" s="264">
        <v>1470.0</v>
      </c>
      <c r="T22" s="265">
        <v>15.0</v>
      </c>
      <c r="U22" s="266" t="s">
        <v>107</v>
      </c>
      <c r="V22" s="266" t="s">
        <v>1278</v>
      </c>
      <c r="W22" s="320">
        <v>0.544737</v>
      </c>
      <c r="X22" s="320">
        <v>0.544737</v>
      </c>
      <c r="Y22" s="320">
        <v>0.0</v>
      </c>
      <c r="Z22" s="321">
        <f>Z20</f>
        <v>2589</v>
      </c>
      <c r="AA22" s="426"/>
      <c r="AB22" s="428"/>
      <c r="AC22" s="432">
        <f t="shared" ref="AC22:AD22" si="68">K22</f>
        <v>1350.87</v>
      </c>
      <c r="AD22" s="433">
        <f t="shared" si="68"/>
        <v>1985767</v>
      </c>
      <c r="AE22" s="434"/>
      <c r="AF22" s="434"/>
      <c r="AG22" s="348">
        <f t="shared" ref="AG22:AH22" si="69">round(AO22/0.15,2)</f>
        <v>59.4</v>
      </c>
      <c r="AH22" s="348">
        <f t="shared" si="69"/>
        <v>87320</v>
      </c>
      <c r="AI22" s="435"/>
      <c r="AJ22" s="435"/>
      <c r="AK22" s="436">
        <f>ROUND(AC22*0.15,2)</f>
        <v>202.63</v>
      </c>
      <c r="AL22" s="437">
        <f>ROUND(AD22*0.15,0)</f>
        <v>297865</v>
      </c>
      <c r="AM22" s="436"/>
      <c r="AN22" s="436"/>
      <c r="AO22" s="436">
        <f t="shared" ref="AO22:AP22" si="70">O22</f>
        <v>8.91</v>
      </c>
      <c r="AP22" s="436">
        <f t="shared" si="70"/>
        <v>13098</v>
      </c>
      <c r="AQ22" s="438"/>
      <c r="AR22" s="438"/>
      <c r="AS22" s="438">
        <f>IFERROR(AC22/K22,IFERROR(AO22/O22,""))</f>
        <v>1</v>
      </c>
      <c r="AT22" s="430" t="s">
        <v>1274</v>
      </c>
      <c r="AU22" s="431"/>
      <c r="AV22" s="431"/>
      <c r="AW22" s="431"/>
      <c r="AX22" s="431"/>
      <c r="AY22" s="431"/>
      <c r="AZ22" s="431"/>
      <c r="BA22" s="431"/>
      <c r="BB22" s="431"/>
      <c r="BC22" s="431"/>
      <c r="BD22" s="431"/>
      <c r="BE22" s="431"/>
    </row>
    <row r="23" ht="12.75" customHeight="1">
      <c r="A23" s="439" t="s">
        <v>1279</v>
      </c>
      <c r="B23" s="440" t="str">
        <f t="shared" ref="B23:J23" si="71">B22</f>
        <v>미래에셋증권</v>
      </c>
      <c r="C23" s="441" t="str">
        <f t="shared" si="71"/>
        <v>584-2176-0816-0</v>
      </c>
      <c r="D23" s="441" t="str">
        <f t="shared" si="71"/>
        <v>2025-01-02</v>
      </c>
      <c r="E23" s="441" t="str">
        <f t="shared" si="71"/>
        <v>2024-12-31</v>
      </c>
      <c r="F23" s="441" t="str">
        <f t="shared" si="71"/>
        <v/>
      </c>
      <c r="G23" s="441" t="str">
        <f t="shared" si="71"/>
        <v>BITO</v>
      </c>
      <c r="H23" s="441" t="str">
        <f t="shared" si="71"/>
        <v>PROSHARES BITCOIN ETF</v>
      </c>
      <c r="I23" s="441" t="str">
        <f t="shared" si="71"/>
        <v>배당소득</v>
      </c>
      <c r="J23" s="440" t="str">
        <f t="shared" si="71"/>
        <v>USD</v>
      </c>
      <c r="K23" s="442"/>
      <c r="L23" s="443"/>
      <c r="M23" s="444"/>
      <c r="N23" s="445"/>
      <c r="O23" s="446"/>
      <c r="P23" s="447"/>
      <c r="Q23" s="446"/>
      <c r="R23" s="448"/>
      <c r="S23" s="449"/>
      <c r="T23" s="450"/>
      <c r="U23" s="451"/>
      <c r="V23" s="451"/>
      <c r="W23" s="452"/>
      <c r="X23" s="452"/>
      <c r="Y23" s="452"/>
      <c r="Z23" s="448"/>
      <c r="AA23" s="446"/>
      <c r="AB23" s="453"/>
      <c r="AC23" s="454"/>
      <c r="AD23" s="455"/>
      <c r="AE23" s="456"/>
      <c r="AF23" s="457"/>
      <c r="AG23" s="458">
        <f>IFERROR(ROUND(AO23/0.15,2),0)</f>
        <v>-59.4</v>
      </c>
      <c r="AH23" s="458">
        <f>IFERROR(ROUND(AP23/0.15,0),0)</f>
        <v>-87320</v>
      </c>
      <c r="AI23" s="457"/>
      <c r="AJ23" s="459"/>
      <c r="AK23" s="457"/>
      <c r="AL23" s="459"/>
      <c r="AM23" s="457"/>
      <c r="AN23" s="457"/>
      <c r="AO23" s="460">
        <f t="shared" ref="AO23:AP23" si="72">-AO22</f>
        <v>-8.91</v>
      </c>
      <c r="AP23" s="460">
        <f t="shared" si="72"/>
        <v>-13098</v>
      </c>
      <c r="AQ23" s="459"/>
      <c r="AR23" s="459"/>
      <c r="AS23" s="459"/>
      <c r="AT23" s="430" t="s">
        <v>1274</v>
      </c>
      <c r="AU23" s="431"/>
      <c r="AV23" s="431"/>
      <c r="AW23" s="431"/>
      <c r="AX23" s="431"/>
      <c r="AY23" s="431"/>
      <c r="AZ23" s="431"/>
      <c r="BA23" s="431"/>
      <c r="BB23" s="431"/>
      <c r="BC23" s="431"/>
      <c r="BD23" s="431"/>
      <c r="BE23" s="431"/>
    </row>
    <row r="24" ht="12.75" customHeight="1">
      <c r="A24" s="439" t="s">
        <v>1280</v>
      </c>
      <c r="B24" s="440" t="str">
        <f t="shared" ref="B24:J24" si="73">B23</f>
        <v>미래에셋증권</v>
      </c>
      <c r="C24" s="441" t="str">
        <f t="shared" si="73"/>
        <v>584-2176-0816-0</v>
      </c>
      <c r="D24" s="441" t="str">
        <f t="shared" si="73"/>
        <v>2025-01-02</v>
      </c>
      <c r="E24" s="441" t="str">
        <f t="shared" si="73"/>
        <v>2024-12-31</v>
      </c>
      <c r="F24" s="441" t="str">
        <f t="shared" si="73"/>
        <v/>
      </c>
      <c r="G24" s="441" t="str">
        <f t="shared" si="73"/>
        <v>BITO</v>
      </c>
      <c r="H24" s="441" t="str">
        <f t="shared" si="73"/>
        <v>PROSHARES BITCOIN ETF</v>
      </c>
      <c r="I24" s="441" t="str">
        <f t="shared" si="73"/>
        <v>배당소득</v>
      </c>
      <c r="J24" s="440" t="str">
        <f t="shared" si="73"/>
        <v>USD</v>
      </c>
      <c r="K24" s="442"/>
      <c r="L24" s="443"/>
      <c r="M24" s="444"/>
      <c r="N24" s="445"/>
      <c r="O24" s="446"/>
      <c r="P24" s="447"/>
      <c r="Q24" s="446"/>
      <c r="R24" s="448"/>
      <c r="S24" s="449"/>
      <c r="T24" s="450"/>
      <c r="U24" s="451"/>
      <c r="V24" s="451"/>
      <c r="W24" s="452"/>
      <c r="X24" s="452"/>
      <c r="Y24" s="452"/>
      <c r="Z24" s="448"/>
      <c r="AA24" s="446"/>
      <c r="AB24" s="453"/>
      <c r="AC24" s="454"/>
      <c r="AD24" s="461"/>
      <c r="AE24" s="462">
        <f>IFERROR(ROUND(AM24/0.15,2),0)</f>
        <v>59.4</v>
      </c>
      <c r="AF24" s="458">
        <f>IFERROR(ROUND(AN24/0.15,0),0)</f>
        <v>87320</v>
      </c>
      <c r="AG24" s="467"/>
      <c r="AH24" s="467"/>
      <c r="AI24" s="457"/>
      <c r="AJ24" s="459"/>
      <c r="AK24" s="457"/>
      <c r="AL24" s="459"/>
      <c r="AM24" s="460">
        <f t="shared" ref="AM24:AN24" si="74">AO22</f>
        <v>8.91</v>
      </c>
      <c r="AN24" s="460">
        <f t="shared" si="74"/>
        <v>13098</v>
      </c>
      <c r="AO24" s="457"/>
      <c r="AP24" s="465"/>
      <c r="AQ24" s="466">
        <f>AF24</f>
        <v>87320</v>
      </c>
      <c r="AR24" s="466">
        <f>ROUND(AQ24*0.14,0)</f>
        <v>12225</v>
      </c>
      <c r="AS24" s="459"/>
      <c r="AT24" s="430" t="s">
        <v>1274</v>
      </c>
      <c r="AU24" s="431"/>
      <c r="AV24" s="431"/>
      <c r="AW24" s="431"/>
      <c r="AX24" s="431"/>
      <c r="AY24" s="431"/>
      <c r="AZ24" s="431"/>
      <c r="BA24" s="431"/>
      <c r="BB24" s="431"/>
      <c r="BC24" s="431"/>
      <c r="BD24" s="431"/>
      <c r="BE24" s="431"/>
    </row>
    <row r="25" ht="12.75" customHeight="1">
      <c r="A25" s="267" t="s">
        <v>467</v>
      </c>
      <c r="B25" s="268" t="s">
        <v>118</v>
      </c>
      <c r="C25" s="269" t="s">
        <v>119</v>
      </c>
      <c r="D25" s="269" t="s">
        <v>122</v>
      </c>
      <c r="E25" s="269" t="s">
        <v>122</v>
      </c>
      <c r="F25" s="270"/>
      <c r="G25" s="269" t="s">
        <v>123</v>
      </c>
      <c r="H25" s="269" t="s">
        <v>124</v>
      </c>
      <c r="I25" s="270" t="s">
        <v>105</v>
      </c>
      <c r="J25" s="354" t="s">
        <v>106</v>
      </c>
      <c r="K25" s="355">
        <v>0.52</v>
      </c>
      <c r="L25" s="356">
        <v>763.0</v>
      </c>
      <c r="M25" s="357">
        <v>0.07</v>
      </c>
      <c r="N25" s="272">
        <v>102.0</v>
      </c>
      <c r="O25" s="271">
        <v>0.0</v>
      </c>
      <c r="P25" s="272">
        <v>0.0</v>
      </c>
      <c r="Q25" s="273">
        <f t="shared" ref="Q25:R25" si="75">M25-O25</f>
        <v>0.07</v>
      </c>
      <c r="R25" s="274">
        <f t="shared" si="75"/>
        <v>102</v>
      </c>
      <c r="S25" s="275">
        <v>1468.3</v>
      </c>
      <c r="T25" s="276">
        <v>15.0</v>
      </c>
      <c r="U25" s="277" t="s">
        <v>107</v>
      </c>
      <c r="V25" s="277"/>
      <c r="W25" s="468"/>
      <c r="X25" s="468"/>
      <c r="Y25" s="468"/>
      <c r="Z25" s="468"/>
      <c r="AA25" s="468"/>
      <c r="AB25" s="469"/>
      <c r="AC25" s="470">
        <f t="shared" ref="AC25:AD25" si="76">K25</f>
        <v>0.52</v>
      </c>
      <c r="AD25" s="471">
        <f t="shared" si="76"/>
        <v>763</v>
      </c>
      <c r="AE25" s="472"/>
      <c r="AF25" s="472"/>
      <c r="AG25" s="473"/>
      <c r="AH25" s="468"/>
      <c r="AI25" s="468"/>
      <c r="AJ25" s="468"/>
      <c r="AK25" s="474">
        <f t="shared" ref="AK25:AL25" si="77">Q25</f>
        <v>0.07</v>
      </c>
      <c r="AL25" s="475">
        <f t="shared" si="77"/>
        <v>102</v>
      </c>
      <c r="AM25" s="468"/>
      <c r="AN25" s="468"/>
      <c r="AO25" s="468"/>
      <c r="AP25" s="468"/>
      <c r="AQ25" s="476"/>
      <c r="AR25" s="476"/>
      <c r="AS25" s="476"/>
      <c r="AT25" s="468"/>
      <c r="AU25" s="477"/>
      <c r="AV25" s="477"/>
      <c r="AW25" s="477"/>
      <c r="AX25" s="477"/>
      <c r="AY25" s="477"/>
      <c r="AZ25" s="477"/>
      <c r="BA25" s="477"/>
      <c r="BB25" s="477"/>
      <c r="BC25" s="477"/>
      <c r="BD25" s="477"/>
      <c r="BE25" s="477"/>
    </row>
    <row r="26" ht="12.75" customHeight="1">
      <c r="A26" s="245" t="s">
        <v>448</v>
      </c>
      <c r="B26" s="246" t="s">
        <v>118</v>
      </c>
      <c r="C26" s="247" t="s">
        <v>119</v>
      </c>
      <c r="D26" s="247" t="s">
        <v>125</v>
      </c>
      <c r="E26" s="247" t="s">
        <v>126</v>
      </c>
      <c r="F26" s="248"/>
      <c r="G26" s="247" t="s">
        <v>127</v>
      </c>
      <c r="H26" s="247" t="s">
        <v>128</v>
      </c>
      <c r="I26" s="248" t="s">
        <v>105</v>
      </c>
      <c r="J26" s="300" t="s">
        <v>106</v>
      </c>
      <c r="K26" s="301">
        <v>398.95</v>
      </c>
      <c r="L26" s="302">
        <v>579674.0</v>
      </c>
      <c r="M26" s="303">
        <v>59.85</v>
      </c>
      <c r="N26" s="250">
        <v>86962.0</v>
      </c>
      <c r="O26" s="249">
        <v>0.0</v>
      </c>
      <c r="P26" s="250">
        <v>0.0</v>
      </c>
      <c r="Q26" s="251">
        <f t="shared" ref="Q26:R26" si="78">M26-O26</f>
        <v>59.85</v>
      </c>
      <c r="R26" s="252">
        <f t="shared" si="78"/>
        <v>86962</v>
      </c>
      <c r="S26" s="253">
        <v>1453.0</v>
      </c>
      <c r="T26" s="254">
        <v>15.0</v>
      </c>
      <c r="U26" s="255" t="s">
        <v>107</v>
      </c>
      <c r="V26" s="255"/>
      <c r="W26" s="304">
        <v>0.8294</v>
      </c>
      <c r="X26" s="304">
        <v>0.392741</v>
      </c>
      <c r="Y26" s="304">
        <v>0.436659</v>
      </c>
      <c r="Z26" s="305">
        <f>IFERROR(ROUND(K26/W26,0),0)</f>
        <v>481</v>
      </c>
      <c r="AA26" s="306">
        <f t="shared" ref="AA26:AA27" si="80">Z26*W26</f>
        <v>398.9414</v>
      </c>
      <c r="AB26" s="307">
        <f t="shared" ref="AB26:AB27" si="81">ROUND(AA26*S26,0)</f>
        <v>579662</v>
      </c>
      <c r="AC26" s="308">
        <f t="shared" ref="AC26:AC27" si="82">AA26</f>
        <v>398.9414</v>
      </c>
      <c r="AD26" s="309">
        <f t="shared" ref="AD26:AD30" si="83">ROUND(AC26*S26,0)</f>
        <v>579662</v>
      </c>
      <c r="AE26" s="425"/>
      <c r="AF26" s="425"/>
      <c r="AG26" s="310">
        <f t="shared" ref="AG26:AG30" si="84">IFERROR(ROUND(Z26*Y26,2),0)</f>
        <v>210.03</v>
      </c>
      <c r="AH26" s="252">
        <f t="shared" ref="AH26:AH30" si="85">ROUND(AG26*S26,0)</f>
        <v>305174</v>
      </c>
      <c r="AI26" s="306">
        <f t="shared" ref="AI26:AI27" si="86">ROUND(AC26*0.15,2)</f>
        <v>59.84</v>
      </c>
      <c r="AJ26" s="252">
        <f t="shared" ref="AJ26:AJ27" si="87">ROUND(AD26*0.15,0)</f>
        <v>86949</v>
      </c>
      <c r="AK26" s="426"/>
      <c r="AL26" s="426"/>
      <c r="AM26" s="426"/>
      <c r="AN26" s="426"/>
      <c r="AO26" s="426"/>
      <c r="AP26" s="426"/>
      <c r="AQ26" s="427"/>
      <c r="AR26" s="427"/>
      <c r="AS26" s="427"/>
      <c r="AT26" s="426"/>
      <c r="AU26" s="410"/>
      <c r="AV26" s="410"/>
      <c r="AW26" s="410"/>
      <c r="AX26" s="410"/>
      <c r="AY26" s="410"/>
      <c r="AZ26" s="410"/>
      <c r="BA26" s="410"/>
      <c r="BB26" s="410"/>
      <c r="BC26" s="410"/>
      <c r="BD26" s="410"/>
      <c r="BE26" s="410"/>
    </row>
    <row r="27" ht="12.75" customHeight="1">
      <c r="A27" s="245" t="s">
        <v>450</v>
      </c>
      <c r="B27" s="246" t="s">
        <v>118</v>
      </c>
      <c r="C27" s="247" t="s">
        <v>119</v>
      </c>
      <c r="D27" s="247" t="s">
        <v>125</v>
      </c>
      <c r="E27" s="247" t="s">
        <v>126</v>
      </c>
      <c r="F27" s="248"/>
      <c r="G27" s="247" t="s">
        <v>127</v>
      </c>
      <c r="H27" s="247" t="s">
        <v>128</v>
      </c>
      <c r="I27" s="248" t="s">
        <v>105</v>
      </c>
      <c r="J27" s="300" t="s">
        <v>106</v>
      </c>
      <c r="K27" s="314">
        <f t="shared" ref="K27:R27" si="79">-K26</f>
        <v>-398.95</v>
      </c>
      <c r="L27" s="309">
        <f t="shared" si="79"/>
        <v>-579674</v>
      </c>
      <c r="M27" s="315">
        <f t="shared" si="79"/>
        <v>-59.85</v>
      </c>
      <c r="N27" s="252">
        <f t="shared" si="79"/>
        <v>-86962</v>
      </c>
      <c r="O27" s="251">
        <f t="shared" si="79"/>
        <v>0</v>
      </c>
      <c r="P27" s="252">
        <f t="shared" si="79"/>
        <v>0</v>
      </c>
      <c r="Q27" s="251">
        <f t="shared" si="79"/>
        <v>-59.85</v>
      </c>
      <c r="R27" s="252">
        <f t="shared" si="79"/>
        <v>-86962</v>
      </c>
      <c r="S27" s="253">
        <v>1453.0</v>
      </c>
      <c r="T27" s="254">
        <v>15.0</v>
      </c>
      <c r="U27" s="255" t="s">
        <v>107</v>
      </c>
      <c r="V27" s="255"/>
      <c r="W27" s="304">
        <v>0.8294</v>
      </c>
      <c r="X27" s="304">
        <v>0.392741</v>
      </c>
      <c r="Y27" s="304">
        <v>0.436659</v>
      </c>
      <c r="Z27" s="305">
        <f>-Z26</f>
        <v>-481</v>
      </c>
      <c r="AA27" s="306">
        <f t="shared" si="80"/>
        <v>-398.9414</v>
      </c>
      <c r="AB27" s="307">
        <f t="shared" si="81"/>
        <v>-579662</v>
      </c>
      <c r="AC27" s="308">
        <f t="shared" si="82"/>
        <v>-398.9414</v>
      </c>
      <c r="AD27" s="309">
        <f t="shared" si="83"/>
        <v>-579662</v>
      </c>
      <c r="AE27" s="425"/>
      <c r="AF27" s="425"/>
      <c r="AG27" s="310">
        <f t="shared" si="84"/>
        <v>-210.03</v>
      </c>
      <c r="AH27" s="252">
        <f t="shared" si="85"/>
        <v>-305174</v>
      </c>
      <c r="AI27" s="306">
        <f t="shared" si="86"/>
        <v>-59.84</v>
      </c>
      <c r="AJ27" s="252">
        <f t="shared" si="87"/>
        <v>-86949</v>
      </c>
      <c r="AK27" s="426"/>
      <c r="AL27" s="426"/>
      <c r="AM27" s="426"/>
      <c r="AN27" s="426"/>
      <c r="AO27" s="426"/>
      <c r="AP27" s="426"/>
      <c r="AQ27" s="427"/>
      <c r="AR27" s="427"/>
      <c r="AS27" s="427"/>
      <c r="AT27" s="426"/>
      <c r="AU27" s="410"/>
      <c r="AV27" s="410"/>
      <c r="AW27" s="410"/>
      <c r="AX27" s="410"/>
      <c r="AY27" s="410"/>
      <c r="AZ27" s="410"/>
      <c r="BA27" s="410"/>
      <c r="BB27" s="410"/>
      <c r="BC27" s="410"/>
      <c r="BD27" s="410"/>
      <c r="BE27" s="410"/>
    </row>
    <row r="28" ht="12.75" customHeight="1">
      <c r="A28" s="256" t="s">
        <v>452</v>
      </c>
      <c r="B28" s="257" t="s">
        <v>118</v>
      </c>
      <c r="C28" s="258" t="s">
        <v>119</v>
      </c>
      <c r="D28" s="258" t="s">
        <v>125</v>
      </c>
      <c r="E28" s="258" t="s">
        <v>126</v>
      </c>
      <c r="F28" s="259"/>
      <c r="G28" s="258" t="s">
        <v>127</v>
      </c>
      <c r="H28" s="258" t="s">
        <v>128</v>
      </c>
      <c r="I28" s="259" t="s">
        <v>105</v>
      </c>
      <c r="J28" s="316" t="s">
        <v>106</v>
      </c>
      <c r="K28" s="317">
        <f>ROUND(M28/0.15,2)</f>
        <v>188.93</v>
      </c>
      <c r="L28" s="318">
        <f>ROUND(N28/0.15,0)</f>
        <v>274520</v>
      </c>
      <c r="M28" s="319">
        <f t="shared" ref="M28:N28" si="88">Q28</f>
        <v>28.34</v>
      </c>
      <c r="N28" s="261">
        <f t="shared" si="88"/>
        <v>41178</v>
      </c>
      <c r="O28" s="262">
        <v>31.51</v>
      </c>
      <c r="P28" s="263">
        <v>45784.0</v>
      </c>
      <c r="Q28" s="260">
        <f t="shared" ref="Q28:R28" si="89">M26-O28</f>
        <v>28.34</v>
      </c>
      <c r="R28" s="261">
        <f t="shared" si="89"/>
        <v>41178</v>
      </c>
      <c r="S28" s="264">
        <v>1453.0</v>
      </c>
      <c r="T28" s="265">
        <v>15.0</v>
      </c>
      <c r="U28" s="266" t="s">
        <v>107</v>
      </c>
      <c r="V28" s="266" t="s">
        <v>1281</v>
      </c>
      <c r="W28" s="320">
        <v>0.8294</v>
      </c>
      <c r="X28" s="320">
        <v>0.392741</v>
      </c>
      <c r="Y28" s="320">
        <v>0.436659</v>
      </c>
      <c r="Z28" s="321">
        <f>Z26</f>
        <v>481</v>
      </c>
      <c r="AA28" s="426"/>
      <c r="AB28" s="428"/>
      <c r="AC28" s="323">
        <f>IFERROR(ROUND(Z28*X28,2),0)</f>
        <v>188.91</v>
      </c>
      <c r="AD28" s="318">
        <f t="shared" si="83"/>
        <v>274486</v>
      </c>
      <c r="AE28" s="429"/>
      <c r="AF28" s="429"/>
      <c r="AG28" s="324">
        <f t="shared" si="84"/>
        <v>210.03</v>
      </c>
      <c r="AH28" s="261">
        <f t="shared" si="85"/>
        <v>305174</v>
      </c>
      <c r="AI28" s="426"/>
      <c r="AJ28" s="426"/>
      <c r="AK28" s="325">
        <f>ROUND(AC28*0.15,2)</f>
        <v>28.34</v>
      </c>
      <c r="AL28" s="261">
        <f>ROUND(AD28*0.15,0)</f>
        <v>41173</v>
      </c>
      <c r="AM28" s="325"/>
      <c r="AN28" s="325"/>
      <c r="AO28" s="325">
        <f>ROUND(AG28*0.15,2)</f>
        <v>31.5</v>
      </c>
      <c r="AP28" s="261">
        <f>ROUND(AH28*0.15,0)</f>
        <v>45776</v>
      </c>
      <c r="AQ28" s="326"/>
      <c r="AR28" s="326"/>
      <c r="AS28" s="326">
        <f>IFERROR(AC28/K28,IFERROR(AO28/O28,""))</f>
        <v>0.9998941407</v>
      </c>
      <c r="AT28" s="426"/>
      <c r="AU28" s="410"/>
      <c r="AV28" s="410"/>
      <c r="AW28" s="410"/>
      <c r="AX28" s="410"/>
      <c r="AY28" s="410"/>
      <c r="AZ28" s="410"/>
      <c r="BA28" s="410"/>
      <c r="BB28" s="410"/>
      <c r="BC28" s="410"/>
      <c r="BD28" s="410"/>
      <c r="BE28" s="410"/>
    </row>
    <row r="29" ht="12.75" customHeight="1">
      <c r="A29" s="245" t="s">
        <v>455</v>
      </c>
      <c r="B29" s="246" t="s">
        <v>118</v>
      </c>
      <c r="C29" s="247" t="s">
        <v>119</v>
      </c>
      <c r="D29" s="247" t="s">
        <v>129</v>
      </c>
      <c r="E29" s="247" t="s">
        <v>129</v>
      </c>
      <c r="F29" s="248"/>
      <c r="G29" s="247" t="s">
        <v>116</v>
      </c>
      <c r="H29" s="247" t="s">
        <v>117</v>
      </c>
      <c r="I29" s="248" t="s">
        <v>105</v>
      </c>
      <c r="J29" s="300" t="s">
        <v>106</v>
      </c>
      <c r="K29" s="301">
        <v>355.06</v>
      </c>
      <c r="L29" s="302">
        <v>513807.0</v>
      </c>
      <c r="M29" s="303">
        <v>53.26</v>
      </c>
      <c r="N29" s="250">
        <v>77072.0</v>
      </c>
      <c r="O29" s="249">
        <v>0.0</v>
      </c>
      <c r="P29" s="250">
        <v>0.0</v>
      </c>
      <c r="Q29" s="251">
        <f t="shared" ref="Q29:R29" si="90">M29-O29</f>
        <v>53.26</v>
      </c>
      <c r="R29" s="252">
        <f t="shared" si="90"/>
        <v>77072</v>
      </c>
      <c r="S29" s="253">
        <v>1447.1</v>
      </c>
      <c r="T29" s="254">
        <v>15.0</v>
      </c>
      <c r="U29" s="255" t="s">
        <v>107</v>
      </c>
      <c r="V29" s="255"/>
      <c r="W29" s="304">
        <v>0.361007</v>
      </c>
      <c r="X29" s="304">
        <v>0.361007</v>
      </c>
      <c r="Y29" s="304">
        <v>0.0</v>
      </c>
      <c r="Z29" s="305">
        <f>IFERROR(ROUND(K29/W29,0),0)</f>
        <v>984</v>
      </c>
      <c r="AA29" s="306">
        <f t="shared" ref="AA29:AA30" si="92">Z29*W29</f>
        <v>355.230888</v>
      </c>
      <c r="AB29" s="307">
        <f t="shared" ref="AB29:AB30" si="93">ROUND(AA29*S29,0)</f>
        <v>514055</v>
      </c>
      <c r="AC29" s="308">
        <f t="shared" ref="AC29:AC30" si="94">AA29</f>
        <v>355.230888</v>
      </c>
      <c r="AD29" s="309">
        <f t="shared" si="83"/>
        <v>514055</v>
      </c>
      <c r="AE29" s="425"/>
      <c r="AF29" s="425"/>
      <c r="AG29" s="310">
        <f t="shared" si="84"/>
        <v>0</v>
      </c>
      <c r="AH29" s="252">
        <f t="shared" si="85"/>
        <v>0</v>
      </c>
      <c r="AI29" s="306">
        <f t="shared" ref="AI29:AI30" si="95">ROUND(AC29*0.15,2)</f>
        <v>53.28</v>
      </c>
      <c r="AJ29" s="252">
        <f t="shared" ref="AJ29:AJ30" si="96">ROUND(AD29*0.15,0)</f>
        <v>77108</v>
      </c>
      <c r="AK29" s="426"/>
      <c r="AL29" s="426"/>
      <c r="AM29" s="426"/>
      <c r="AN29" s="426"/>
      <c r="AO29" s="426"/>
      <c r="AP29" s="426"/>
      <c r="AQ29" s="427"/>
      <c r="AR29" s="427"/>
      <c r="AS29" s="427"/>
      <c r="AT29" s="430" t="s">
        <v>1274</v>
      </c>
      <c r="AU29" s="431"/>
      <c r="AV29" s="431"/>
      <c r="AW29" s="431"/>
      <c r="AX29" s="431"/>
      <c r="AY29" s="431"/>
      <c r="AZ29" s="431"/>
      <c r="BA29" s="431"/>
      <c r="BB29" s="431"/>
      <c r="BC29" s="431"/>
      <c r="BD29" s="431"/>
      <c r="BE29" s="431"/>
    </row>
    <row r="30" ht="12.75" customHeight="1">
      <c r="A30" s="245" t="s">
        <v>457</v>
      </c>
      <c r="B30" s="246" t="s">
        <v>118</v>
      </c>
      <c r="C30" s="247" t="s">
        <v>119</v>
      </c>
      <c r="D30" s="247" t="s">
        <v>129</v>
      </c>
      <c r="E30" s="247" t="s">
        <v>129</v>
      </c>
      <c r="F30" s="248"/>
      <c r="G30" s="247" t="s">
        <v>116</v>
      </c>
      <c r="H30" s="247" t="s">
        <v>117</v>
      </c>
      <c r="I30" s="248" t="s">
        <v>105</v>
      </c>
      <c r="J30" s="300" t="s">
        <v>106</v>
      </c>
      <c r="K30" s="314">
        <f t="shared" ref="K30:R30" si="91">-K29</f>
        <v>-355.06</v>
      </c>
      <c r="L30" s="309">
        <f t="shared" si="91"/>
        <v>-513807</v>
      </c>
      <c r="M30" s="315">
        <f t="shared" si="91"/>
        <v>-53.26</v>
      </c>
      <c r="N30" s="252">
        <f t="shared" si="91"/>
        <v>-77072</v>
      </c>
      <c r="O30" s="251">
        <f t="shared" si="91"/>
        <v>0</v>
      </c>
      <c r="P30" s="252">
        <f t="shared" si="91"/>
        <v>0</v>
      </c>
      <c r="Q30" s="251">
        <f t="shared" si="91"/>
        <v>-53.26</v>
      </c>
      <c r="R30" s="252">
        <f t="shared" si="91"/>
        <v>-77072</v>
      </c>
      <c r="S30" s="253">
        <v>1447.1</v>
      </c>
      <c r="T30" s="254">
        <v>15.0</v>
      </c>
      <c r="U30" s="255" t="s">
        <v>107</v>
      </c>
      <c r="V30" s="255"/>
      <c r="W30" s="304">
        <v>0.361007</v>
      </c>
      <c r="X30" s="304">
        <v>0.361007</v>
      </c>
      <c r="Y30" s="304">
        <v>0.0</v>
      </c>
      <c r="Z30" s="305">
        <f>-Z29</f>
        <v>-984</v>
      </c>
      <c r="AA30" s="306">
        <f t="shared" si="92"/>
        <v>-355.230888</v>
      </c>
      <c r="AB30" s="307">
        <f t="shared" si="93"/>
        <v>-514055</v>
      </c>
      <c r="AC30" s="308">
        <f t="shared" si="94"/>
        <v>-355.230888</v>
      </c>
      <c r="AD30" s="309">
        <f t="shared" si="83"/>
        <v>-514055</v>
      </c>
      <c r="AE30" s="425"/>
      <c r="AF30" s="425"/>
      <c r="AG30" s="310">
        <f t="shared" si="84"/>
        <v>0</v>
      </c>
      <c r="AH30" s="252">
        <f t="shared" si="85"/>
        <v>0</v>
      </c>
      <c r="AI30" s="306">
        <f t="shared" si="95"/>
        <v>-53.28</v>
      </c>
      <c r="AJ30" s="252">
        <f t="shared" si="96"/>
        <v>-77108</v>
      </c>
      <c r="AK30" s="426"/>
      <c r="AL30" s="426"/>
      <c r="AM30" s="426"/>
      <c r="AN30" s="426"/>
      <c r="AO30" s="426"/>
      <c r="AP30" s="426"/>
      <c r="AQ30" s="427"/>
      <c r="AR30" s="427"/>
      <c r="AS30" s="427"/>
      <c r="AT30" s="430" t="s">
        <v>1274</v>
      </c>
      <c r="AU30" s="431"/>
      <c r="AV30" s="431"/>
      <c r="AW30" s="431"/>
      <c r="AX30" s="431"/>
      <c r="AY30" s="431"/>
      <c r="AZ30" s="431"/>
      <c r="BA30" s="431"/>
      <c r="BB30" s="431"/>
      <c r="BC30" s="431"/>
      <c r="BD30" s="431"/>
      <c r="BE30" s="431"/>
    </row>
    <row r="31" ht="12.75" customHeight="1">
      <c r="A31" s="256" t="s">
        <v>459</v>
      </c>
      <c r="B31" s="257" t="s">
        <v>118</v>
      </c>
      <c r="C31" s="258" t="s">
        <v>119</v>
      </c>
      <c r="D31" s="258" t="s">
        <v>129</v>
      </c>
      <c r="E31" s="258" t="s">
        <v>129</v>
      </c>
      <c r="F31" s="259"/>
      <c r="G31" s="258" t="s">
        <v>116</v>
      </c>
      <c r="H31" s="258" t="s">
        <v>117</v>
      </c>
      <c r="I31" s="259" t="s">
        <v>105</v>
      </c>
      <c r="J31" s="316" t="s">
        <v>106</v>
      </c>
      <c r="K31" s="317">
        <f>ROUND(M31/0.15,2)</f>
        <v>339</v>
      </c>
      <c r="L31" s="318">
        <f>ROUND(N31/0.15,0)</f>
        <v>490560</v>
      </c>
      <c r="M31" s="319">
        <f t="shared" ref="M31:N31" si="97">Q31</f>
        <v>50.85</v>
      </c>
      <c r="N31" s="261">
        <f t="shared" si="97"/>
        <v>73584</v>
      </c>
      <c r="O31" s="262">
        <v>2.41</v>
      </c>
      <c r="P31" s="263">
        <v>3488.0</v>
      </c>
      <c r="Q31" s="260">
        <f t="shared" ref="Q31:R31" si="98">M29-O31</f>
        <v>50.85</v>
      </c>
      <c r="R31" s="261">
        <f t="shared" si="98"/>
        <v>73584</v>
      </c>
      <c r="S31" s="264">
        <v>1447.1</v>
      </c>
      <c r="T31" s="265">
        <v>15.0</v>
      </c>
      <c r="U31" s="266" t="s">
        <v>107</v>
      </c>
      <c r="V31" s="266" t="s">
        <v>1282</v>
      </c>
      <c r="W31" s="320">
        <v>0.361007</v>
      </c>
      <c r="X31" s="320">
        <v>0.361007</v>
      </c>
      <c r="Y31" s="320">
        <v>0.0</v>
      </c>
      <c r="Z31" s="321">
        <f>Z29</f>
        <v>984</v>
      </c>
      <c r="AA31" s="426"/>
      <c r="AB31" s="428"/>
      <c r="AC31" s="432">
        <f t="shared" ref="AC31:AD31" si="99">K31</f>
        <v>339</v>
      </c>
      <c r="AD31" s="433">
        <f t="shared" si="99"/>
        <v>490560</v>
      </c>
      <c r="AE31" s="434"/>
      <c r="AF31" s="434"/>
      <c r="AG31" s="348">
        <f t="shared" ref="AG31:AH31" si="100">round(AO31/0.15,2)</f>
        <v>16.07</v>
      </c>
      <c r="AH31" s="348">
        <f t="shared" si="100"/>
        <v>23253.33</v>
      </c>
      <c r="AI31" s="435"/>
      <c r="AJ31" s="435"/>
      <c r="AK31" s="436">
        <f>ROUND(AC31*0.15,2)</f>
        <v>50.85</v>
      </c>
      <c r="AL31" s="437">
        <f>ROUND(AD31*0.15,0)</f>
        <v>73584</v>
      </c>
      <c r="AM31" s="436"/>
      <c r="AN31" s="436"/>
      <c r="AO31" s="436">
        <f t="shared" ref="AO31:AP31" si="101">O31</f>
        <v>2.41</v>
      </c>
      <c r="AP31" s="436">
        <f t="shared" si="101"/>
        <v>3488</v>
      </c>
      <c r="AQ31" s="438"/>
      <c r="AR31" s="438"/>
      <c r="AS31" s="438">
        <f>IFERROR(AC31/K31,IFERROR(AO31/O31,""))</f>
        <v>1</v>
      </c>
      <c r="AT31" s="430" t="s">
        <v>1274</v>
      </c>
      <c r="AU31" s="431"/>
      <c r="AV31" s="431"/>
      <c r="AW31" s="431"/>
      <c r="AX31" s="431"/>
      <c r="AY31" s="431"/>
      <c r="AZ31" s="431"/>
      <c r="BA31" s="431"/>
      <c r="BB31" s="431"/>
      <c r="BC31" s="431"/>
      <c r="BD31" s="431"/>
      <c r="BE31" s="431"/>
    </row>
    <row r="32" ht="12.75" customHeight="1">
      <c r="A32" s="439" t="s">
        <v>1283</v>
      </c>
      <c r="B32" s="440" t="str">
        <f t="shared" ref="B32:J32" si="102">B31</f>
        <v>미래에셋증권</v>
      </c>
      <c r="C32" s="441" t="str">
        <f t="shared" si="102"/>
        <v>584-2176-0816-0</v>
      </c>
      <c r="D32" s="441" t="str">
        <f t="shared" si="102"/>
        <v>2025-02-07</v>
      </c>
      <c r="E32" s="441" t="str">
        <f t="shared" si="102"/>
        <v>2025-02-07</v>
      </c>
      <c r="F32" s="441" t="str">
        <f t="shared" si="102"/>
        <v/>
      </c>
      <c r="G32" s="441" t="str">
        <f t="shared" si="102"/>
        <v>BITO</v>
      </c>
      <c r="H32" s="441" t="str">
        <f t="shared" si="102"/>
        <v>PROSHARES BITCOIN ETF</v>
      </c>
      <c r="I32" s="441" t="str">
        <f t="shared" si="102"/>
        <v>배당소득</v>
      </c>
      <c r="J32" s="440" t="str">
        <f t="shared" si="102"/>
        <v>USD</v>
      </c>
      <c r="K32" s="442"/>
      <c r="L32" s="443"/>
      <c r="M32" s="444"/>
      <c r="N32" s="445"/>
      <c r="O32" s="446"/>
      <c r="P32" s="447"/>
      <c r="Q32" s="446"/>
      <c r="R32" s="448"/>
      <c r="S32" s="449"/>
      <c r="T32" s="450"/>
      <c r="U32" s="451"/>
      <c r="V32" s="451"/>
      <c r="W32" s="452"/>
      <c r="X32" s="452"/>
      <c r="Y32" s="452"/>
      <c r="Z32" s="448"/>
      <c r="AA32" s="446"/>
      <c r="AB32" s="453"/>
      <c r="AC32" s="454"/>
      <c r="AD32" s="455"/>
      <c r="AE32" s="456"/>
      <c r="AF32" s="457"/>
      <c r="AG32" s="458">
        <f>IFERROR(ROUND(AO32/0.15,2),0)</f>
        <v>-16.07</v>
      </c>
      <c r="AH32" s="458">
        <f>IFERROR(ROUND(AP32/0.15,0),0)</f>
        <v>-23253</v>
      </c>
      <c r="AI32" s="457"/>
      <c r="AJ32" s="459"/>
      <c r="AK32" s="457"/>
      <c r="AL32" s="459"/>
      <c r="AM32" s="457"/>
      <c r="AN32" s="457"/>
      <c r="AO32" s="460">
        <f t="shared" ref="AO32:AP32" si="103">-AO31</f>
        <v>-2.41</v>
      </c>
      <c r="AP32" s="460">
        <f t="shared" si="103"/>
        <v>-3488</v>
      </c>
      <c r="AQ32" s="459"/>
      <c r="AR32" s="459"/>
      <c r="AS32" s="459"/>
      <c r="AT32" s="430" t="s">
        <v>1274</v>
      </c>
      <c r="AU32" s="431"/>
      <c r="AV32" s="431"/>
      <c r="AW32" s="431"/>
      <c r="AX32" s="431"/>
      <c r="AY32" s="431"/>
      <c r="AZ32" s="431"/>
      <c r="BA32" s="431"/>
      <c r="BB32" s="431"/>
      <c r="BC32" s="431"/>
      <c r="BD32" s="431"/>
      <c r="BE32" s="431"/>
    </row>
    <row r="33" ht="12.75" customHeight="1">
      <c r="A33" s="439" t="s">
        <v>1284</v>
      </c>
      <c r="B33" s="440" t="str">
        <f t="shared" ref="B33:J33" si="104">B32</f>
        <v>미래에셋증권</v>
      </c>
      <c r="C33" s="441" t="str">
        <f t="shared" si="104"/>
        <v>584-2176-0816-0</v>
      </c>
      <c r="D33" s="441" t="str">
        <f t="shared" si="104"/>
        <v>2025-02-07</v>
      </c>
      <c r="E33" s="441" t="str">
        <f t="shared" si="104"/>
        <v>2025-02-07</v>
      </c>
      <c r="F33" s="441" t="str">
        <f t="shared" si="104"/>
        <v/>
      </c>
      <c r="G33" s="441" t="str">
        <f t="shared" si="104"/>
        <v>BITO</v>
      </c>
      <c r="H33" s="441" t="str">
        <f t="shared" si="104"/>
        <v>PROSHARES BITCOIN ETF</v>
      </c>
      <c r="I33" s="441" t="str">
        <f t="shared" si="104"/>
        <v>배당소득</v>
      </c>
      <c r="J33" s="440" t="str">
        <f t="shared" si="104"/>
        <v>USD</v>
      </c>
      <c r="K33" s="442"/>
      <c r="L33" s="443"/>
      <c r="M33" s="444"/>
      <c r="N33" s="445"/>
      <c r="O33" s="446"/>
      <c r="P33" s="447"/>
      <c r="Q33" s="446"/>
      <c r="R33" s="448"/>
      <c r="S33" s="449"/>
      <c r="T33" s="450"/>
      <c r="U33" s="451"/>
      <c r="V33" s="451"/>
      <c r="W33" s="452"/>
      <c r="X33" s="452"/>
      <c r="Y33" s="452"/>
      <c r="Z33" s="448"/>
      <c r="AA33" s="446"/>
      <c r="AB33" s="453"/>
      <c r="AC33" s="454"/>
      <c r="AD33" s="461"/>
      <c r="AE33" s="462">
        <f>IFERROR(ROUND(AM33/0.15,2),0)</f>
        <v>16.07</v>
      </c>
      <c r="AF33" s="458">
        <f>IFERROR(ROUND(AN33/0.15,0),0)</f>
        <v>23253</v>
      </c>
      <c r="AG33" s="463"/>
      <c r="AH33" s="464"/>
      <c r="AI33" s="457"/>
      <c r="AJ33" s="459"/>
      <c r="AK33" s="457"/>
      <c r="AL33" s="459"/>
      <c r="AM33" s="460">
        <f t="shared" ref="AM33:AN33" si="105">AO31</f>
        <v>2.41</v>
      </c>
      <c r="AN33" s="460">
        <f t="shared" si="105"/>
        <v>3488</v>
      </c>
      <c r="AO33" s="457"/>
      <c r="AP33" s="465"/>
      <c r="AQ33" s="466">
        <f>AF33</f>
        <v>23253</v>
      </c>
      <c r="AR33" s="466">
        <f>ROUND(AQ33*0.14,0)</f>
        <v>3255</v>
      </c>
      <c r="AS33" s="459"/>
      <c r="AT33" s="430" t="s">
        <v>1274</v>
      </c>
      <c r="AU33" s="431"/>
      <c r="AV33" s="431"/>
      <c r="AW33" s="431"/>
      <c r="AX33" s="431"/>
      <c r="AY33" s="431"/>
      <c r="AZ33" s="431"/>
      <c r="BA33" s="431"/>
      <c r="BB33" s="431"/>
      <c r="BC33" s="431"/>
      <c r="BD33" s="431"/>
      <c r="BE33" s="431"/>
    </row>
    <row r="34" ht="12.75" customHeight="1">
      <c r="A34" s="245" t="s">
        <v>462</v>
      </c>
      <c r="B34" s="246" t="s">
        <v>118</v>
      </c>
      <c r="C34" s="247" t="s">
        <v>119</v>
      </c>
      <c r="D34" s="247" t="s">
        <v>130</v>
      </c>
      <c r="E34" s="247" t="s">
        <v>129</v>
      </c>
      <c r="F34" s="248"/>
      <c r="G34" s="247" t="s">
        <v>131</v>
      </c>
      <c r="H34" s="247" t="s">
        <v>132</v>
      </c>
      <c r="I34" s="248" t="s">
        <v>105</v>
      </c>
      <c r="J34" s="300" t="s">
        <v>106</v>
      </c>
      <c r="K34" s="301">
        <v>833.25</v>
      </c>
      <c r="L34" s="302">
        <v>1211128.0</v>
      </c>
      <c r="M34" s="303">
        <v>124.99</v>
      </c>
      <c r="N34" s="250">
        <v>181672.0</v>
      </c>
      <c r="O34" s="249">
        <v>0.0</v>
      </c>
      <c r="P34" s="250">
        <v>0.0</v>
      </c>
      <c r="Q34" s="251">
        <f t="shared" ref="Q34:R34" si="106">M34-O34</f>
        <v>124.99</v>
      </c>
      <c r="R34" s="252">
        <f t="shared" si="106"/>
        <v>181672</v>
      </c>
      <c r="S34" s="253">
        <v>1453.5</v>
      </c>
      <c r="T34" s="254">
        <v>15.0</v>
      </c>
      <c r="U34" s="255" t="s">
        <v>107</v>
      </c>
      <c r="V34" s="255"/>
      <c r="W34" s="304">
        <v>1.0468</v>
      </c>
      <c r="X34" s="304">
        <v>0.030917</v>
      </c>
      <c r="Y34" s="304">
        <v>1.015883</v>
      </c>
      <c r="Z34" s="305">
        <f>IFERROR(ROUND(K34/W34,0),0)</f>
        <v>796</v>
      </c>
      <c r="AA34" s="306">
        <f t="shared" ref="AA34:AA35" si="108">Z34*W34</f>
        <v>833.2528</v>
      </c>
      <c r="AB34" s="307">
        <f t="shared" ref="AB34:AB35" si="109">ROUND(AA34*S34,0)</f>
        <v>1211133</v>
      </c>
      <c r="AC34" s="308">
        <f t="shared" ref="AC34:AC35" si="110">AA34</f>
        <v>833.2528</v>
      </c>
      <c r="AD34" s="309">
        <f t="shared" ref="AD34:AD50" si="111">ROUND(AC34*S34,0)</f>
        <v>1211133</v>
      </c>
      <c r="AE34" s="425"/>
      <c r="AF34" s="425"/>
      <c r="AG34" s="310">
        <f t="shared" ref="AG34:AG50" si="112">IFERROR(ROUND(Z34*Y34,2),0)</f>
        <v>808.64</v>
      </c>
      <c r="AH34" s="252">
        <f t="shared" ref="AH34:AH50" si="113">ROUND(AG34*S34,0)</f>
        <v>1175358</v>
      </c>
      <c r="AI34" s="306">
        <f t="shared" ref="AI34:AI35" si="114">ROUND(AC34*0.15,2)</f>
        <v>124.99</v>
      </c>
      <c r="AJ34" s="252">
        <f t="shared" ref="AJ34:AJ35" si="115">ROUND(AD34*0.15,0)</f>
        <v>181670</v>
      </c>
      <c r="AK34" s="426"/>
      <c r="AL34" s="426"/>
      <c r="AM34" s="426"/>
      <c r="AN34" s="426"/>
      <c r="AO34" s="426"/>
      <c r="AP34" s="426"/>
      <c r="AQ34" s="427"/>
      <c r="AR34" s="427"/>
      <c r="AS34" s="427"/>
      <c r="AT34" s="426"/>
      <c r="AU34" s="410"/>
      <c r="AV34" s="410"/>
      <c r="AW34" s="410"/>
      <c r="AX34" s="410"/>
      <c r="AY34" s="410"/>
      <c r="AZ34" s="410"/>
      <c r="BA34" s="410"/>
      <c r="BB34" s="410"/>
      <c r="BC34" s="410"/>
      <c r="BD34" s="410"/>
      <c r="BE34" s="410"/>
    </row>
    <row r="35" ht="12.75" customHeight="1">
      <c r="A35" s="245" t="s">
        <v>463</v>
      </c>
      <c r="B35" s="246" t="s">
        <v>118</v>
      </c>
      <c r="C35" s="247" t="s">
        <v>119</v>
      </c>
      <c r="D35" s="247" t="s">
        <v>130</v>
      </c>
      <c r="E35" s="247" t="s">
        <v>129</v>
      </c>
      <c r="F35" s="248"/>
      <c r="G35" s="247" t="s">
        <v>131</v>
      </c>
      <c r="H35" s="247" t="s">
        <v>132</v>
      </c>
      <c r="I35" s="248" t="s">
        <v>105</v>
      </c>
      <c r="J35" s="300" t="s">
        <v>106</v>
      </c>
      <c r="K35" s="314">
        <f t="shared" ref="K35:R35" si="107">-K34</f>
        <v>-833.25</v>
      </c>
      <c r="L35" s="309">
        <f t="shared" si="107"/>
        <v>-1211128</v>
      </c>
      <c r="M35" s="315">
        <f t="shared" si="107"/>
        <v>-124.99</v>
      </c>
      <c r="N35" s="252">
        <f t="shared" si="107"/>
        <v>-181672</v>
      </c>
      <c r="O35" s="251">
        <f t="shared" si="107"/>
        <v>0</v>
      </c>
      <c r="P35" s="252">
        <f t="shared" si="107"/>
        <v>0</v>
      </c>
      <c r="Q35" s="251">
        <f t="shared" si="107"/>
        <v>-124.99</v>
      </c>
      <c r="R35" s="252">
        <f t="shared" si="107"/>
        <v>-181672</v>
      </c>
      <c r="S35" s="253">
        <v>1453.5</v>
      </c>
      <c r="T35" s="254">
        <v>15.0</v>
      </c>
      <c r="U35" s="255" t="s">
        <v>107</v>
      </c>
      <c r="V35" s="255"/>
      <c r="W35" s="304">
        <v>1.0468</v>
      </c>
      <c r="X35" s="304">
        <v>0.030917</v>
      </c>
      <c r="Y35" s="304">
        <v>1.015883</v>
      </c>
      <c r="Z35" s="305">
        <f>-Z34</f>
        <v>-796</v>
      </c>
      <c r="AA35" s="306">
        <f t="shared" si="108"/>
        <v>-833.2528</v>
      </c>
      <c r="AB35" s="307">
        <f t="shared" si="109"/>
        <v>-1211133</v>
      </c>
      <c r="AC35" s="308">
        <f t="shared" si="110"/>
        <v>-833.2528</v>
      </c>
      <c r="AD35" s="309">
        <f t="shared" si="111"/>
        <v>-1211133</v>
      </c>
      <c r="AE35" s="425"/>
      <c r="AF35" s="425"/>
      <c r="AG35" s="310">
        <f t="shared" si="112"/>
        <v>-808.64</v>
      </c>
      <c r="AH35" s="252">
        <f t="shared" si="113"/>
        <v>-1175358</v>
      </c>
      <c r="AI35" s="306">
        <f t="shared" si="114"/>
        <v>-124.99</v>
      </c>
      <c r="AJ35" s="252">
        <f t="shared" si="115"/>
        <v>-181670</v>
      </c>
      <c r="AK35" s="426"/>
      <c r="AL35" s="426"/>
      <c r="AM35" s="426"/>
      <c r="AN35" s="426"/>
      <c r="AO35" s="426"/>
      <c r="AP35" s="426"/>
      <c r="AQ35" s="427"/>
      <c r="AR35" s="427"/>
      <c r="AS35" s="427"/>
      <c r="AT35" s="426"/>
      <c r="AU35" s="410"/>
      <c r="AV35" s="410"/>
      <c r="AW35" s="410"/>
      <c r="AX35" s="410"/>
      <c r="AY35" s="410"/>
      <c r="AZ35" s="410"/>
      <c r="BA35" s="410"/>
      <c r="BB35" s="410"/>
      <c r="BC35" s="410"/>
      <c r="BD35" s="410"/>
      <c r="BE35" s="410"/>
    </row>
    <row r="36" ht="12.75" customHeight="1">
      <c r="A36" s="256" t="s">
        <v>464</v>
      </c>
      <c r="B36" s="257" t="s">
        <v>118</v>
      </c>
      <c r="C36" s="258" t="s">
        <v>119</v>
      </c>
      <c r="D36" s="258" t="s">
        <v>130</v>
      </c>
      <c r="E36" s="258" t="s">
        <v>129</v>
      </c>
      <c r="F36" s="259"/>
      <c r="G36" s="258" t="s">
        <v>131</v>
      </c>
      <c r="H36" s="258" t="s">
        <v>132</v>
      </c>
      <c r="I36" s="259" t="s">
        <v>105</v>
      </c>
      <c r="J36" s="316" t="s">
        <v>106</v>
      </c>
      <c r="K36" s="317">
        <f>ROUND(M36/0.15,2)</f>
        <v>24.6</v>
      </c>
      <c r="L36" s="318">
        <f>ROUND(N36/0.15,0)</f>
        <v>35747</v>
      </c>
      <c r="M36" s="319">
        <f t="shared" ref="M36:N36" si="116">Q36</f>
        <v>3.69</v>
      </c>
      <c r="N36" s="261">
        <f t="shared" si="116"/>
        <v>5362</v>
      </c>
      <c r="O36" s="262">
        <v>121.3</v>
      </c>
      <c r="P36" s="263">
        <v>176310.0</v>
      </c>
      <c r="Q36" s="260">
        <f t="shared" ref="Q36:R36" si="117">M34-O36</f>
        <v>3.69</v>
      </c>
      <c r="R36" s="261">
        <f t="shared" si="117"/>
        <v>5362</v>
      </c>
      <c r="S36" s="264">
        <v>1453.5</v>
      </c>
      <c r="T36" s="265">
        <v>15.0</v>
      </c>
      <c r="U36" s="266" t="s">
        <v>107</v>
      </c>
      <c r="V36" s="266" t="s">
        <v>1285</v>
      </c>
      <c r="W36" s="320">
        <v>1.0468</v>
      </c>
      <c r="X36" s="320">
        <v>0.030917</v>
      </c>
      <c r="Y36" s="320">
        <v>1.015883</v>
      </c>
      <c r="Z36" s="321">
        <f>Z34</f>
        <v>796</v>
      </c>
      <c r="AA36" s="426"/>
      <c r="AB36" s="428"/>
      <c r="AC36" s="323">
        <f>IFERROR(ROUND(Z36*X36,2),0)</f>
        <v>24.61</v>
      </c>
      <c r="AD36" s="318">
        <f t="shared" si="111"/>
        <v>35771</v>
      </c>
      <c r="AE36" s="429"/>
      <c r="AF36" s="429"/>
      <c r="AG36" s="324">
        <f t="shared" si="112"/>
        <v>808.64</v>
      </c>
      <c r="AH36" s="261">
        <f t="shared" si="113"/>
        <v>1175358</v>
      </c>
      <c r="AI36" s="426"/>
      <c r="AJ36" s="426"/>
      <c r="AK36" s="325">
        <f>ROUND(AC36*0.15,2)</f>
        <v>3.69</v>
      </c>
      <c r="AL36" s="261">
        <f>ROUND(AD36*0.15,0)</f>
        <v>5366</v>
      </c>
      <c r="AM36" s="325"/>
      <c r="AN36" s="325"/>
      <c r="AO36" s="325">
        <f>ROUND(AG36*0.15,2)</f>
        <v>121.3</v>
      </c>
      <c r="AP36" s="261">
        <f>ROUND(AH36*0.15,0)</f>
        <v>176304</v>
      </c>
      <c r="AQ36" s="326"/>
      <c r="AR36" s="326"/>
      <c r="AS36" s="326">
        <f>IFERROR(AC36/K36,IFERROR(AO36/O36,""))</f>
        <v>1.000406504</v>
      </c>
      <c r="AT36" s="426"/>
      <c r="AU36" s="410"/>
      <c r="AV36" s="410"/>
      <c r="AW36" s="410"/>
      <c r="AX36" s="410"/>
      <c r="AY36" s="410"/>
      <c r="AZ36" s="410"/>
      <c r="BA36" s="410"/>
      <c r="BB36" s="410"/>
      <c r="BC36" s="410"/>
      <c r="BD36" s="410"/>
      <c r="BE36" s="410"/>
    </row>
    <row r="37" ht="12.75" customHeight="1">
      <c r="A37" s="245" t="s">
        <v>471</v>
      </c>
      <c r="B37" s="246" t="s">
        <v>118</v>
      </c>
      <c r="C37" s="247" t="s">
        <v>119</v>
      </c>
      <c r="D37" s="247" t="s">
        <v>133</v>
      </c>
      <c r="E37" s="247" t="s">
        <v>134</v>
      </c>
      <c r="F37" s="248"/>
      <c r="G37" s="247" t="s">
        <v>135</v>
      </c>
      <c r="H37" s="247" t="s">
        <v>136</v>
      </c>
      <c r="I37" s="248" t="s">
        <v>105</v>
      </c>
      <c r="J37" s="300" t="s">
        <v>106</v>
      </c>
      <c r="K37" s="301">
        <v>1196.79</v>
      </c>
      <c r="L37" s="302">
        <v>1728045.0</v>
      </c>
      <c r="M37" s="303">
        <v>179.52</v>
      </c>
      <c r="N37" s="250">
        <v>259208.0</v>
      </c>
      <c r="O37" s="249">
        <v>0.0</v>
      </c>
      <c r="P37" s="250">
        <v>0.0</v>
      </c>
      <c r="Q37" s="251">
        <f t="shared" ref="Q37:R37" si="118">M37-O37</f>
        <v>179.52</v>
      </c>
      <c r="R37" s="252">
        <f t="shared" si="118"/>
        <v>259208</v>
      </c>
      <c r="S37" s="253">
        <v>1443.9</v>
      </c>
      <c r="T37" s="254">
        <v>15.0</v>
      </c>
      <c r="U37" s="255" t="s">
        <v>107</v>
      </c>
      <c r="V37" s="255"/>
      <c r="W37" s="304">
        <v>2.0216</v>
      </c>
      <c r="X37" s="304">
        <v>0.0</v>
      </c>
      <c r="Y37" s="304">
        <v>2.0216</v>
      </c>
      <c r="Z37" s="305">
        <f>IFERROR(ROUND(K37/W37,0),0)</f>
        <v>592</v>
      </c>
      <c r="AA37" s="306">
        <f t="shared" ref="AA37:AA38" si="120">Z37*W37</f>
        <v>1196.7872</v>
      </c>
      <c r="AB37" s="307">
        <f t="shared" ref="AB37:AB38" si="121">ROUND(AA37*S37,0)</f>
        <v>1728041</v>
      </c>
      <c r="AC37" s="308">
        <f t="shared" ref="AC37:AC38" si="122">AA37</f>
        <v>1196.7872</v>
      </c>
      <c r="AD37" s="309">
        <f t="shared" si="111"/>
        <v>1728041</v>
      </c>
      <c r="AE37" s="425"/>
      <c r="AF37" s="425"/>
      <c r="AG37" s="310">
        <f t="shared" si="112"/>
        <v>1196.79</v>
      </c>
      <c r="AH37" s="252">
        <f t="shared" si="113"/>
        <v>1728045</v>
      </c>
      <c r="AI37" s="306">
        <f t="shared" ref="AI37:AI38" si="123">ROUND(AC37*0.15,2)</f>
        <v>179.52</v>
      </c>
      <c r="AJ37" s="252">
        <f t="shared" ref="AJ37:AJ38" si="124">ROUND(AD37*0.15,0)</f>
        <v>259206</v>
      </c>
      <c r="AK37" s="426"/>
      <c r="AL37" s="426"/>
      <c r="AM37" s="426"/>
      <c r="AN37" s="426"/>
      <c r="AO37" s="426"/>
      <c r="AP37" s="426"/>
      <c r="AQ37" s="427"/>
      <c r="AR37" s="427"/>
      <c r="AS37" s="427"/>
      <c r="AT37" s="426"/>
      <c r="AU37" s="410"/>
      <c r="AV37" s="410"/>
      <c r="AW37" s="410"/>
      <c r="AX37" s="410"/>
      <c r="AY37" s="410"/>
      <c r="AZ37" s="410"/>
      <c r="BA37" s="410"/>
      <c r="BB37" s="410"/>
      <c r="BC37" s="410"/>
      <c r="BD37" s="410"/>
      <c r="BE37" s="410"/>
    </row>
    <row r="38" ht="12.75" customHeight="1">
      <c r="A38" s="245" t="s">
        <v>472</v>
      </c>
      <c r="B38" s="246" t="s">
        <v>118</v>
      </c>
      <c r="C38" s="247" t="s">
        <v>119</v>
      </c>
      <c r="D38" s="247" t="s">
        <v>133</v>
      </c>
      <c r="E38" s="247" t="s">
        <v>134</v>
      </c>
      <c r="F38" s="248"/>
      <c r="G38" s="247" t="s">
        <v>135</v>
      </c>
      <c r="H38" s="247" t="s">
        <v>136</v>
      </c>
      <c r="I38" s="248" t="s">
        <v>105</v>
      </c>
      <c r="J38" s="300" t="s">
        <v>106</v>
      </c>
      <c r="K38" s="314">
        <f t="shared" ref="K38:R38" si="119">-K37</f>
        <v>-1196.79</v>
      </c>
      <c r="L38" s="309">
        <f t="shared" si="119"/>
        <v>-1728045</v>
      </c>
      <c r="M38" s="315">
        <f t="shared" si="119"/>
        <v>-179.52</v>
      </c>
      <c r="N38" s="252">
        <f t="shared" si="119"/>
        <v>-259208</v>
      </c>
      <c r="O38" s="251">
        <f t="shared" si="119"/>
        <v>0</v>
      </c>
      <c r="P38" s="252">
        <f t="shared" si="119"/>
        <v>0</v>
      </c>
      <c r="Q38" s="251">
        <f t="shared" si="119"/>
        <v>-179.52</v>
      </c>
      <c r="R38" s="252">
        <f t="shared" si="119"/>
        <v>-259208</v>
      </c>
      <c r="S38" s="253">
        <v>1443.9</v>
      </c>
      <c r="T38" s="254">
        <v>15.0</v>
      </c>
      <c r="U38" s="255" t="s">
        <v>107</v>
      </c>
      <c r="V38" s="255"/>
      <c r="W38" s="304">
        <v>2.0216</v>
      </c>
      <c r="X38" s="304">
        <v>0.0</v>
      </c>
      <c r="Y38" s="304">
        <v>2.0216</v>
      </c>
      <c r="Z38" s="305">
        <f>-Z37</f>
        <v>-592</v>
      </c>
      <c r="AA38" s="306">
        <f t="shared" si="120"/>
        <v>-1196.7872</v>
      </c>
      <c r="AB38" s="307">
        <f t="shared" si="121"/>
        <v>-1728041</v>
      </c>
      <c r="AC38" s="308">
        <f t="shared" si="122"/>
        <v>-1196.7872</v>
      </c>
      <c r="AD38" s="309">
        <f t="shared" si="111"/>
        <v>-1728041</v>
      </c>
      <c r="AE38" s="425"/>
      <c r="AF38" s="425"/>
      <c r="AG38" s="310">
        <f t="shared" si="112"/>
        <v>-1196.79</v>
      </c>
      <c r="AH38" s="252">
        <f t="shared" si="113"/>
        <v>-1728045</v>
      </c>
      <c r="AI38" s="306">
        <f t="shared" si="123"/>
        <v>-179.52</v>
      </c>
      <c r="AJ38" s="252">
        <f t="shared" si="124"/>
        <v>-259206</v>
      </c>
      <c r="AK38" s="426"/>
      <c r="AL38" s="426"/>
      <c r="AM38" s="426"/>
      <c r="AN38" s="426"/>
      <c r="AO38" s="426"/>
      <c r="AP38" s="426"/>
      <c r="AQ38" s="427"/>
      <c r="AR38" s="427"/>
      <c r="AS38" s="427"/>
      <c r="AT38" s="426"/>
      <c r="AU38" s="410"/>
      <c r="AV38" s="410"/>
      <c r="AW38" s="410"/>
      <c r="AX38" s="410"/>
      <c r="AY38" s="410"/>
      <c r="AZ38" s="410"/>
      <c r="BA38" s="410"/>
      <c r="BB38" s="410"/>
      <c r="BC38" s="410"/>
      <c r="BD38" s="410"/>
      <c r="BE38" s="410"/>
    </row>
    <row r="39" ht="12.75" customHeight="1">
      <c r="A39" s="256" t="s">
        <v>473</v>
      </c>
      <c r="B39" s="257" t="s">
        <v>118</v>
      </c>
      <c r="C39" s="258" t="s">
        <v>119</v>
      </c>
      <c r="D39" s="258" t="s">
        <v>133</v>
      </c>
      <c r="E39" s="258" t="s">
        <v>134</v>
      </c>
      <c r="F39" s="259"/>
      <c r="G39" s="258" t="s">
        <v>135</v>
      </c>
      <c r="H39" s="258" t="s">
        <v>136</v>
      </c>
      <c r="I39" s="259" t="s">
        <v>105</v>
      </c>
      <c r="J39" s="316" t="s">
        <v>106</v>
      </c>
      <c r="K39" s="317">
        <f>ROUND(M39/0.15,2)</f>
        <v>0</v>
      </c>
      <c r="L39" s="318">
        <f>ROUND(N39/0.15,0)</f>
        <v>-7</v>
      </c>
      <c r="M39" s="319">
        <f t="shared" ref="M39:N39" si="125">Q39</f>
        <v>0</v>
      </c>
      <c r="N39" s="261">
        <f t="shared" si="125"/>
        <v>-1</v>
      </c>
      <c r="O39" s="262">
        <v>179.52</v>
      </c>
      <c r="P39" s="263">
        <v>259209.0</v>
      </c>
      <c r="Q39" s="260">
        <f t="shared" ref="Q39:R39" si="126">M37-O39</f>
        <v>0</v>
      </c>
      <c r="R39" s="261">
        <f t="shared" si="126"/>
        <v>-1</v>
      </c>
      <c r="S39" s="264">
        <v>1443.9</v>
      </c>
      <c r="T39" s="265">
        <v>15.0</v>
      </c>
      <c r="U39" s="266" t="s">
        <v>107</v>
      </c>
      <c r="V39" s="266" t="s">
        <v>1286</v>
      </c>
      <c r="W39" s="320">
        <v>2.0216</v>
      </c>
      <c r="X39" s="320">
        <v>0.0</v>
      </c>
      <c r="Y39" s="320">
        <v>2.0216</v>
      </c>
      <c r="Z39" s="321">
        <f>Z37</f>
        <v>592</v>
      </c>
      <c r="AA39" s="426"/>
      <c r="AB39" s="428"/>
      <c r="AC39" s="323">
        <f>IFERROR(ROUND(Z39*X39,2),0)</f>
        <v>0</v>
      </c>
      <c r="AD39" s="318">
        <f t="shared" si="111"/>
        <v>0</v>
      </c>
      <c r="AE39" s="429"/>
      <c r="AF39" s="429"/>
      <c r="AG39" s="324">
        <f t="shared" si="112"/>
        <v>1196.79</v>
      </c>
      <c r="AH39" s="261">
        <f t="shared" si="113"/>
        <v>1728045</v>
      </c>
      <c r="AI39" s="426"/>
      <c r="AJ39" s="426"/>
      <c r="AK39" s="325">
        <f>ROUND(AC39*0.15,2)</f>
        <v>0</v>
      </c>
      <c r="AL39" s="261">
        <f>ROUND(AD39*0.15,0)</f>
        <v>0</v>
      </c>
      <c r="AM39" s="325"/>
      <c r="AN39" s="325"/>
      <c r="AO39" s="325">
        <f>ROUND(AG39*0.15,2)</f>
        <v>179.52</v>
      </c>
      <c r="AP39" s="261">
        <f>ROUND(AH39*0.15,0)</f>
        <v>259207</v>
      </c>
      <c r="AQ39" s="326"/>
      <c r="AR39" s="326"/>
      <c r="AS39" s="326">
        <f>IFERROR(AC39/K39,IFERROR(AO39/O39,""))</f>
        <v>1</v>
      </c>
      <c r="AT39" s="426"/>
      <c r="AU39" s="410"/>
      <c r="AV39" s="410"/>
      <c r="AW39" s="410"/>
      <c r="AX39" s="410"/>
      <c r="AY39" s="410"/>
      <c r="AZ39" s="410"/>
      <c r="BA39" s="410"/>
      <c r="BB39" s="410"/>
      <c r="BC39" s="410"/>
      <c r="BD39" s="410"/>
      <c r="BE39" s="410"/>
    </row>
    <row r="40" ht="12.75" customHeight="1">
      <c r="A40" s="245" t="s">
        <v>475</v>
      </c>
      <c r="B40" s="246" t="s">
        <v>118</v>
      </c>
      <c r="C40" s="247" t="s">
        <v>119</v>
      </c>
      <c r="D40" s="247" t="s">
        <v>137</v>
      </c>
      <c r="E40" s="247" t="s">
        <v>138</v>
      </c>
      <c r="F40" s="248"/>
      <c r="G40" s="247" t="s">
        <v>139</v>
      </c>
      <c r="H40" s="247" t="s">
        <v>140</v>
      </c>
      <c r="I40" s="248" t="s">
        <v>105</v>
      </c>
      <c r="J40" s="300" t="s">
        <v>106</v>
      </c>
      <c r="K40" s="301">
        <v>468.66</v>
      </c>
      <c r="L40" s="302">
        <v>672105.0</v>
      </c>
      <c r="M40" s="303">
        <v>70.3</v>
      </c>
      <c r="N40" s="250">
        <v>100817.0</v>
      </c>
      <c r="O40" s="249">
        <v>0.0</v>
      </c>
      <c r="P40" s="250">
        <v>0.0</v>
      </c>
      <c r="Q40" s="251">
        <f t="shared" ref="Q40:R40" si="127">M40-O40</f>
        <v>70.3</v>
      </c>
      <c r="R40" s="252">
        <f t="shared" si="127"/>
        <v>100817</v>
      </c>
      <c r="S40" s="253">
        <v>1434.1</v>
      </c>
      <c r="T40" s="254">
        <v>15.0</v>
      </c>
      <c r="U40" s="255" t="s">
        <v>107</v>
      </c>
      <c r="V40" s="255"/>
      <c r="W40" s="304">
        <v>0.5793</v>
      </c>
      <c r="X40" s="304">
        <v>0.156589</v>
      </c>
      <c r="Y40" s="304">
        <v>0.422711</v>
      </c>
      <c r="Z40" s="305">
        <f>IFERROR(ROUND(K40/W40,0),0)</f>
        <v>809</v>
      </c>
      <c r="AA40" s="306">
        <f t="shared" ref="AA40:AA41" si="129">Z40*W40</f>
        <v>468.6537</v>
      </c>
      <c r="AB40" s="307">
        <f t="shared" ref="AB40:AB41" si="130">ROUND(AA40*S40,0)</f>
        <v>672096</v>
      </c>
      <c r="AC40" s="308">
        <f t="shared" ref="AC40:AC41" si="131">AA40</f>
        <v>468.6537</v>
      </c>
      <c r="AD40" s="309">
        <f t="shared" si="111"/>
        <v>672096</v>
      </c>
      <c r="AE40" s="425"/>
      <c r="AF40" s="425"/>
      <c r="AG40" s="310">
        <f t="shared" si="112"/>
        <v>341.97</v>
      </c>
      <c r="AH40" s="252">
        <f t="shared" si="113"/>
        <v>490419</v>
      </c>
      <c r="AI40" s="306">
        <f t="shared" ref="AI40:AI41" si="132">ROUND(AC40*0.15,2)</f>
        <v>70.3</v>
      </c>
      <c r="AJ40" s="252">
        <f t="shared" ref="AJ40:AJ41" si="133">ROUND(AD40*0.15,0)</f>
        <v>100814</v>
      </c>
      <c r="AK40" s="426"/>
      <c r="AL40" s="426"/>
      <c r="AM40" s="426"/>
      <c r="AN40" s="426"/>
      <c r="AO40" s="426"/>
      <c r="AP40" s="426"/>
      <c r="AQ40" s="427"/>
      <c r="AR40" s="427"/>
      <c r="AS40" s="427"/>
      <c r="AT40" s="426"/>
      <c r="AU40" s="410"/>
      <c r="AV40" s="410"/>
      <c r="AW40" s="410"/>
      <c r="AX40" s="410"/>
      <c r="AY40" s="410"/>
      <c r="AZ40" s="410"/>
      <c r="BA40" s="410"/>
      <c r="BB40" s="410"/>
      <c r="BC40" s="410"/>
      <c r="BD40" s="410"/>
      <c r="BE40" s="410"/>
    </row>
    <row r="41" ht="12.75" customHeight="1">
      <c r="A41" s="245" t="s">
        <v>476</v>
      </c>
      <c r="B41" s="246" t="s">
        <v>118</v>
      </c>
      <c r="C41" s="247" t="s">
        <v>119</v>
      </c>
      <c r="D41" s="247" t="s">
        <v>137</v>
      </c>
      <c r="E41" s="247" t="s">
        <v>138</v>
      </c>
      <c r="F41" s="248"/>
      <c r="G41" s="247" t="s">
        <v>139</v>
      </c>
      <c r="H41" s="247" t="s">
        <v>140</v>
      </c>
      <c r="I41" s="248" t="s">
        <v>105</v>
      </c>
      <c r="J41" s="300" t="s">
        <v>106</v>
      </c>
      <c r="K41" s="314">
        <f t="shared" ref="K41:R41" si="128">-K40</f>
        <v>-468.66</v>
      </c>
      <c r="L41" s="309">
        <f t="shared" si="128"/>
        <v>-672105</v>
      </c>
      <c r="M41" s="315">
        <f t="shared" si="128"/>
        <v>-70.3</v>
      </c>
      <c r="N41" s="252">
        <f t="shared" si="128"/>
        <v>-100817</v>
      </c>
      <c r="O41" s="251">
        <f t="shared" si="128"/>
        <v>0</v>
      </c>
      <c r="P41" s="252">
        <f t="shared" si="128"/>
        <v>0</v>
      </c>
      <c r="Q41" s="251">
        <f t="shared" si="128"/>
        <v>-70.3</v>
      </c>
      <c r="R41" s="252">
        <f t="shared" si="128"/>
        <v>-100817</v>
      </c>
      <c r="S41" s="253">
        <v>1434.1</v>
      </c>
      <c r="T41" s="254">
        <v>15.0</v>
      </c>
      <c r="U41" s="255" t="s">
        <v>107</v>
      </c>
      <c r="V41" s="255"/>
      <c r="W41" s="304">
        <v>0.5793</v>
      </c>
      <c r="X41" s="304">
        <v>0.156589</v>
      </c>
      <c r="Y41" s="304">
        <v>0.422711</v>
      </c>
      <c r="Z41" s="305">
        <f>-Z40</f>
        <v>-809</v>
      </c>
      <c r="AA41" s="306">
        <f t="shared" si="129"/>
        <v>-468.6537</v>
      </c>
      <c r="AB41" s="307">
        <f t="shared" si="130"/>
        <v>-672096</v>
      </c>
      <c r="AC41" s="308">
        <f t="shared" si="131"/>
        <v>-468.6537</v>
      </c>
      <c r="AD41" s="309">
        <f t="shared" si="111"/>
        <v>-672096</v>
      </c>
      <c r="AE41" s="425"/>
      <c r="AF41" s="425"/>
      <c r="AG41" s="310">
        <f t="shared" si="112"/>
        <v>-341.97</v>
      </c>
      <c r="AH41" s="252">
        <f t="shared" si="113"/>
        <v>-490419</v>
      </c>
      <c r="AI41" s="306">
        <f t="shared" si="132"/>
        <v>-70.3</v>
      </c>
      <c r="AJ41" s="252">
        <f t="shared" si="133"/>
        <v>-100814</v>
      </c>
      <c r="AK41" s="426"/>
      <c r="AL41" s="426"/>
      <c r="AM41" s="426"/>
      <c r="AN41" s="426"/>
      <c r="AO41" s="426"/>
      <c r="AP41" s="426"/>
      <c r="AQ41" s="427"/>
      <c r="AR41" s="427"/>
      <c r="AS41" s="427"/>
      <c r="AT41" s="426"/>
      <c r="AU41" s="410"/>
      <c r="AV41" s="410"/>
      <c r="AW41" s="410"/>
      <c r="AX41" s="410"/>
      <c r="AY41" s="410"/>
      <c r="AZ41" s="410"/>
      <c r="BA41" s="410"/>
      <c r="BB41" s="410"/>
      <c r="BC41" s="410"/>
      <c r="BD41" s="410"/>
      <c r="BE41" s="410"/>
    </row>
    <row r="42" ht="12.75" customHeight="1">
      <c r="A42" s="256" t="s">
        <v>477</v>
      </c>
      <c r="B42" s="257" t="s">
        <v>118</v>
      </c>
      <c r="C42" s="258" t="s">
        <v>119</v>
      </c>
      <c r="D42" s="258" t="s">
        <v>137</v>
      </c>
      <c r="E42" s="258" t="s">
        <v>138</v>
      </c>
      <c r="F42" s="259"/>
      <c r="G42" s="258" t="s">
        <v>139</v>
      </c>
      <c r="H42" s="258" t="s">
        <v>140</v>
      </c>
      <c r="I42" s="259" t="s">
        <v>105</v>
      </c>
      <c r="J42" s="316" t="s">
        <v>106</v>
      </c>
      <c r="K42" s="317">
        <f>ROUND(M42/0.15,2)</f>
        <v>126.67</v>
      </c>
      <c r="L42" s="318">
        <f>ROUND(N42/0.15,0)</f>
        <v>181653</v>
      </c>
      <c r="M42" s="319">
        <f t="shared" ref="M42:N42" si="134">Q42</f>
        <v>19</v>
      </c>
      <c r="N42" s="261">
        <f t="shared" si="134"/>
        <v>27248</v>
      </c>
      <c r="O42" s="262">
        <v>51.3</v>
      </c>
      <c r="P42" s="263">
        <v>73569.0</v>
      </c>
      <c r="Q42" s="260">
        <f t="shared" ref="Q42:R42" si="135">M40-O42</f>
        <v>19</v>
      </c>
      <c r="R42" s="261">
        <f t="shared" si="135"/>
        <v>27248</v>
      </c>
      <c r="S42" s="264">
        <v>1434.1</v>
      </c>
      <c r="T42" s="265">
        <v>15.0</v>
      </c>
      <c r="U42" s="266" t="s">
        <v>107</v>
      </c>
      <c r="V42" s="266" t="s">
        <v>1287</v>
      </c>
      <c r="W42" s="320">
        <v>0.5793</v>
      </c>
      <c r="X42" s="320">
        <v>0.156589</v>
      </c>
      <c r="Y42" s="320">
        <v>0.422711</v>
      </c>
      <c r="Z42" s="321">
        <f>Z40</f>
        <v>809</v>
      </c>
      <c r="AA42" s="426"/>
      <c r="AB42" s="428"/>
      <c r="AC42" s="323">
        <f>IFERROR(ROUND(Z42*X42,2),0)</f>
        <v>126.68</v>
      </c>
      <c r="AD42" s="318">
        <f t="shared" si="111"/>
        <v>181672</v>
      </c>
      <c r="AE42" s="429"/>
      <c r="AF42" s="429"/>
      <c r="AG42" s="324">
        <f t="shared" si="112"/>
        <v>341.97</v>
      </c>
      <c r="AH42" s="261">
        <f t="shared" si="113"/>
        <v>490419</v>
      </c>
      <c r="AI42" s="426"/>
      <c r="AJ42" s="426"/>
      <c r="AK42" s="325">
        <f>ROUND(AC42*0.15,2)</f>
        <v>19</v>
      </c>
      <c r="AL42" s="261">
        <f>ROUND(AD42*0.15,0)</f>
        <v>27251</v>
      </c>
      <c r="AM42" s="325"/>
      <c r="AN42" s="325"/>
      <c r="AO42" s="325">
        <f>ROUND(AG42*0.15,2)</f>
        <v>51.3</v>
      </c>
      <c r="AP42" s="261">
        <f>ROUND(AH42*0.15,0)</f>
        <v>73563</v>
      </c>
      <c r="AQ42" s="326"/>
      <c r="AR42" s="326"/>
      <c r="AS42" s="326">
        <f>IFERROR(AC42/K42,IFERROR(AO42/O42,""))</f>
        <v>1.000078945</v>
      </c>
      <c r="AT42" s="426"/>
      <c r="AU42" s="410"/>
      <c r="AV42" s="410"/>
      <c r="AW42" s="410"/>
      <c r="AX42" s="410"/>
      <c r="AY42" s="410"/>
      <c r="AZ42" s="410"/>
      <c r="BA42" s="410"/>
      <c r="BB42" s="410"/>
      <c r="BC42" s="410"/>
      <c r="BD42" s="410"/>
      <c r="BE42" s="410"/>
    </row>
    <row r="43" ht="12.75" customHeight="1">
      <c r="A43" s="245" t="s">
        <v>479</v>
      </c>
      <c r="B43" s="246" t="s">
        <v>118</v>
      </c>
      <c r="C43" s="247" t="s">
        <v>119</v>
      </c>
      <c r="D43" s="247" t="s">
        <v>141</v>
      </c>
      <c r="E43" s="247" t="s">
        <v>142</v>
      </c>
      <c r="F43" s="248"/>
      <c r="G43" s="247" t="s">
        <v>143</v>
      </c>
      <c r="H43" s="247" t="s">
        <v>144</v>
      </c>
      <c r="I43" s="248" t="s">
        <v>105</v>
      </c>
      <c r="J43" s="300" t="s">
        <v>106</v>
      </c>
      <c r="K43" s="301">
        <v>20.02</v>
      </c>
      <c r="L43" s="302">
        <v>29203.0</v>
      </c>
      <c r="M43" s="303">
        <v>3.0</v>
      </c>
      <c r="N43" s="250">
        <v>4376.0</v>
      </c>
      <c r="O43" s="249">
        <v>0.0</v>
      </c>
      <c r="P43" s="250">
        <v>0.0</v>
      </c>
      <c r="Q43" s="251">
        <f t="shared" ref="Q43:R43" si="136">M43-O43</f>
        <v>3</v>
      </c>
      <c r="R43" s="252">
        <f t="shared" si="136"/>
        <v>4376</v>
      </c>
      <c r="S43" s="253">
        <v>1458.7</v>
      </c>
      <c r="T43" s="254">
        <v>15.0</v>
      </c>
      <c r="U43" s="255" t="s">
        <v>107</v>
      </c>
      <c r="V43" s="255"/>
      <c r="W43" s="304">
        <v>0.4767</v>
      </c>
      <c r="X43" s="304">
        <v>0.175664</v>
      </c>
      <c r="Y43" s="304">
        <v>0.301036</v>
      </c>
      <c r="Z43" s="305">
        <f>IFERROR(ROUND(K43/W43,0),0)</f>
        <v>42</v>
      </c>
      <c r="AA43" s="306">
        <f t="shared" ref="AA43:AA44" si="138">Z43*W43</f>
        <v>20.0214</v>
      </c>
      <c r="AB43" s="307">
        <f t="shared" ref="AB43:AB44" si="139">ROUND(AA43*S43,0)</f>
        <v>29205</v>
      </c>
      <c r="AC43" s="308">
        <f t="shared" ref="AC43:AC44" si="140">AA43</f>
        <v>20.0214</v>
      </c>
      <c r="AD43" s="309">
        <f t="shared" si="111"/>
        <v>29205</v>
      </c>
      <c r="AE43" s="425"/>
      <c r="AF43" s="425"/>
      <c r="AG43" s="310">
        <f t="shared" si="112"/>
        <v>12.64</v>
      </c>
      <c r="AH43" s="252">
        <f t="shared" si="113"/>
        <v>18438</v>
      </c>
      <c r="AI43" s="306">
        <f t="shared" ref="AI43:AI44" si="141">ROUND(AC43*0.15,2)</f>
        <v>3</v>
      </c>
      <c r="AJ43" s="252">
        <f t="shared" ref="AJ43:AJ44" si="142">ROUND(AD43*0.15,0)</f>
        <v>4381</v>
      </c>
      <c r="AK43" s="426"/>
      <c r="AL43" s="426"/>
      <c r="AM43" s="426"/>
      <c r="AN43" s="426"/>
      <c r="AO43" s="426"/>
      <c r="AP43" s="426"/>
      <c r="AQ43" s="427"/>
      <c r="AR43" s="427"/>
      <c r="AS43" s="427"/>
      <c r="AT43" s="426"/>
      <c r="AU43" s="410"/>
      <c r="AV43" s="410"/>
      <c r="AW43" s="410"/>
      <c r="AX43" s="410"/>
      <c r="AY43" s="410"/>
      <c r="AZ43" s="410"/>
      <c r="BA43" s="410"/>
      <c r="BB43" s="410"/>
      <c r="BC43" s="410"/>
      <c r="BD43" s="410"/>
      <c r="BE43" s="410"/>
    </row>
    <row r="44" ht="12.75" customHeight="1">
      <c r="A44" s="245" t="s">
        <v>480</v>
      </c>
      <c r="B44" s="246" t="s">
        <v>118</v>
      </c>
      <c r="C44" s="247" t="s">
        <v>119</v>
      </c>
      <c r="D44" s="247" t="s">
        <v>141</v>
      </c>
      <c r="E44" s="247" t="s">
        <v>142</v>
      </c>
      <c r="F44" s="248"/>
      <c r="G44" s="247" t="s">
        <v>143</v>
      </c>
      <c r="H44" s="247" t="s">
        <v>144</v>
      </c>
      <c r="I44" s="248" t="s">
        <v>105</v>
      </c>
      <c r="J44" s="300" t="s">
        <v>106</v>
      </c>
      <c r="K44" s="314">
        <f t="shared" ref="K44:R44" si="137">-K43</f>
        <v>-20.02</v>
      </c>
      <c r="L44" s="309">
        <f t="shared" si="137"/>
        <v>-29203</v>
      </c>
      <c r="M44" s="315">
        <f t="shared" si="137"/>
        <v>-3</v>
      </c>
      <c r="N44" s="252">
        <f t="shared" si="137"/>
        <v>-4376</v>
      </c>
      <c r="O44" s="251">
        <f t="shared" si="137"/>
        <v>0</v>
      </c>
      <c r="P44" s="252">
        <f t="shared" si="137"/>
        <v>0</v>
      </c>
      <c r="Q44" s="251">
        <f t="shared" si="137"/>
        <v>-3</v>
      </c>
      <c r="R44" s="252">
        <f t="shared" si="137"/>
        <v>-4376</v>
      </c>
      <c r="S44" s="253">
        <v>1458.7</v>
      </c>
      <c r="T44" s="254">
        <v>15.0</v>
      </c>
      <c r="U44" s="255" t="s">
        <v>107</v>
      </c>
      <c r="V44" s="255"/>
      <c r="W44" s="304">
        <v>0.4767</v>
      </c>
      <c r="X44" s="304">
        <v>0.175664</v>
      </c>
      <c r="Y44" s="304">
        <v>0.301036</v>
      </c>
      <c r="Z44" s="305">
        <f>-Z43</f>
        <v>-42</v>
      </c>
      <c r="AA44" s="306">
        <f t="shared" si="138"/>
        <v>-20.0214</v>
      </c>
      <c r="AB44" s="307">
        <f t="shared" si="139"/>
        <v>-29205</v>
      </c>
      <c r="AC44" s="308">
        <f t="shared" si="140"/>
        <v>-20.0214</v>
      </c>
      <c r="AD44" s="309">
        <f t="shared" si="111"/>
        <v>-29205</v>
      </c>
      <c r="AE44" s="425"/>
      <c r="AF44" s="425"/>
      <c r="AG44" s="310">
        <f t="shared" si="112"/>
        <v>-12.64</v>
      </c>
      <c r="AH44" s="252">
        <f t="shared" si="113"/>
        <v>-18438</v>
      </c>
      <c r="AI44" s="306">
        <f t="shared" si="141"/>
        <v>-3</v>
      </c>
      <c r="AJ44" s="252">
        <f t="shared" si="142"/>
        <v>-4381</v>
      </c>
      <c r="AK44" s="426"/>
      <c r="AL44" s="426"/>
      <c r="AM44" s="426"/>
      <c r="AN44" s="426"/>
      <c r="AO44" s="426"/>
      <c r="AP44" s="426"/>
      <c r="AQ44" s="427"/>
      <c r="AR44" s="427"/>
      <c r="AS44" s="427"/>
      <c r="AT44" s="426"/>
      <c r="AU44" s="410"/>
      <c r="AV44" s="410"/>
      <c r="AW44" s="410"/>
      <c r="AX44" s="410"/>
      <c r="AY44" s="410"/>
      <c r="AZ44" s="410"/>
      <c r="BA44" s="410"/>
      <c r="BB44" s="410"/>
      <c r="BC44" s="410"/>
      <c r="BD44" s="410"/>
      <c r="BE44" s="410"/>
    </row>
    <row r="45" ht="12.75" customHeight="1">
      <c r="A45" s="256" t="s">
        <v>481</v>
      </c>
      <c r="B45" s="257" t="s">
        <v>118</v>
      </c>
      <c r="C45" s="258" t="s">
        <v>119</v>
      </c>
      <c r="D45" s="258" t="s">
        <v>141</v>
      </c>
      <c r="E45" s="258" t="s">
        <v>142</v>
      </c>
      <c r="F45" s="259"/>
      <c r="G45" s="258" t="s">
        <v>143</v>
      </c>
      <c r="H45" s="258" t="s">
        <v>144</v>
      </c>
      <c r="I45" s="259" t="s">
        <v>105</v>
      </c>
      <c r="J45" s="316" t="s">
        <v>106</v>
      </c>
      <c r="K45" s="317">
        <f>ROUND(M45/0.15,2)</f>
        <v>7.33</v>
      </c>
      <c r="L45" s="318">
        <f>ROUND(N45/0.15,0)</f>
        <v>10693</v>
      </c>
      <c r="M45" s="319">
        <f t="shared" ref="M45:N45" si="143">Q45</f>
        <v>1.1</v>
      </c>
      <c r="N45" s="261">
        <f t="shared" si="143"/>
        <v>1604</v>
      </c>
      <c r="O45" s="262">
        <v>1.9</v>
      </c>
      <c r="P45" s="263">
        <v>2772.0</v>
      </c>
      <c r="Q45" s="260">
        <f t="shared" ref="Q45:R45" si="144">M43-O45</f>
        <v>1.1</v>
      </c>
      <c r="R45" s="261">
        <f t="shared" si="144"/>
        <v>1604</v>
      </c>
      <c r="S45" s="264">
        <v>1458.7</v>
      </c>
      <c r="T45" s="265">
        <v>15.0</v>
      </c>
      <c r="U45" s="266" t="s">
        <v>107</v>
      </c>
      <c r="V45" s="266" t="s">
        <v>1288</v>
      </c>
      <c r="W45" s="320">
        <v>0.4767</v>
      </c>
      <c r="X45" s="320">
        <v>0.175664</v>
      </c>
      <c r="Y45" s="320">
        <v>0.301036</v>
      </c>
      <c r="Z45" s="321">
        <f>Z43</f>
        <v>42</v>
      </c>
      <c r="AA45" s="426"/>
      <c r="AB45" s="428"/>
      <c r="AC45" s="323">
        <f>IFERROR(ROUND(Z45*X45,2),0)</f>
        <v>7.38</v>
      </c>
      <c r="AD45" s="318">
        <f t="shared" si="111"/>
        <v>10765</v>
      </c>
      <c r="AE45" s="429"/>
      <c r="AF45" s="429"/>
      <c r="AG45" s="324">
        <f t="shared" si="112"/>
        <v>12.64</v>
      </c>
      <c r="AH45" s="261">
        <f t="shared" si="113"/>
        <v>18438</v>
      </c>
      <c r="AI45" s="426"/>
      <c r="AJ45" s="426"/>
      <c r="AK45" s="325">
        <f>ROUND(AC45*0.15,2)</f>
        <v>1.11</v>
      </c>
      <c r="AL45" s="261">
        <f>ROUND(AD45*0.15,0)</f>
        <v>1615</v>
      </c>
      <c r="AM45" s="325"/>
      <c r="AN45" s="325"/>
      <c r="AO45" s="325">
        <f>ROUND(AG45*0.15,2)</f>
        <v>1.9</v>
      </c>
      <c r="AP45" s="261">
        <f>ROUND(AH45*0.15,0)</f>
        <v>2766</v>
      </c>
      <c r="AQ45" s="326"/>
      <c r="AR45" s="326"/>
      <c r="AS45" s="326">
        <f>IFERROR(AC45/K45,IFERROR(AO45/O45,""))</f>
        <v>1.006821282</v>
      </c>
      <c r="AT45" s="426"/>
      <c r="AU45" s="410"/>
      <c r="AV45" s="410"/>
      <c r="AW45" s="410"/>
      <c r="AX45" s="410"/>
      <c r="AY45" s="410"/>
      <c r="AZ45" s="410"/>
      <c r="BA45" s="410"/>
      <c r="BB45" s="410"/>
      <c r="BC45" s="410"/>
      <c r="BD45" s="410"/>
      <c r="BE45" s="410"/>
    </row>
    <row r="46" ht="12.75" customHeight="1">
      <c r="A46" s="245" t="s">
        <v>483</v>
      </c>
      <c r="B46" s="246" t="s">
        <v>118</v>
      </c>
      <c r="C46" s="247" t="s">
        <v>119</v>
      </c>
      <c r="D46" s="247" t="s">
        <v>141</v>
      </c>
      <c r="E46" s="247" t="s">
        <v>142</v>
      </c>
      <c r="F46" s="248"/>
      <c r="G46" s="247" t="s">
        <v>127</v>
      </c>
      <c r="H46" s="247" t="s">
        <v>128</v>
      </c>
      <c r="I46" s="248" t="s">
        <v>105</v>
      </c>
      <c r="J46" s="300" t="s">
        <v>106</v>
      </c>
      <c r="K46" s="301">
        <v>77.36</v>
      </c>
      <c r="L46" s="302">
        <v>112845.0</v>
      </c>
      <c r="M46" s="303">
        <v>11.6</v>
      </c>
      <c r="N46" s="250">
        <v>16920.0</v>
      </c>
      <c r="O46" s="249">
        <v>0.0</v>
      </c>
      <c r="P46" s="250">
        <v>0.0</v>
      </c>
      <c r="Q46" s="251">
        <f t="shared" ref="Q46:R46" si="145">M46-O46</f>
        <v>11.6</v>
      </c>
      <c r="R46" s="252">
        <f t="shared" si="145"/>
        <v>16920</v>
      </c>
      <c r="S46" s="253">
        <v>1458.7</v>
      </c>
      <c r="T46" s="254">
        <v>15.0</v>
      </c>
      <c r="U46" s="255" t="s">
        <v>107</v>
      </c>
      <c r="V46" s="255"/>
      <c r="W46" s="304">
        <v>1.6118</v>
      </c>
      <c r="X46" s="304">
        <v>0.763226</v>
      </c>
      <c r="Y46" s="304">
        <v>0.848574</v>
      </c>
      <c r="Z46" s="305">
        <f>IFERROR(ROUND(K46/W46,0),0)</f>
        <v>48</v>
      </c>
      <c r="AA46" s="306">
        <f t="shared" ref="AA46:AA47" si="147">Z46*W46</f>
        <v>77.3664</v>
      </c>
      <c r="AB46" s="307">
        <f t="shared" ref="AB46:AB47" si="148">ROUND(AA46*S46,0)</f>
        <v>112854</v>
      </c>
      <c r="AC46" s="308">
        <f t="shared" ref="AC46:AC47" si="149">AA46</f>
        <v>77.3664</v>
      </c>
      <c r="AD46" s="309">
        <f t="shared" si="111"/>
        <v>112854</v>
      </c>
      <c r="AE46" s="425"/>
      <c r="AF46" s="425"/>
      <c r="AG46" s="310">
        <f t="shared" si="112"/>
        <v>40.73</v>
      </c>
      <c r="AH46" s="252">
        <f t="shared" si="113"/>
        <v>59413</v>
      </c>
      <c r="AI46" s="306">
        <f t="shared" ref="AI46:AI47" si="150">ROUND(AC46*0.15,2)</f>
        <v>11.6</v>
      </c>
      <c r="AJ46" s="252">
        <f t="shared" ref="AJ46:AJ47" si="151">ROUND(AD46*0.15,0)</f>
        <v>16928</v>
      </c>
      <c r="AK46" s="426"/>
      <c r="AL46" s="426"/>
      <c r="AM46" s="426"/>
      <c r="AN46" s="426"/>
      <c r="AO46" s="426"/>
      <c r="AP46" s="426"/>
      <c r="AQ46" s="427"/>
      <c r="AR46" s="427"/>
      <c r="AS46" s="427"/>
      <c r="AT46" s="426"/>
      <c r="AU46" s="410"/>
      <c r="AV46" s="410"/>
      <c r="AW46" s="410"/>
      <c r="AX46" s="410"/>
      <c r="AY46" s="410"/>
      <c r="AZ46" s="410"/>
      <c r="BA46" s="410"/>
      <c r="BB46" s="410"/>
      <c r="BC46" s="410"/>
      <c r="BD46" s="410"/>
      <c r="BE46" s="410"/>
    </row>
    <row r="47" ht="12.75" customHeight="1">
      <c r="A47" s="245" t="s">
        <v>484</v>
      </c>
      <c r="B47" s="246" t="s">
        <v>118</v>
      </c>
      <c r="C47" s="247" t="s">
        <v>119</v>
      </c>
      <c r="D47" s="247" t="s">
        <v>141</v>
      </c>
      <c r="E47" s="247" t="s">
        <v>142</v>
      </c>
      <c r="F47" s="248"/>
      <c r="G47" s="247" t="s">
        <v>127</v>
      </c>
      <c r="H47" s="247" t="s">
        <v>128</v>
      </c>
      <c r="I47" s="248" t="s">
        <v>105</v>
      </c>
      <c r="J47" s="300" t="s">
        <v>106</v>
      </c>
      <c r="K47" s="314">
        <f t="shared" ref="K47:R47" si="146">-K46</f>
        <v>-77.36</v>
      </c>
      <c r="L47" s="309">
        <f t="shared" si="146"/>
        <v>-112845</v>
      </c>
      <c r="M47" s="315">
        <f t="shared" si="146"/>
        <v>-11.6</v>
      </c>
      <c r="N47" s="252">
        <f t="shared" si="146"/>
        <v>-16920</v>
      </c>
      <c r="O47" s="251">
        <f t="shared" si="146"/>
        <v>0</v>
      </c>
      <c r="P47" s="252">
        <f t="shared" si="146"/>
        <v>0</v>
      </c>
      <c r="Q47" s="251">
        <f t="shared" si="146"/>
        <v>-11.6</v>
      </c>
      <c r="R47" s="252">
        <f t="shared" si="146"/>
        <v>-16920</v>
      </c>
      <c r="S47" s="253">
        <v>1458.7</v>
      </c>
      <c r="T47" s="254">
        <v>15.0</v>
      </c>
      <c r="U47" s="255" t="s">
        <v>107</v>
      </c>
      <c r="V47" s="255"/>
      <c r="W47" s="304">
        <v>1.6118</v>
      </c>
      <c r="X47" s="304">
        <v>0.763226</v>
      </c>
      <c r="Y47" s="304">
        <v>0.848574</v>
      </c>
      <c r="Z47" s="305">
        <f>-Z46</f>
        <v>-48</v>
      </c>
      <c r="AA47" s="306">
        <f t="shared" si="147"/>
        <v>-77.3664</v>
      </c>
      <c r="AB47" s="307">
        <f t="shared" si="148"/>
        <v>-112854</v>
      </c>
      <c r="AC47" s="308">
        <f t="shared" si="149"/>
        <v>-77.3664</v>
      </c>
      <c r="AD47" s="309">
        <f t="shared" si="111"/>
        <v>-112854</v>
      </c>
      <c r="AE47" s="425"/>
      <c r="AF47" s="425"/>
      <c r="AG47" s="310">
        <f t="shared" si="112"/>
        <v>-40.73</v>
      </c>
      <c r="AH47" s="252">
        <f t="shared" si="113"/>
        <v>-59413</v>
      </c>
      <c r="AI47" s="306">
        <f t="shared" si="150"/>
        <v>-11.6</v>
      </c>
      <c r="AJ47" s="252">
        <f t="shared" si="151"/>
        <v>-16928</v>
      </c>
      <c r="AK47" s="426"/>
      <c r="AL47" s="426"/>
      <c r="AM47" s="426"/>
      <c r="AN47" s="426"/>
      <c r="AO47" s="426"/>
      <c r="AP47" s="426"/>
      <c r="AQ47" s="427"/>
      <c r="AR47" s="427"/>
      <c r="AS47" s="427"/>
      <c r="AT47" s="426"/>
      <c r="AU47" s="410"/>
      <c r="AV47" s="410"/>
      <c r="AW47" s="410"/>
      <c r="AX47" s="410"/>
      <c r="AY47" s="410"/>
      <c r="AZ47" s="410"/>
      <c r="BA47" s="410"/>
      <c r="BB47" s="410"/>
      <c r="BC47" s="410"/>
      <c r="BD47" s="410"/>
      <c r="BE47" s="410"/>
    </row>
    <row r="48" ht="12.75" customHeight="1">
      <c r="A48" s="256" t="s">
        <v>485</v>
      </c>
      <c r="B48" s="257" t="s">
        <v>118</v>
      </c>
      <c r="C48" s="258" t="s">
        <v>119</v>
      </c>
      <c r="D48" s="258" t="s">
        <v>141</v>
      </c>
      <c r="E48" s="258" t="s">
        <v>142</v>
      </c>
      <c r="F48" s="259"/>
      <c r="G48" s="258" t="s">
        <v>127</v>
      </c>
      <c r="H48" s="258" t="s">
        <v>128</v>
      </c>
      <c r="I48" s="259" t="s">
        <v>105</v>
      </c>
      <c r="J48" s="316" t="s">
        <v>106</v>
      </c>
      <c r="K48" s="317">
        <f>ROUND(M48/0.15,2)</f>
        <v>36.6</v>
      </c>
      <c r="L48" s="318">
        <f>ROUND(N48/0.15,0)</f>
        <v>53380</v>
      </c>
      <c r="M48" s="319">
        <f t="shared" ref="M48:N48" si="152">Q48</f>
        <v>5.49</v>
      </c>
      <c r="N48" s="261">
        <f t="shared" si="152"/>
        <v>8007</v>
      </c>
      <c r="O48" s="262">
        <v>6.11</v>
      </c>
      <c r="P48" s="263">
        <v>8913.0</v>
      </c>
      <c r="Q48" s="260">
        <f t="shared" ref="Q48:R48" si="153">M46-O48</f>
        <v>5.49</v>
      </c>
      <c r="R48" s="261">
        <f t="shared" si="153"/>
        <v>8007</v>
      </c>
      <c r="S48" s="264">
        <v>1458.7</v>
      </c>
      <c r="T48" s="265">
        <v>15.0</v>
      </c>
      <c r="U48" s="266" t="s">
        <v>107</v>
      </c>
      <c r="V48" s="266" t="s">
        <v>1289</v>
      </c>
      <c r="W48" s="320">
        <v>1.6118</v>
      </c>
      <c r="X48" s="320">
        <v>0.763226</v>
      </c>
      <c r="Y48" s="320">
        <v>0.848574</v>
      </c>
      <c r="Z48" s="321">
        <f>Z46</f>
        <v>48</v>
      </c>
      <c r="AA48" s="426"/>
      <c r="AB48" s="428"/>
      <c r="AC48" s="323">
        <f>IFERROR(ROUND(Z48*X48,2),0)</f>
        <v>36.63</v>
      </c>
      <c r="AD48" s="318">
        <f t="shared" si="111"/>
        <v>53432</v>
      </c>
      <c r="AE48" s="429"/>
      <c r="AF48" s="429"/>
      <c r="AG48" s="324">
        <f t="shared" si="112"/>
        <v>40.73</v>
      </c>
      <c r="AH48" s="261">
        <f t="shared" si="113"/>
        <v>59413</v>
      </c>
      <c r="AI48" s="426"/>
      <c r="AJ48" s="426"/>
      <c r="AK48" s="325">
        <f>ROUND(AC48*0.15,2)</f>
        <v>5.49</v>
      </c>
      <c r="AL48" s="261">
        <f>ROUND(AD48*0.15,0)</f>
        <v>8015</v>
      </c>
      <c r="AM48" s="325"/>
      <c r="AN48" s="325"/>
      <c r="AO48" s="325">
        <f>ROUND(AG48*0.15,2)</f>
        <v>6.11</v>
      </c>
      <c r="AP48" s="261">
        <f>ROUND(AH48*0.15,0)</f>
        <v>8912</v>
      </c>
      <c r="AQ48" s="326"/>
      <c r="AR48" s="326"/>
      <c r="AS48" s="326">
        <f>IFERROR(AC48/K48,IFERROR(AO48/O48,""))</f>
        <v>1.000819672</v>
      </c>
      <c r="AT48" s="426"/>
      <c r="AU48" s="410"/>
      <c r="AV48" s="410"/>
      <c r="AW48" s="410"/>
      <c r="AX48" s="410"/>
      <c r="AY48" s="410"/>
      <c r="AZ48" s="410"/>
      <c r="BA48" s="410"/>
      <c r="BB48" s="410"/>
      <c r="BC48" s="410"/>
      <c r="BD48" s="410"/>
      <c r="BE48" s="410"/>
    </row>
    <row r="49" ht="12.75" customHeight="1">
      <c r="A49" s="245" t="s">
        <v>487</v>
      </c>
      <c r="B49" s="246" t="s">
        <v>118</v>
      </c>
      <c r="C49" s="247" t="s">
        <v>119</v>
      </c>
      <c r="D49" s="247" t="s">
        <v>145</v>
      </c>
      <c r="E49" s="247" t="s">
        <v>145</v>
      </c>
      <c r="F49" s="248"/>
      <c r="G49" s="247" t="s">
        <v>116</v>
      </c>
      <c r="H49" s="247" t="s">
        <v>117</v>
      </c>
      <c r="I49" s="248" t="s">
        <v>105</v>
      </c>
      <c r="J49" s="300" t="s">
        <v>106</v>
      </c>
      <c r="K49" s="301">
        <v>486.89</v>
      </c>
      <c r="L49" s="302">
        <v>701900.0</v>
      </c>
      <c r="M49" s="303">
        <v>73.03</v>
      </c>
      <c r="N49" s="250">
        <v>105280.0</v>
      </c>
      <c r="O49" s="249">
        <v>0.0</v>
      </c>
      <c r="P49" s="250">
        <v>0.0</v>
      </c>
      <c r="Q49" s="251">
        <f t="shared" ref="Q49:R49" si="154">M49-O49</f>
        <v>73.03</v>
      </c>
      <c r="R49" s="252">
        <f t="shared" si="154"/>
        <v>105280</v>
      </c>
      <c r="S49" s="253">
        <v>1441.6</v>
      </c>
      <c r="T49" s="254">
        <v>15.0</v>
      </c>
      <c r="U49" s="255" t="s">
        <v>107</v>
      </c>
      <c r="V49" s="255"/>
      <c r="W49" s="304">
        <v>0.544737</v>
      </c>
      <c r="X49" s="304">
        <v>0.544737</v>
      </c>
      <c r="Y49" s="304">
        <v>0.0</v>
      </c>
      <c r="Z49" s="305">
        <f>IFERROR(ROUND(K49/W49,0),0)</f>
        <v>894</v>
      </c>
      <c r="AA49" s="306">
        <f t="shared" ref="AA49:AA50" si="156">Z49*W49</f>
        <v>486.994878</v>
      </c>
      <c r="AB49" s="307">
        <f t="shared" ref="AB49:AB50" si="157">ROUND(AA49*S49,0)</f>
        <v>702052</v>
      </c>
      <c r="AC49" s="308">
        <f t="shared" ref="AC49:AC50" si="158">AA49</f>
        <v>486.994878</v>
      </c>
      <c r="AD49" s="309">
        <f t="shared" si="111"/>
        <v>702052</v>
      </c>
      <c r="AE49" s="425"/>
      <c r="AF49" s="425"/>
      <c r="AG49" s="310">
        <f t="shared" si="112"/>
        <v>0</v>
      </c>
      <c r="AH49" s="252">
        <f t="shared" si="113"/>
        <v>0</v>
      </c>
      <c r="AI49" s="306">
        <f t="shared" ref="AI49:AI50" si="159">ROUND(AC49*0.15,2)</f>
        <v>73.05</v>
      </c>
      <c r="AJ49" s="252">
        <f t="shared" ref="AJ49:AJ50" si="160">ROUND(AD49*0.15,0)</f>
        <v>105308</v>
      </c>
      <c r="AK49" s="426"/>
      <c r="AL49" s="426"/>
      <c r="AM49" s="426"/>
      <c r="AN49" s="426"/>
      <c r="AO49" s="426"/>
      <c r="AP49" s="426"/>
      <c r="AQ49" s="427"/>
      <c r="AR49" s="427"/>
      <c r="AS49" s="427"/>
      <c r="AT49" s="430" t="s">
        <v>1274</v>
      </c>
      <c r="AU49" s="431"/>
      <c r="AV49" s="431"/>
      <c r="AW49" s="431"/>
      <c r="AX49" s="431"/>
      <c r="AY49" s="431"/>
      <c r="AZ49" s="431"/>
      <c r="BA49" s="431"/>
      <c r="BB49" s="431"/>
      <c r="BC49" s="431"/>
      <c r="BD49" s="431"/>
      <c r="BE49" s="431"/>
    </row>
    <row r="50" ht="12.75" customHeight="1">
      <c r="A50" s="245" t="s">
        <v>488</v>
      </c>
      <c r="B50" s="246" t="s">
        <v>118</v>
      </c>
      <c r="C50" s="247" t="s">
        <v>119</v>
      </c>
      <c r="D50" s="247" t="s">
        <v>145</v>
      </c>
      <c r="E50" s="247" t="s">
        <v>145</v>
      </c>
      <c r="F50" s="248"/>
      <c r="G50" s="247" t="s">
        <v>116</v>
      </c>
      <c r="H50" s="247" t="s">
        <v>117</v>
      </c>
      <c r="I50" s="248" t="s">
        <v>105</v>
      </c>
      <c r="J50" s="300" t="s">
        <v>106</v>
      </c>
      <c r="K50" s="314">
        <f t="shared" ref="K50:R50" si="155">-K49</f>
        <v>-486.89</v>
      </c>
      <c r="L50" s="309">
        <f t="shared" si="155"/>
        <v>-701900</v>
      </c>
      <c r="M50" s="315">
        <f t="shared" si="155"/>
        <v>-73.03</v>
      </c>
      <c r="N50" s="252">
        <f t="shared" si="155"/>
        <v>-105280</v>
      </c>
      <c r="O50" s="251">
        <f t="shared" si="155"/>
        <v>0</v>
      </c>
      <c r="P50" s="252">
        <f t="shared" si="155"/>
        <v>0</v>
      </c>
      <c r="Q50" s="251">
        <f t="shared" si="155"/>
        <v>-73.03</v>
      </c>
      <c r="R50" s="252">
        <f t="shared" si="155"/>
        <v>-105280</v>
      </c>
      <c r="S50" s="253">
        <v>1441.6</v>
      </c>
      <c r="T50" s="254">
        <v>15.0</v>
      </c>
      <c r="U50" s="255" t="s">
        <v>107</v>
      </c>
      <c r="V50" s="255"/>
      <c r="W50" s="304">
        <v>0.544737</v>
      </c>
      <c r="X50" s="304">
        <v>0.544737</v>
      </c>
      <c r="Y50" s="304">
        <v>0.0</v>
      </c>
      <c r="Z50" s="305">
        <f>-Z49</f>
        <v>-894</v>
      </c>
      <c r="AA50" s="306">
        <f t="shared" si="156"/>
        <v>-486.994878</v>
      </c>
      <c r="AB50" s="307">
        <f t="shared" si="157"/>
        <v>-702052</v>
      </c>
      <c r="AC50" s="308">
        <f t="shared" si="158"/>
        <v>-486.994878</v>
      </c>
      <c r="AD50" s="309">
        <f t="shared" si="111"/>
        <v>-702052</v>
      </c>
      <c r="AE50" s="425"/>
      <c r="AF50" s="425"/>
      <c r="AG50" s="310">
        <f t="shared" si="112"/>
        <v>0</v>
      </c>
      <c r="AH50" s="252">
        <f t="shared" si="113"/>
        <v>0</v>
      </c>
      <c r="AI50" s="306">
        <f t="shared" si="159"/>
        <v>-73.05</v>
      </c>
      <c r="AJ50" s="252">
        <f t="shared" si="160"/>
        <v>-105308</v>
      </c>
      <c r="AK50" s="426"/>
      <c r="AL50" s="426"/>
      <c r="AM50" s="426"/>
      <c r="AN50" s="426"/>
      <c r="AO50" s="426"/>
      <c r="AP50" s="426"/>
      <c r="AQ50" s="427"/>
      <c r="AR50" s="427"/>
      <c r="AS50" s="427"/>
      <c r="AT50" s="430" t="s">
        <v>1274</v>
      </c>
      <c r="AU50" s="431"/>
      <c r="AV50" s="431"/>
      <c r="AW50" s="431"/>
      <c r="AX50" s="431"/>
      <c r="AY50" s="431"/>
      <c r="AZ50" s="431"/>
      <c r="BA50" s="431"/>
      <c r="BB50" s="431"/>
      <c r="BC50" s="431"/>
      <c r="BD50" s="431"/>
      <c r="BE50" s="431"/>
    </row>
    <row r="51" ht="12.75" customHeight="1">
      <c r="A51" s="256" t="s">
        <v>489</v>
      </c>
      <c r="B51" s="257" t="s">
        <v>118</v>
      </c>
      <c r="C51" s="258" t="s">
        <v>119</v>
      </c>
      <c r="D51" s="258" t="s">
        <v>145</v>
      </c>
      <c r="E51" s="258" t="s">
        <v>145</v>
      </c>
      <c r="F51" s="259"/>
      <c r="G51" s="258" t="s">
        <v>116</v>
      </c>
      <c r="H51" s="258" t="s">
        <v>117</v>
      </c>
      <c r="I51" s="259" t="s">
        <v>105</v>
      </c>
      <c r="J51" s="316" t="s">
        <v>106</v>
      </c>
      <c r="K51" s="317">
        <f>ROUND(M51/0.15,2)</f>
        <v>463.33</v>
      </c>
      <c r="L51" s="318">
        <f>ROUND(N51/0.15,0)</f>
        <v>667940</v>
      </c>
      <c r="M51" s="319">
        <f t="shared" ref="M51:N51" si="161">Q51</f>
        <v>69.5</v>
      </c>
      <c r="N51" s="261">
        <f t="shared" si="161"/>
        <v>100191</v>
      </c>
      <c r="O51" s="262">
        <v>3.53</v>
      </c>
      <c r="P51" s="263">
        <v>5089.0</v>
      </c>
      <c r="Q51" s="260">
        <f t="shared" ref="Q51:R51" si="162">M49-O51</f>
        <v>69.5</v>
      </c>
      <c r="R51" s="261">
        <f t="shared" si="162"/>
        <v>100191</v>
      </c>
      <c r="S51" s="264">
        <v>1441.6</v>
      </c>
      <c r="T51" s="265">
        <v>15.0</v>
      </c>
      <c r="U51" s="266" t="s">
        <v>107</v>
      </c>
      <c r="V51" s="266" t="s">
        <v>1290</v>
      </c>
      <c r="W51" s="320">
        <v>0.544737</v>
      </c>
      <c r="X51" s="320">
        <v>0.544737</v>
      </c>
      <c r="Y51" s="320">
        <v>0.0</v>
      </c>
      <c r="Z51" s="321">
        <f>Z49</f>
        <v>894</v>
      </c>
      <c r="AA51" s="426"/>
      <c r="AB51" s="428"/>
      <c r="AC51" s="432">
        <f t="shared" ref="AC51:AD51" si="163">K51</f>
        <v>463.33</v>
      </c>
      <c r="AD51" s="433">
        <f t="shared" si="163"/>
        <v>667940</v>
      </c>
      <c r="AE51" s="434"/>
      <c r="AF51" s="434"/>
      <c r="AG51" s="348">
        <f t="shared" ref="AG51:AH51" si="164">round(AO51/0.15,2)</f>
        <v>23.53</v>
      </c>
      <c r="AH51" s="348">
        <f t="shared" si="164"/>
        <v>33926.67</v>
      </c>
      <c r="AI51" s="435"/>
      <c r="AJ51" s="435"/>
      <c r="AK51" s="436">
        <f>ROUND(AC51*0.15,2)</f>
        <v>69.5</v>
      </c>
      <c r="AL51" s="437">
        <f>ROUND(AD51*0.15,0)</f>
        <v>100191</v>
      </c>
      <c r="AM51" s="436"/>
      <c r="AN51" s="436"/>
      <c r="AO51" s="436">
        <f t="shared" ref="AO51:AP51" si="165">O51</f>
        <v>3.53</v>
      </c>
      <c r="AP51" s="436">
        <f t="shared" si="165"/>
        <v>5089</v>
      </c>
      <c r="AQ51" s="438"/>
      <c r="AR51" s="438"/>
      <c r="AS51" s="438">
        <f>IFERROR(AC51/K51,IFERROR(AO51/O51,""))</f>
        <v>1</v>
      </c>
      <c r="AT51" s="430" t="s">
        <v>1274</v>
      </c>
      <c r="AU51" s="431"/>
      <c r="AV51" s="431"/>
      <c r="AW51" s="431"/>
      <c r="AX51" s="431"/>
      <c r="AY51" s="431"/>
      <c r="AZ51" s="431"/>
      <c r="BA51" s="431"/>
      <c r="BB51" s="431"/>
      <c r="BC51" s="431"/>
      <c r="BD51" s="431"/>
      <c r="BE51" s="431"/>
    </row>
    <row r="52" ht="12.75" customHeight="1">
      <c r="A52" s="439" t="s">
        <v>1291</v>
      </c>
      <c r="B52" s="440" t="str">
        <f t="shared" ref="B52:J52" si="166">B51</f>
        <v>미래에셋증권</v>
      </c>
      <c r="C52" s="441" t="str">
        <f t="shared" si="166"/>
        <v>584-2176-0816-0</v>
      </c>
      <c r="D52" s="441" t="str">
        <f t="shared" si="166"/>
        <v>2025-03-07</v>
      </c>
      <c r="E52" s="441" t="str">
        <f t="shared" si="166"/>
        <v>2025-03-07</v>
      </c>
      <c r="F52" s="441" t="str">
        <f t="shared" si="166"/>
        <v/>
      </c>
      <c r="G52" s="441" t="str">
        <f t="shared" si="166"/>
        <v>BITO</v>
      </c>
      <c r="H52" s="441" t="str">
        <f t="shared" si="166"/>
        <v>PROSHARES BITCOIN ETF</v>
      </c>
      <c r="I52" s="441" t="str">
        <f t="shared" si="166"/>
        <v>배당소득</v>
      </c>
      <c r="J52" s="440" t="str">
        <f t="shared" si="166"/>
        <v>USD</v>
      </c>
      <c r="K52" s="442"/>
      <c r="L52" s="443"/>
      <c r="M52" s="444"/>
      <c r="N52" s="445"/>
      <c r="O52" s="446"/>
      <c r="P52" s="447"/>
      <c r="Q52" s="446"/>
      <c r="R52" s="448"/>
      <c r="S52" s="449"/>
      <c r="T52" s="450"/>
      <c r="U52" s="451"/>
      <c r="V52" s="451"/>
      <c r="W52" s="452"/>
      <c r="X52" s="452"/>
      <c r="Y52" s="452"/>
      <c r="Z52" s="448"/>
      <c r="AA52" s="446"/>
      <c r="AB52" s="453"/>
      <c r="AC52" s="454"/>
      <c r="AD52" s="455"/>
      <c r="AE52" s="456"/>
      <c r="AF52" s="457"/>
      <c r="AG52" s="458">
        <f>IFERROR(ROUND(AO52/0.15,2),0)</f>
        <v>-23.53</v>
      </c>
      <c r="AH52" s="458">
        <f>IFERROR(ROUND(AP52/0.15,0),0)</f>
        <v>-33927</v>
      </c>
      <c r="AI52" s="457"/>
      <c r="AJ52" s="459"/>
      <c r="AK52" s="457"/>
      <c r="AL52" s="459"/>
      <c r="AM52" s="457"/>
      <c r="AN52" s="457"/>
      <c r="AO52" s="460">
        <f t="shared" ref="AO52:AP52" si="167">-AO51</f>
        <v>-3.53</v>
      </c>
      <c r="AP52" s="460">
        <f t="shared" si="167"/>
        <v>-5089</v>
      </c>
      <c r="AQ52" s="459"/>
      <c r="AR52" s="459"/>
      <c r="AS52" s="459"/>
      <c r="AT52" s="430" t="s">
        <v>1274</v>
      </c>
      <c r="AU52" s="431"/>
      <c r="AV52" s="431"/>
      <c r="AW52" s="431"/>
      <c r="AX52" s="431"/>
      <c r="AY52" s="431"/>
      <c r="AZ52" s="431"/>
      <c r="BA52" s="431"/>
      <c r="BB52" s="431"/>
      <c r="BC52" s="431"/>
      <c r="BD52" s="431"/>
      <c r="BE52" s="431"/>
    </row>
    <row r="53" ht="12.75" customHeight="1">
      <c r="A53" s="439" t="s">
        <v>1292</v>
      </c>
      <c r="B53" s="440" t="str">
        <f t="shared" ref="B53:J53" si="168">B52</f>
        <v>미래에셋증권</v>
      </c>
      <c r="C53" s="441" t="str">
        <f t="shared" si="168"/>
        <v>584-2176-0816-0</v>
      </c>
      <c r="D53" s="441" t="str">
        <f t="shared" si="168"/>
        <v>2025-03-07</v>
      </c>
      <c r="E53" s="441" t="str">
        <f t="shared" si="168"/>
        <v>2025-03-07</v>
      </c>
      <c r="F53" s="441" t="str">
        <f t="shared" si="168"/>
        <v/>
      </c>
      <c r="G53" s="441" t="str">
        <f t="shared" si="168"/>
        <v>BITO</v>
      </c>
      <c r="H53" s="441" t="str">
        <f t="shared" si="168"/>
        <v>PROSHARES BITCOIN ETF</v>
      </c>
      <c r="I53" s="441" t="str">
        <f t="shared" si="168"/>
        <v>배당소득</v>
      </c>
      <c r="J53" s="440" t="str">
        <f t="shared" si="168"/>
        <v>USD</v>
      </c>
      <c r="K53" s="442"/>
      <c r="L53" s="443"/>
      <c r="M53" s="444"/>
      <c r="N53" s="445"/>
      <c r="O53" s="446"/>
      <c r="P53" s="447"/>
      <c r="Q53" s="446"/>
      <c r="R53" s="448"/>
      <c r="S53" s="449"/>
      <c r="T53" s="450"/>
      <c r="U53" s="451"/>
      <c r="V53" s="451"/>
      <c r="W53" s="452"/>
      <c r="X53" s="452"/>
      <c r="Y53" s="452"/>
      <c r="Z53" s="448"/>
      <c r="AA53" s="446"/>
      <c r="AB53" s="453"/>
      <c r="AC53" s="454"/>
      <c r="AD53" s="461"/>
      <c r="AE53" s="462">
        <f>IFERROR(ROUND(AM53/0.15,2),0)</f>
        <v>23.53</v>
      </c>
      <c r="AF53" s="458">
        <f>IFERROR(ROUND(AN53/0.15,0),0)</f>
        <v>33927</v>
      </c>
      <c r="AG53" s="463"/>
      <c r="AH53" s="464"/>
      <c r="AI53" s="457"/>
      <c r="AJ53" s="459"/>
      <c r="AK53" s="457"/>
      <c r="AL53" s="459"/>
      <c r="AM53" s="460">
        <f t="shared" ref="AM53:AN53" si="169">AO51</f>
        <v>3.53</v>
      </c>
      <c r="AN53" s="460">
        <f t="shared" si="169"/>
        <v>5089</v>
      </c>
      <c r="AO53" s="457"/>
      <c r="AP53" s="465"/>
      <c r="AQ53" s="466">
        <f>AF53</f>
        <v>33927</v>
      </c>
      <c r="AR53" s="466">
        <f>ROUND(AQ53*0.14,0)</f>
        <v>4750</v>
      </c>
      <c r="AS53" s="459"/>
      <c r="AT53" s="430" t="s">
        <v>1274</v>
      </c>
      <c r="AU53" s="431"/>
      <c r="AV53" s="431"/>
      <c r="AW53" s="431"/>
      <c r="AX53" s="431"/>
      <c r="AY53" s="431"/>
      <c r="AZ53" s="431"/>
      <c r="BA53" s="431"/>
      <c r="BB53" s="431"/>
      <c r="BC53" s="431"/>
      <c r="BD53" s="431"/>
      <c r="BE53" s="431"/>
    </row>
    <row r="54" ht="12.75" customHeight="1">
      <c r="A54" s="245" t="s">
        <v>491</v>
      </c>
      <c r="B54" s="246" t="s">
        <v>118</v>
      </c>
      <c r="C54" s="247" t="s">
        <v>119</v>
      </c>
      <c r="D54" s="247" t="s">
        <v>146</v>
      </c>
      <c r="E54" s="247" t="s">
        <v>145</v>
      </c>
      <c r="F54" s="248"/>
      <c r="G54" s="247" t="s">
        <v>131</v>
      </c>
      <c r="H54" s="247" t="s">
        <v>132</v>
      </c>
      <c r="I54" s="248" t="s">
        <v>105</v>
      </c>
      <c r="J54" s="300" t="s">
        <v>106</v>
      </c>
      <c r="K54" s="301">
        <v>476.73</v>
      </c>
      <c r="L54" s="302">
        <v>691973.0</v>
      </c>
      <c r="M54" s="303">
        <v>71.51</v>
      </c>
      <c r="N54" s="250">
        <v>103796.0</v>
      </c>
      <c r="O54" s="249">
        <v>0.0</v>
      </c>
      <c r="P54" s="250">
        <v>0.0</v>
      </c>
      <c r="Q54" s="251">
        <f t="shared" ref="Q54:R54" si="170">M54-O54</f>
        <v>71.51</v>
      </c>
      <c r="R54" s="252">
        <f t="shared" si="170"/>
        <v>103796</v>
      </c>
      <c r="S54" s="253">
        <v>1451.5</v>
      </c>
      <c r="T54" s="254">
        <v>15.0</v>
      </c>
      <c r="U54" s="255" t="s">
        <v>107</v>
      </c>
      <c r="V54" s="255"/>
      <c r="W54" s="304">
        <v>0.5989</v>
      </c>
      <c r="X54" s="304">
        <v>0.017688</v>
      </c>
      <c r="Y54" s="304">
        <v>0.581212</v>
      </c>
      <c r="Z54" s="305">
        <f>IFERROR(ROUND(K54/W54,0),0)</f>
        <v>796</v>
      </c>
      <c r="AA54" s="306">
        <f t="shared" ref="AA54:AA55" si="172">Z54*W54</f>
        <v>476.7244</v>
      </c>
      <c r="AB54" s="307">
        <f t="shared" ref="AB54:AB55" si="173">ROUND(AA54*S54,0)</f>
        <v>691965</v>
      </c>
      <c r="AC54" s="308">
        <f t="shared" ref="AC54:AC55" si="174">AA54</f>
        <v>476.7244</v>
      </c>
      <c r="AD54" s="309">
        <f t="shared" ref="AD54:AD56" si="175">ROUND(AC54*S54,0)</f>
        <v>691965</v>
      </c>
      <c r="AE54" s="425"/>
      <c r="AF54" s="425"/>
      <c r="AG54" s="310">
        <f t="shared" ref="AG54:AG56" si="176">IFERROR(ROUND(Z54*Y54,2),0)</f>
        <v>462.64</v>
      </c>
      <c r="AH54" s="252">
        <f t="shared" ref="AH54:AH56" si="177">ROUND(AG54*S54,0)</f>
        <v>671522</v>
      </c>
      <c r="AI54" s="306">
        <f t="shared" ref="AI54:AI55" si="178">ROUND(AC54*0.15,2)</f>
        <v>71.51</v>
      </c>
      <c r="AJ54" s="252">
        <f t="shared" ref="AJ54:AJ55" si="179">ROUND(AD54*0.15,0)</f>
        <v>103795</v>
      </c>
      <c r="AK54" s="426"/>
      <c r="AL54" s="426"/>
      <c r="AM54" s="426"/>
      <c r="AN54" s="426"/>
      <c r="AO54" s="426"/>
      <c r="AP54" s="426"/>
      <c r="AQ54" s="427"/>
      <c r="AR54" s="427"/>
      <c r="AS54" s="427"/>
      <c r="AT54" s="426"/>
      <c r="AU54" s="410"/>
      <c r="AV54" s="410"/>
      <c r="AW54" s="410"/>
      <c r="AX54" s="410"/>
      <c r="AY54" s="410"/>
      <c r="AZ54" s="410"/>
      <c r="BA54" s="410"/>
      <c r="BB54" s="410"/>
      <c r="BC54" s="410"/>
      <c r="BD54" s="410"/>
      <c r="BE54" s="410"/>
    </row>
    <row r="55" ht="12.75" customHeight="1">
      <c r="A55" s="245" t="s">
        <v>492</v>
      </c>
      <c r="B55" s="246" t="s">
        <v>118</v>
      </c>
      <c r="C55" s="247" t="s">
        <v>119</v>
      </c>
      <c r="D55" s="247" t="s">
        <v>146</v>
      </c>
      <c r="E55" s="247" t="s">
        <v>145</v>
      </c>
      <c r="F55" s="248"/>
      <c r="G55" s="247" t="s">
        <v>131</v>
      </c>
      <c r="H55" s="247" t="s">
        <v>132</v>
      </c>
      <c r="I55" s="248" t="s">
        <v>105</v>
      </c>
      <c r="J55" s="300" t="s">
        <v>106</v>
      </c>
      <c r="K55" s="314">
        <f t="shared" ref="K55:R55" si="171">-K54</f>
        <v>-476.73</v>
      </c>
      <c r="L55" s="309">
        <f t="shared" si="171"/>
        <v>-691973</v>
      </c>
      <c r="M55" s="315">
        <f t="shared" si="171"/>
        <v>-71.51</v>
      </c>
      <c r="N55" s="252">
        <f t="shared" si="171"/>
        <v>-103796</v>
      </c>
      <c r="O55" s="251">
        <f t="shared" si="171"/>
        <v>0</v>
      </c>
      <c r="P55" s="252">
        <f t="shared" si="171"/>
        <v>0</v>
      </c>
      <c r="Q55" s="251">
        <f t="shared" si="171"/>
        <v>-71.51</v>
      </c>
      <c r="R55" s="252">
        <f t="shared" si="171"/>
        <v>-103796</v>
      </c>
      <c r="S55" s="253">
        <v>1451.5</v>
      </c>
      <c r="T55" s="254">
        <v>15.0</v>
      </c>
      <c r="U55" s="255" t="s">
        <v>107</v>
      </c>
      <c r="V55" s="255"/>
      <c r="W55" s="304">
        <v>0.5989</v>
      </c>
      <c r="X55" s="304">
        <v>0.017688</v>
      </c>
      <c r="Y55" s="304">
        <v>0.581212</v>
      </c>
      <c r="Z55" s="305">
        <f>-Z54</f>
        <v>-796</v>
      </c>
      <c r="AA55" s="306">
        <f t="shared" si="172"/>
        <v>-476.7244</v>
      </c>
      <c r="AB55" s="307">
        <f t="shared" si="173"/>
        <v>-691965</v>
      </c>
      <c r="AC55" s="308">
        <f t="shared" si="174"/>
        <v>-476.7244</v>
      </c>
      <c r="AD55" s="309">
        <f t="shared" si="175"/>
        <v>-691965</v>
      </c>
      <c r="AE55" s="425"/>
      <c r="AF55" s="425"/>
      <c r="AG55" s="310">
        <f t="shared" si="176"/>
        <v>-462.64</v>
      </c>
      <c r="AH55" s="252">
        <f t="shared" si="177"/>
        <v>-671522</v>
      </c>
      <c r="AI55" s="306">
        <f t="shared" si="178"/>
        <v>-71.51</v>
      </c>
      <c r="AJ55" s="252">
        <f t="shared" si="179"/>
        <v>-103795</v>
      </c>
      <c r="AK55" s="426"/>
      <c r="AL55" s="426"/>
      <c r="AM55" s="426"/>
      <c r="AN55" s="426"/>
      <c r="AO55" s="426"/>
      <c r="AP55" s="426"/>
      <c r="AQ55" s="427"/>
      <c r="AR55" s="427"/>
      <c r="AS55" s="427"/>
      <c r="AT55" s="426"/>
      <c r="AU55" s="410"/>
      <c r="AV55" s="410"/>
      <c r="AW55" s="410"/>
      <c r="AX55" s="410"/>
      <c r="AY55" s="410"/>
      <c r="AZ55" s="410"/>
      <c r="BA55" s="410"/>
      <c r="BB55" s="410"/>
      <c r="BC55" s="410"/>
      <c r="BD55" s="410"/>
      <c r="BE55" s="410"/>
    </row>
    <row r="56" ht="12.75" customHeight="1">
      <c r="A56" s="256" t="s">
        <v>493</v>
      </c>
      <c r="B56" s="257" t="s">
        <v>118</v>
      </c>
      <c r="C56" s="258" t="s">
        <v>119</v>
      </c>
      <c r="D56" s="258" t="s">
        <v>146</v>
      </c>
      <c r="E56" s="258" t="s">
        <v>145</v>
      </c>
      <c r="F56" s="259"/>
      <c r="G56" s="258" t="s">
        <v>131</v>
      </c>
      <c r="H56" s="258" t="s">
        <v>132</v>
      </c>
      <c r="I56" s="259" t="s">
        <v>105</v>
      </c>
      <c r="J56" s="316" t="s">
        <v>106</v>
      </c>
      <c r="K56" s="317">
        <f>ROUND(M56/0.15,2)</f>
        <v>14.07</v>
      </c>
      <c r="L56" s="318">
        <f>ROUND(N56/0.15,0)</f>
        <v>20413</v>
      </c>
      <c r="M56" s="319">
        <f t="shared" ref="M56:N56" si="180">Q56</f>
        <v>2.11</v>
      </c>
      <c r="N56" s="261">
        <f t="shared" si="180"/>
        <v>3062</v>
      </c>
      <c r="O56" s="262">
        <v>69.4</v>
      </c>
      <c r="P56" s="263">
        <v>100734.0</v>
      </c>
      <c r="Q56" s="260">
        <f t="shared" ref="Q56:R56" si="181">M54-O56</f>
        <v>2.11</v>
      </c>
      <c r="R56" s="261">
        <f t="shared" si="181"/>
        <v>3062</v>
      </c>
      <c r="S56" s="264">
        <v>1451.5</v>
      </c>
      <c r="T56" s="265">
        <v>15.0</v>
      </c>
      <c r="U56" s="266" t="s">
        <v>107</v>
      </c>
      <c r="V56" s="266" t="s">
        <v>1293</v>
      </c>
      <c r="W56" s="320">
        <v>0.5989</v>
      </c>
      <c r="X56" s="320">
        <v>0.017688</v>
      </c>
      <c r="Y56" s="320">
        <v>0.581212</v>
      </c>
      <c r="Z56" s="321">
        <f>Z54</f>
        <v>796</v>
      </c>
      <c r="AA56" s="426"/>
      <c r="AB56" s="428"/>
      <c r="AC56" s="323">
        <f>IFERROR(ROUND(Z56*X56,2),0)</f>
        <v>14.08</v>
      </c>
      <c r="AD56" s="318">
        <f t="shared" si="175"/>
        <v>20437</v>
      </c>
      <c r="AE56" s="429"/>
      <c r="AF56" s="429"/>
      <c r="AG56" s="324">
        <f t="shared" si="176"/>
        <v>462.64</v>
      </c>
      <c r="AH56" s="261">
        <f t="shared" si="177"/>
        <v>671522</v>
      </c>
      <c r="AI56" s="426"/>
      <c r="AJ56" s="426"/>
      <c r="AK56" s="325">
        <f>ROUND(AC56*0.15,2)</f>
        <v>2.11</v>
      </c>
      <c r="AL56" s="261">
        <f>ROUND(AD56*0.15,0)</f>
        <v>3066</v>
      </c>
      <c r="AM56" s="325"/>
      <c r="AN56" s="325"/>
      <c r="AO56" s="325">
        <f>ROUND(AG56*0.15,2)</f>
        <v>69.4</v>
      </c>
      <c r="AP56" s="261">
        <f>ROUND(AH56*0.15,0)</f>
        <v>100728</v>
      </c>
      <c r="AQ56" s="326"/>
      <c r="AR56" s="326"/>
      <c r="AS56" s="326">
        <f>IFERROR(AC56/K56,IFERROR(AO56/O56,""))</f>
        <v>1.000710732</v>
      </c>
      <c r="AT56" s="426"/>
      <c r="AU56" s="410"/>
      <c r="AV56" s="410"/>
      <c r="AW56" s="410"/>
      <c r="AX56" s="410"/>
      <c r="AY56" s="410"/>
      <c r="AZ56" s="410"/>
      <c r="BA56" s="410"/>
      <c r="BB56" s="410"/>
      <c r="BC56" s="410"/>
      <c r="BD56" s="410"/>
      <c r="BE56" s="410"/>
    </row>
    <row r="57" ht="12.75" customHeight="1">
      <c r="A57" s="267" t="s">
        <v>495</v>
      </c>
      <c r="B57" s="268" t="s">
        <v>118</v>
      </c>
      <c r="C57" s="269" t="s">
        <v>119</v>
      </c>
      <c r="D57" s="269" t="s">
        <v>147</v>
      </c>
      <c r="E57" s="270"/>
      <c r="F57" s="270"/>
      <c r="G57" s="269" t="s">
        <v>148</v>
      </c>
      <c r="H57" s="269" t="s">
        <v>1294</v>
      </c>
      <c r="I57" s="270" t="s">
        <v>105</v>
      </c>
      <c r="J57" s="354" t="s">
        <v>150</v>
      </c>
      <c r="K57" s="355">
        <v>0.0</v>
      </c>
      <c r="L57" s="356">
        <v>0.0</v>
      </c>
      <c r="M57" s="357">
        <v>0.0</v>
      </c>
      <c r="N57" s="272">
        <v>1.0</v>
      </c>
      <c r="O57" s="271">
        <v>0.0</v>
      </c>
      <c r="P57" s="272">
        <v>0.0</v>
      </c>
      <c r="Q57" s="273">
        <f t="shared" ref="Q57:R57" si="182">M57-O57</f>
        <v>0</v>
      </c>
      <c r="R57" s="274">
        <f t="shared" si="182"/>
        <v>1</v>
      </c>
      <c r="S57" s="275">
        <v>1.0</v>
      </c>
      <c r="T57" s="276">
        <v>0.0</v>
      </c>
      <c r="U57" s="277" t="s">
        <v>151</v>
      </c>
      <c r="V57" s="277"/>
      <c r="W57" s="468"/>
      <c r="X57" s="468"/>
      <c r="Y57" s="468"/>
      <c r="Z57" s="468"/>
      <c r="AA57" s="468"/>
      <c r="AB57" s="469"/>
      <c r="AC57" s="470">
        <f t="shared" ref="AC57:AD57" si="183">K57</f>
        <v>0</v>
      </c>
      <c r="AD57" s="471">
        <f t="shared" si="183"/>
        <v>0</v>
      </c>
      <c r="AE57" s="472"/>
      <c r="AF57" s="472"/>
      <c r="AG57" s="473"/>
      <c r="AH57" s="468"/>
      <c r="AI57" s="468"/>
      <c r="AJ57" s="468"/>
      <c r="AK57" s="474">
        <f t="shared" ref="AK57:AL57" si="184">Q57</f>
        <v>0</v>
      </c>
      <c r="AL57" s="475">
        <f t="shared" si="184"/>
        <v>1</v>
      </c>
      <c r="AM57" s="468"/>
      <c r="AN57" s="468"/>
      <c r="AO57" s="468"/>
      <c r="AP57" s="468"/>
      <c r="AQ57" s="476"/>
      <c r="AR57" s="476"/>
      <c r="AS57" s="476"/>
      <c r="AT57" s="468"/>
      <c r="AU57" s="477"/>
      <c r="AV57" s="477"/>
      <c r="AW57" s="477"/>
      <c r="AX57" s="477"/>
      <c r="AY57" s="477"/>
      <c r="AZ57" s="477"/>
      <c r="BA57" s="477"/>
      <c r="BB57" s="477"/>
      <c r="BC57" s="477"/>
      <c r="BD57" s="477"/>
      <c r="BE57" s="477"/>
    </row>
    <row r="58" ht="12.75" customHeight="1">
      <c r="A58" s="245" t="s">
        <v>497</v>
      </c>
      <c r="B58" s="246" t="s">
        <v>118</v>
      </c>
      <c r="C58" s="247" t="s">
        <v>119</v>
      </c>
      <c r="D58" s="247" t="s">
        <v>152</v>
      </c>
      <c r="E58" s="247" t="s">
        <v>153</v>
      </c>
      <c r="F58" s="248"/>
      <c r="G58" s="247" t="s">
        <v>135</v>
      </c>
      <c r="H58" s="247" t="s">
        <v>136</v>
      </c>
      <c r="I58" s="248" t="s">
        <v>105</v>
      </c>
      <c r="J58" s="300" t="s">
        <v>106</v>
      </c>
      <c r="K58" s="301">
        <v>815.48</v>
      </c>
      <c r="L58" s="302">
        <v>1180815.0</v>
      </c>
      <c r="M58" s="303">
        <v>122.32</v>
      </c>
      <c r="N58" s="250">
        <v>177119.0</v>
      </c>
      <c r="O58" s="249">
        <v>0.0</v>
      </c>
      <c r="P58" s="250">
        <v>0.0</v>
      </c>
      <c r="Q58" s="251">
        <f t="shared" ref="Q58:R58" si="185">M58-O58</f>
        <v>122.32</v>
      </c>
      <c r="R58" s="252">
        <f t="shared" si="185"/>
        <v>177119</v>
      </c>
      <c r="S58" s="253">
        <v>1448.0</v>
      </c>
      <c r="T58" s="254">
        <v>15.0</v>
      </c>
      <c r="U58" s="255" t="s">
        <v>107</v>
      </c>
      <c r="V58" s="255"/>
      <c r="W58" s="304">
        <v>1.3775</v>
      </c>
      <c r="X58" s="304">
        <v>0.0</v>
      </c>
      <c r="Y58" s="304">
        <v>1.3775</v>
      </c>
      <c r="Z58" s="305">
        <f>IFERROR(ROUND(K58/W58,0),0)</f>
        <v>592</v>
      </c>
      <c r="AA58" s="306">
        <f t="shared" ref="AA58:AA59" si="187">Z58*W58</f>
        <v>815.48</v>
      </c>
      <c r="AB58" s="307">
        <f t="shared" ref="AB58:AB59" si="188">ROUND(AA58*S58,0)</f>
        <v>1180815</v>
      </c>
      <c r="AC58" s="308">
        <f t="shared" ref="AC58:AC59" si="189">AA58</f>
        <v>815.48</v>
      </c>
      <c r="AD58" s="309">
        <f t="shared" ref="AD58:AD60" si="190">ROUND(AC58*S58,0)</f>
        <v>1180815</v>
      </c>
      <c r="AE58" s="425"/>
      <c r="AF58" s="425"/>
      <c r="AG58" s="310">
        <f t="shared" ref="AG58:AG60" si="191">IFERROR(ROUND(Z58*Y58,2),0)</f>
        <v>815.48</v>
      </c>
      <c r="AH58" s="252">
        <f t="shared" ref="AH58:AH60" si="192">ROUND(AG58*S58,0)</f>
        <v>1180815</v>
      </c>
      <c r="AI58" s="306">
        <f t="shared" ref="AI58:AI59" si="193">ROUND(AC58*0.15,2)</f>
        <v>122.32</v>
      </c>
      <c r="AJ58" s="252">
        <f t="shared" ref="AJ58:AJ59" si="194">ROUND(AD58*0.15,0)</f>
        <v>177122</v>
      </c>
      <c r="AK58" s="426"/>
      <c r="AL58" s="426"/>
      <c r="AM58" s="426"/>
      <c r="AN58" s="426"/>
      <c r="AO58" s="426"/>
      <c r="AP58" s="426"/>
      <c r="AQ58" s="427"/>
      <c r="AR58" s="427"/>
      <c r="AS58" s="427"/>
      <c r="AT58" s="426"/>
      <c r="AU58" s="410"/>
      <c r="AV58" s="410"/>
      <c r="AW58" s="410"/>
      <c r="AX58" s="410"/>
      <c r="AY58" s="410"/>
      <c r="AZ58" s="410"/>
      <c r="BA58" s="410"/>
      <c r="BB58" s="410"/>
      <c r="BC58" s="410"/>
      <c r="BD58" s="410"/>
      <c r="BE58" s="410"/>
    </row>
    <row r="59" ht="12.75" customHeight="1">
      <c r="A59" s="245" t="s">
        <v>498</v>
      </c>
      <c r="B59" s="246" t="s">
        <v>118</v>
      </c>
      <c r="C59" s="247" t="s">
        <v>119</v>
      </c>
      <c r="D59" s="247" t="s">
        <v>152</v>
      </c>
      <c r="E59" s="247" t="s">
        <v>153</v>
      </c>
      <c r="F59" s="248"/>
      <c r="G59" s="247" t="s">
        <v>135</v>
      </c>
      <c r="H59" s="247" t="s">
        <v>136</v>
      </c>
      <c r="I59" s="248" t="s">
        <v>105</v>
      </c>
      <c r="J59" s="300" t="s">
        <v>106</v>
      </c>
      <c r="K59" s="314">
        <f t="shared" ref="K59:R59" si="186">-K58</f>
        <v>-815.48</v>
      </c>
      <c r="L59" s="309">
        <f t="shared" si="186"/>
        <v>-1180815</v>
      </c>
      <c r="M59" s="315">
        <f t="shared" si="186"/>
        <v>-122.32</v>
      </c>
      <c r="N59" s="252">
        <f t="shared" si="186"/>
        <v>-177119</v>
      </c>
      <c r="O59" s="251">
        <f t="shared" si="186"/>
        <v>0</v>
      </c>
      <c r="P59" s="252">
        <f t="shared" si="186"/>
        <v>0</v>
      </c>
      <c r="Q59" s="251">
        <f t="shared" si="186"/>
        <v>-122.32</v>
      </c>
      <c r="R59" s="252">
        <f t="shared" si="186"/>
        <v>-177119</v>
      </c>
      <c r="S59" s="253">
        <v>1448.0</v>
      </c>
      <c r="T59" s="254">
        <v>15.0</v>
      </c>
      <c r="U59" s="255" t="s">
        <v>107</v>
      </c>
      <c r="V59" s="255"/>
      <c r="W59" s="304">
        <v>1.3775</v>
      </c>
      <c r="X59" s="304">
        <v>0.0</v>
      </c>
      <c r="Y59" s="304">
        <v>1.3775</v>
      </c>
      <c r="Z59" s="305">
        <f>-Z58</f>
        <v>-592</v>
      </c>
      <c r="AA59" s="306">
        <f t="shared" si="187"/>
        <v>-815.48</v>
      </c>
      <c r="AB59" s="307">
        <f t="shared" si="188"/>
        <v>-1180815</v>
      </c>
      <c r="AC59" s="308">
        <f t="shared" si="189"/>
        <v>-815.48</v>
      </c>
      <c r="AD59" s="309">
        <f t="shared" si="190"/>
        <v>-1180815</v>
      </c>
      <c r="AE59" s="425"/>
      <c r="AF59" s="425"/>
      <c r="AG59" s="310">
        <f t="shared" si="191"/>
        <v>-815.48</v>
      </c>
      <c r="AH59" s="252">
        <f t="shared" si="192"/>
        <v>-1180815</v>
      </c>
      <c r="AI59" s="306">
        <f t="shared" si="193"/>
        <v>-122.32</v>
      </c>
      <c r="AJ59" s="252">
        <f t="shared" si="194"/>
        <v>-177122</v>
      </c>
      <c r="AK59" s="426"/>
      <c r="AL59" s="426"/>
      <c r="AM59" s="426"/>
      <c r="AN59" s="426"/>
      <c r="AO59" s="426"/>
      <c r="AP59" s="426"/>
      <c r="AQ59" s="427"/>
      <c r="AR59" s="427"/>
      <c r="AS59" s="427"/>
      <c r="AT59" s="426"/>
      <c r="AU59" s="410"/>
      <c r="AV59" s="410"/>
      <c r="AW59" s="410"/>
      <c r="AX59" s="410"/>
      <c r="AY59" s="410"/>
      <c r="AZ59" s="410"/>
      <c r="BA59" s="410"/>
      <c r="BB59" s="410"/>
      <c r="BC59" s="410"/>
      <c r="BD59" s="410"/>
      <c r="BE59" s="410"/>
    </row>
    <row r="60" ht="12.75" customHeight="1">
      <c r="A60" s="256" t="s">
        <v>499</v>
      </c>
      <c r="B60" s="257" t="s">
        <v>118</v>
      </c>
      <c r="C60" s="258" t="s">
        <v>119</v>
      </c>
      <c r="D60" s="258" t="s">
        <v>152</v>
      </c>
      <c r="E60" s="258" t="s">
        <v>153</v>
      </c>
      <c r="F60" s="259"/>
      <c r="G60" s="258" t="s">
        <v>135</v>
      </c>
      <c r="H60" s="258" t="s">
        <v>136</v>
      </c>
      <c r="I60" s="259" t="s">
        <v>105</v>
      </c>
      <c r="J60" s="316" t="s">
        <v>106</v>
      </c>
      <c r="K60" s="317">
        <f>ROUND(M60/0.15,2)</f>
        <v>0</v>
      </c>
      <c r="L60" s="318">
        <f>ROUND(N60/0.15,0)</f>
        <v>0</v>
      </c>
      <c r="M60" s="319">
        <f t="shared" ref="M60:N60" si="195">Q60</f>
        <v>0</v>
      </c>
      <c r="N60" s="261">
        <f t="shared" si="195"/>
        <v>0</v>
      </c>
      <c r="O60" s="262">
        <v>122.32</v>
      </c>
      <c r="P60" s="263">
        <v>177119.0</v>
      </c>
      <c r="Q60" s="260">
        <f t="shared" ref="Q60:R60" si="196">M58-O60</f>
        <v>0</v>
      </c>
      <c r="R60" s="261">
        <f t="shared" si="196"/>
        <v>0</v>
      </c>
      <c r="S60" s="264">
        <v>1448.0</v>
      </c>
      <c r="T60" s="265">
        <v>15.0</v>
      </c>
      <c r="U60" s="266" t="s">
        <v>107</v>
      </c>
      <c r="V60" s="266" t="s">
        <v>1295</v>
      </c>
      <c r="W60" s="320">
        <v>1.3775</v>
      </c>
      <c r="X60" s="320">
        <v>0.0</v>
      </c>
      <c r="Y60" s="320">
        <v>1.3775</v>
      </c>
      <c r="Z60" s="321">
        <f>Z58</f>
        <v>592</v>
      </c>
      <c r="AA60" s="426"/>
      <c r="AB60" s="428"/>
      <c r="AC60" s="323">
        <f>IFERROR(ROUND(Z60*X60,2),0)</f>
        <v>0</v>
      </c>
      <c r="AD60" s="318">
        <f t="shared" si="190"/>
        <v>0</v>
      </c>
      <c r="AE60" s="429"/>
      <c r="AF60" s="429"/>
      <c r="AG60" s="324">
        <f t="shared" si="191"/>
        <v>815.48</v>
      </c>
      <c r="AH60" s="261">
        <f t="shared" si="192"/>
        <v>1180815</v>
      </c>
      <c r="AI60" s="426"/>
      <c r="AJ60" s="426"/>
      <c r="AK60" s="325">
        <f>ROUND(AC60*0.15,2)</f>
        <v>0</v>
      </c>
      <c r="AL60" s="261">
        <f>ROUND(AD60*0.15,0)</f>
        <v>0</v>
      </c>
      <c r="AM60" s="325"/>
      <c r="AN60" s="325"/>
      <c r="AO60" s="325">
        <f>ROUND(AG60*0.15,2)</f>
        <v>122.32</v>
      </c>
      <c r="AP60" s="261">
        <f>ROUND(AH60*0.15,0)</f>
        <v>177122</v>
      </c>
      <c r="AQ60" s="326"/>
      <c r="AR60" s="326"/>
      <c r="AS60" s="326">
        <f>IFERROR(AC60/K60,IFERROR(AO60/O60,""))</f>
        <v>1</v>
      </c>
      <c r="AT60" s="426"/>
      <c r="AU60" s="410"/>
      <c r="AV60" s="410"/>
      <c r="AW60" s="410"/>
      <c r="AX60" s="410"/>
      <c r="AY60" s="410"/>
      <c r="AZ60" s="410"/>
      <c r="BA60" s="410"/>
      <c r="BB60" s="410"/>
      <c r="BC60" s="410"/>
      <c r="BD60" s="410"/>
      <c r="BE60" s="410"/>
    </row>
    <row r="61" ht="12.75" customHeight="1">
      <c r="A61" s="267" t="s">
        <v>501</v>
      </c>
      <c r="B61" s="268" t="s">
        <v>118</v>
      </c>
      <c r="C61" s="269" t="s">
        <v>119</v>
      </c>
      <c r="D61" s="269" t="s">
        <v>152</v>
      </c>
      <c r="E61" s="270"/>
      <c r="F61" s="270"/>
      <c r="G61" s="269" t="s">
        <v>148</v>
      </c>
      <c r="H61" s="269" t="s">
        <v>1296</v>
      </c>
      <c r="I61" s="270" t="s">
        <v>105</v>
      </c>
      <c r="J61" s="354" t="s">
        <v>150</v>
      </c>
      <c r="K61" s="355">
        <v>0.0</v>
      </c>
      <c r="L61" s="356">
        <v>0.0</v>
      </c>
      <c r="M61" s="357">
        <v>0.0</v>
      </c>
      <c r="N61" s="272">
        <v>0.0</v>
      </c>
      <c r="O61" s="271">
        <v>0.0</v>
      </c>
      <c r="P61" s="272">
        <v>0.0</v>
      </c>
      <c r="Q61" s="273">
        <f t="shared" ref="Q61:R61" si="197">M61-O61</f>
        <v>0</v>
      </c>
      <c r="R61" s="274">
        <f t="shared" si="197"/>
        <v>0</v>
      </c>
      <c r="S61" s="275">
        <v>1.0</v>
      </c>
      <c r="T61" s="276">
        <v>0.0</v>
      </c>
      <c r="U61" s="277" t="s">
        <v>151</v>
      </c>
      <c r="V61" s="277"/>
      <c r="W61" s="468"/>
      <c r="X61" s="468"/>
      <c r="Y61" s="468"/>
      <c r="Z61" s="468"/>
      <c r="AA61" s="468"/>
      <c r="AB61" s="469"/>
      <c r="AC61" s="470">
        <f t="shared" ref="AC61:AD61" si="198">K61</f>
        <v>0</v>
      </c>
      <c r="AD61" s="471">
        <f t="shared" si="198"/>
        <v>0</v>
      </c>
      <c r="AE61" s="472"/>
      <c r="AF61" s="472"/>
      <c r="AG61" s="473"/>
      <c r="AH61" s="468"/>
      <c r="AI61" s="468"/>
      <c r="AJ61" s="468"/>
      <c r="AK61" s="474">
        <f t="shared" ref="AK61:AL61" si="199">Q61</f>
        <v>0</v>
      </c>
      <c r="AL61" s="475">
        <f t="shared" si="199"/>
        <v>0</v>
      </c>
      <c r="AM61" s="468"/>
      <c r="AN61" s="468"/>
      <c r="AO61" s="468"/>
      <c r="AP61" s="468"/>
      <c r="AQ61" s="476"/>
      <c r="AR61" s="476"/>
      <c r="AS61" s="476"/>
      <c r="AT61" s="468"/>
      <c r="AU61" s="477"/>
      <c r="AV61" s="477"/>
      <c r="AW61" s="477"/>
      <c r="AX61" s="477"/>
      <c r="AY61" s="477"/>
      <c r="AZ61" s="477"/>
      <c r="BA61" s="477"/>
      <c r="BB61" s="477"/>
      <c r="BC61" s="477"/>
      <c r="BD61" s="477"/>
      <c r="BE61" s="477"/>
    </row>
    <row r="62" ht="12.75" customHeight="1">
      <c r="A62" s="245" t="s">
        <v>503</v>
      </c>
      <c r="B62" s="246" t="s">
        <v>118</v>
      </c>
      <c r="C62" s="247" t="s">
        <v>119</v>
      </c>
      <c r="D62" s="247" t="s">
        <v>155</v>
      </c>
      <c r="E62" s="247" t="s">
        <v>156</v>
      </c>
      <c r="F62" s="248"/>
      <c r="G62" s="247" t="s">
        <v>139</v>
      </c>
      <c r="H62" s="247" t="s">
        <v>157</v>
      </c>
      <c r="I62" s="248" t="s">
        <v>105</v>
      </c>
      <c r="J62" s="300" t="s">
        <v>106</v>
      </c>
      <c r="K62" s="301">
        <v>375.21</v>
      </c>
      <c r="L62" s="302">
        <v>550395.0</v>
      </c>
      <c r="M62" s="303">
        <v>56.28</v>
      </c>
      <c r="N62" s="250">
        <v>82557.0</v>
      </c>
      <c r="O62" s="249">
        <v>0.0</v>
      </c>
      <c r="P62" s="250">
        <v>0.0</v>
      </c>
      <c r="Q62" s="251">
        <f t="shared" ref="Q62:R62" si="200">M62-O62</f>
        <v>56.28</v>
      </c>
      <c r="R62" s="252">
        <f t="shared" si="200"/>
        <v>82557</v>
      </c>
      <c r="S62" s="253">
        <v>1466.9</v>
      </c>
      <c r="T62" s="254">
        <v>15.0</v>
      </c>
      <c r="U62" s="255" t="s">
        <v>107</v>
      </c>
      <c r="V62" s="255"/>
      <c r="W62" s="304">
        <v>0.4638</v>
      </c>
      <c r="X62" s="304">
        <v>0.125368</v>
      </c>
      <c r="Y62" s="304">
        <v>0.338432</v>
      </c>
      <c r="Z62" s="305">
        <f>IFERROR(ROUND(K62/W62,0),0)</f>
        <v>809</v>
      </c>
      <c r="AA62" s="306">
        <f t="shared" ref="AA62:AA63" si="202">Z62*W62</f>
        <v>375.2142</v>
      </c>
      <c r="AB62" s="307">
        <f t="shared" ref="AB62:AB63" si="203">ROUND(AA62*S62,0)</f>
        <v>550402</v>
      </c>
      <c r="AC62" s="308">
        <f t="shared" ref="AC62:AC63" si="204">AA62</f>
        <v>375.2142</v>
      </c>
      <c r="AD62" s="309">
        <f t="shared" ref="AD62:AD70" si="205">ROUND(AC62*S62,0)</f>
        <v>550402</v>
      </c>
      <c r="AE62" s="425"/>
      <c r="AF62" s="425"/>
      <c r="AG62" s="310">
        <f t="shared" ref="AG62:AG70" si="206">IFERROR(ROUND(Z62*Y62,2),0)</f>
        <v>273.79</v>
      </c>
      <c r="AH62" s="252">
        <f t="shared" ref="AH62:AH70" si="207">ROUND(AG62*S62,0)</f>
        <v>401623</v>
      </c>
      <c r="AI62" s="306">
        <f t="shared" ref="AI62:AI63" si="208">ROUND(AC62*0.15,2)</f>
        <v>56.28</v>
      </c>
      <c r="AJ62" s="252">
        <f t="shared" ref="AJ62:AJ63" si="209">ROUND(AD62*0.15,0)</f>
        <v>82560</v>
      </c>
      <c r="AK62" s="426"/>
      <c r="AL62" s="426"/>
      <c r="AM62" s="426"/>
      <c r="AN62" s="426"/>
      <c r="AO62" s="426"/>
      <c r="AP62" s="426"/>
      <c r="AQ62" s="427"/>
      <c r="AR62" s="427"/>
      <c r="AS62" s="427"/>
      <c r="AT62" s="426"/>
      <c r="AU62" s="410"/>
      <c r="AV62" s="410"/>
      <c r="AW62" s="410"/>
      <c r="AX62" s="410"/>
      <c r="AY62" s="410"/>
      <c r="AZ62" s="410"/>
      <c r="BA62" s="410"/>
      <c r="BB62" s="410"/>
      <c r="BC62" s="410"/>
      <c r="BD62" s="410"/>
      <c r="BE62" s="410"/>
    </row>
    <row r="63" ht="12.75" customHeight="1">
      <c r="A63" s="245" t="s">
        <v>504</v>
      </c>
      <c r="B63" s="246" t="s">
        <v>118</v>
      </c>
      <c r="C63" s="247" t="s">
        <v>119</v>
      </c>
      <c r="D63" s="247" t="s">
        <v>155</v>
      </c>
      <c r="E63" s="247" t="s">
        <v>156</v>
      </c>
      <c r="F63" s="248"/>
      <c r="G63" s="247" t="s">
        <v>139</v>
      </c>
      <c r="H63" s="247" t="s">
        <v>157</v>
      </c>
      <c r="I63" s="248" t="s">
        <v>105</v>
      </c>
      <c r="J63" s="300" t="s">
        <v>106</v>
      </c>
      <c r="K63" s="314">
        <f t="shared" ref="K63:R63" si="201">-K62</f>
        <v>-375.21</v>
      </c>
      <c r="L63" s="309">
        <f t="shared" si="201"/>
        <v>-550395</v>
      </c>
      <c r="M63" s="315">
        <f t="shared" si="201"/>
        <v>-56.28</v>
      </c>
      <c r="N63" s="252">
        <f t="shared" si="201"/>
        <v>-82557</v>
      </c>
      <c r="O63" s="251">
        <f t="shared" si="201"/>
        <v>0</v>
      </c>
      <c r="P63" s="252">
        <f t="shared" si="201"/>
        <v>0</v>
      </c>
      <c r="Q63" s="251">
        <f t="shared" si="201"/>
        <v>-56.28</v>
      </c>
      <c r="R63" s="252">
        <f t="shared" si="201"/>
        <v>-82557</v>
      </c>
      <c r="S63" s="253">
        <v>1466.9</v>
      </c>
      <c r="T63" s="254">
        <v>15.0</v>
      </c>
      <c r="U63" s="255" t="s">
        <v>107</v>
      </c>
      <c r="V63" s="255"/>
      <c r="W63" s="304">
        <v>0.4638</v>
      </c>
      <c r="X63" s="304">
        <v>0.125368</v>
      </c>
      <c r="Y63" s="304">
        <v>0.338432</v>
      </c>
      <c r="Z63" s="305">
        <f>-Z62</f>
        <v>-809</v>
      </c>
      <c r="AA63" s="306">
        <f t="shared" si="202"/>
        <v>-375.2142</v>
      </c>
      <c r="AB63" s="307">
        <f t="shared" si="203"/>
        <v>-550402</v>
      </c>
      <c r="AC63" s="308">
        <f t="shared" si="204"/>
        <v>-375.2142</v>
      </c>
      <c r="AD63" s="309">
        <f t="shared" si="205"/>
        <v>-550402</v>
      </c>
      <c r="AE63" s="425"/>
      <c r="AF63" s="425"/>
      <c r="AG63" s="310">
        <f t="shared" si="206"/>
        <v>-273.79</v>
      </c>
      <c r="AH63" s="252">
        <f t="shared" si="207"/>
        <v>-401623</v>
      </c>
      <c r="AI63" s="306">
        <f t="shared" si="208"/>
        <v>-56.28</v>
      </c>
      <c r="AJ63" s="252">
        <f t="shared" si="209"/>
        <v>-82560</v>
      </c>
      <c r="AK63" s="426"/>
      <c r="AL63" s="426"/>
      <c r="AM63" s="426"/>
      <c r="AN63" s="426"/>
      <c r="AO63" s="426"/>
      <c r="AP63" s="426"/>
      <c r="AQ63" s="427"/>
      <c r="AR63" s="427"/>
      <c r="AS63" s="427"/>
      <c r="AT63" s="426"/>
      <c r="AU63" s="410"/>
      <c r="AV63" s="410"/>
      <c r="AW63" s="410"/>
      <c r="AX63" s="410"/>
      <c r="AY63" s="410"/>
      <c r="AZ63" s="410"/>
      <c r="BA63" s="410"/>
      <c r="BB63" s="410"/>
      <c r="BC63" s="410"/>
      <c r="BD63" s="410"/>
      <c r="BE63" s="410"/>
    </row>
    <row r="64" ht="12.75" customHeight="1">
      <c r="A64" s="256" t="s">
        <v>505</v>
      </c>
      <c r="B64" s="257" t="s">
        <v>118</v>
      </c>
      <c r="C64" s="258" t="s">
        <v>119</v>
      </c>
      <c r="D64" s="258" t="s">
        <v>155</v>
      </c>
      <c r="E64" s="258" t="s">
        <v>156</v>
      </c>
      <c r="F64" s="259"/>
      <c r="G64" s="258" t="s">
        <v>139</v>
      </c>
      <c r="H64" s="258" t="s">
        <v>157</v>
      </c>
      <c r="I64" s="259" t="s">
        <v>105</v>
      </c>
      <c r="J64" s="316" t="s">
        <v>106</v>
      </c>
      <c r="K64" s="317">
        <f>ROUND(M64/0.15,2)</f>
        <v>101.4</v>
      </c>
      <c r="L64" s="318">
        <f>ROUND(N64/0.15,0)</f>
        <v>148740</v>
      </c>
      <c r="M64" s="319">
        <f t="shared" ref="M64:N64" si="210">Q64</f>
        <v>15.21</v>
      </c>
      <c r="N64" s="261">
        <f t="shared" si="210"/>
        <v>22311</v>
      </c>
      <c r="O64" s="262">
        <v>41.07</v>
      </c>
      <c r="P64" s="263">
        <v>60246.0</v>
      </c>
      <c r="Q64" s="260">
        <f t="shared" ref="Q64:R64" si="211">M62-O64</f>
        <v>15.21</v>
      </c>
      <c r="R64" s="261">
        <f t="shared" si="211"/>
        <v>22311</v>
      </c>
      <c r="S64" s="264">
        <v>1466.9</v>
      </c>
      <c r="T64" s="265">
        <v>15.0</v>
      </c>
      <c r="U64" s="266" t="s">
        <v>107</v>
      </c>
      <c r="V64" s="266" t="s">
        <v>1297</v>
      </c>
      <c r="W64" s="320">
        <v>0.4638</v>
      </c>
      <c r="X64" s="320">
        <v>0.125368</v>
      </c>
      <c r="Y64" s="320">
        <v>0.338432</v>
      </c>
      <c r="Z64" s="321">
        <f>Z62</f>
        <v>809</v>
      </c>
      <c r="AA64" s="426"/>
      <c r="AB64" s="428"/>
      <c r="AC64" s="323">
        <f>IFERROR(ROUND(Z64*X64,2),0)</f>
        <v>101.42</v>
      </c>
      <c r="AD64" s="318">
        <f t="shared" si="205"/>
        <v>148773</v>
      </c>
      <c r="AE64" s="429"/>
      <c r="AF64" s="429"/>
      <c r="AG64" s="324">
        <f t="shared" si="206"/>
        <v>273.79</v>
      </c>
      <c r="AH64" s="261">
        <f t="shared" si="207"/>
        <v>401623</v>
      </c>
      <c r="AI64" s="426"/>
      <c r="AJ64" s="426"/>
      <c r="AK64" s="325">
        <f>ROUND(AC64*0.15,2)</f>
        <v>15.21</v>
      </c>
      <c r="AL64" s="261">
        <f>ROUND(AD64*0.15,0)</f>
        <v>22316</v>
      </c>
      <c r="AM64" s="325"/>
      <c r="AN64" s="325"/>
      <c r="AO64" s="325">
        <f>ROUND(AG64*0.15,2)</f>
        <v>41.07</v>
      </c>
      <c r="AP64" s="261">
        <f>ROUND(AH64*0.15,0)</f>
        <v>60243</v>
      </c>
      <c r="AQ64" s="326"/>
      <c r="AR64" s="326"/>
      <c r="AS64" s="326">
        <f>IFERROR(AC64/K64,IFERROR(AO64/O64,""))</f>
        <v>1.000197239</v>
      </c>
      <c r="AT64" s="426"/>
      <c r="AU64" s="410"/>
      <c r="AV64" s="410"/>
      <c r="AW64" s="410"/>
      <c r="AX64" s="410"/>
      <c r="AY64" s="410"/>
      <c r="AZ64" s="410"/>
      <c r="BA64" s="410"/>
      <c r="BB64" s="410"/>
      <c r="BC64" s="410"/>
      <c r="BD64" s="410"/>
      <c r="BE64" s="410"/>
    </row>
    <row r="65" ht="12.75" customHeight="1">
      <c r="A65" s="245" t="s">
        <v>507</v>
      </c>
      <c r="B65" s="246" t="s">
        <v>118</v>
      </c>
      <c r="C65" s="247" t="s">
        <v>119</v>
      </c>
      <c r="D65" s="247" t="s">
        <v>158</v>
      </c>
      <c r="E65" s="247" t="s">
        <v>159</v>
      </c>
      <c r="F65" s="248"/>
      <c r="G65" s="247" t="s">
        <v>143</v>
      </c>
      <c r="H65" s="247" t="s">
        <v>160</v>
      </c>
      <c r="I65" s="248" t="s">
        <v>105</v>
      </c>
      <c r="J65" s="300" t="s">
        <v>106</v>
      </c>
      <c r="K65" s="301">
        <v>23.13</v>
      </c>
      <c r="L65" s="302">
        <v>33920.0</v>
      </c>
      <c r="M65" s="303">
        <v>3.47</v>
      </c>
      <c r="N65" s="250">
        <v>5088.0</v>
      </c>
      <c r="O65" s="249">
        <v>0.0</v>
      </c>
      <c r="P65" s="250">
        <v>0.0</v>
      </c>
      <c r="Q65" s="251">
        <f t="shared" ref="Q65:R65" si="212">M65-O65</f>
        <v>3.47</v>
      </c>
      <c r="R65" s="252">
        <f t="shared" si="212"/>
        <v>5088</v>
      </c>
      <c r="S65" s="253">
        <v>1466.5</v>
      </c>
      <c r="T65" s="254">
        <v>15.0</v>
      </c>
      <c r="U65" s="255" t="s">
        <v>107</v>
      </c>
      <c r="V65" s="255"/>
      <c r="W65" s="304">
        <v>0.5506</v>
      </c>
      <c r="X65" s="304">
        <v>0.202896</v>
      </c>
      <c r="Y65" s="304">
        <v>0.347704</v>
      </c>
      <c r="Z65" s="305">
        <f>IFERROR(ROUND(K65/W65,0),0)</f>
        <v>42</v>
      </c>
      <c r="AA65" s="306">
        <f t="shared" ref="AA65:AA66" si="214">Z65*W65</f>
        <v>23.1252</v>
      </c>
      <c r="AB65" s="307">
        <f t="shared" ref="AB65:AB66" si="215">ROUND(AA65*S65,0)</f>
        <v>33913</v>
      </c>
      <c r="AC65" s="308">
        <f t="shared" ref="AC65:AC66" si="216">AA65</f>
        <v>23.1252</v>
      </c>
      <c r="AD65" s="309">
        <f t="shared" si="205"/>
        <v>33913</v>
      </c>
      <c r="AE65" s="425"/>
      <c r="AF65" s="425"/>
      <c r="AG65" s="310">
        <f t="shared" si="206"/>
        <v>14.6</v>
      </c>
      <c r="AH65" s="252">
        <f t="shared" si="207"/>
        <v>21411</v>
      </c>
      <c r="AI65" s="306">
        <f t="shared" ref="AI65:AI66" si="217">ROUND(AC65*0.15,2)</f>
        <v>3.47</v>
      </c>
      <c r="AJ65" s="252">
        <f t="shared" ref="AJ65:AJ66" si="218">ROUND(AD65*0.15,0)</f>
        <v>5087</v>
      </c>
      <c r="AK65" s="426"/>
      <c r="AL65" s="426"/>
      <c r="AM65" s="426"/>
      <c r="AN65" s="426"/>
      <c r="AO65" s="426"/>
      <c r="AP65" s="426"/>
      <c r="AQ65" s="427"/>
      <c r="AR65" s="427"/>
      <c r="AS65" s="427"/>
      <c r="AT65" s="426"/>
      <c r="AU65" s="410"/>
      <c r="AV65" s="410"/>
      <c r="AW65" s="410"/>
      <c r="AX65" s="410"/>
      <c r="AY65" s="410"/>
      <c r="AZ65" s="410"/>
      <c r="BA65" s="410"/>
      <c r="BB65" s="410"/>
      <c r="BC65" s="410"/>
      <c r="BD65" s="410"/>
      <c r="BE65" s="410"/>
    </row>
    <row r="66" ht="12.75" customHeight="1">
      <c r="A66" s="245" t="s">
        <v>508</v>
      </c>
      <c r="B66" s="246" t="s">
        <v>118</v>
      </c>
      <c r="C66" s="247" t="s">
        <v>119</v>
      </c>
      <c r="D66" s="247" t="s">
        <v>158</v>
      </c>
      <c r="E66" s="247" t="s">
        <v>159</v>
      </c>
      <c r="F66" s="248"/>
      <c r="G66" s="247" t="s">
        <v>143</v>
      </c>
      <c r="H66" s="247" t="s">
        <v>160</v>
      </c>
      <c r="I66" s="248" t="s">
        <v>105</v>
      </c>
      <c r="J66" s="300" t="s">
        <v>106</v>
      </c>
      <c r="K66" s="314">
        <f t="shared" ref="K66:R66" si="213">-K65</f>
        <v>-23.13</v>
      </c>
      <c r="L66" s="309">
        <f t="shared" si="213"/>
        <v>-33920</v>
      </c>
      <c r="M66" s="315">
        <f t="shared" si="213"/>
        <v>-3.47</v>
      </c>
      <c r="N66" s="252">
        <f t="shared" si="213"/>
        <v>-5088</v>
      </c>
      <c r="O66" s="251">
        <f t="shared" si="213"/>
        <v>0</v>
      </c>
      <c r="P66" s="252">
        <f t="shared" si="213"/>
        <v>0</v>
      </c>
      <c r="Q66" s="251">
        <f t="shared" si="213"/>
        <v>-3.47</v>
      </c>
      <c r="R66" s="252">
        <f t="shared" si="213"/>
        <v>-5088</v>
      </c>
      <c r="S66" s="253">
        <v>1466.5</v>
      </c>
      <c r="T66" s="254">
        <v>15.0</v>
      </c>
      <c r="U66" s="255" t="s">
        <v>107</v>
      </c>
      <c r="V66" s="255"/>
      <c r="W66" s="304">
        <v>0.5506</v>
      </c>
      <c r="X66" s="304">
        <v>0.202896</v>
      </c>
      <c r="Y66" s="304">
        <v>0.347704</v>
      </c>
      <c r="Z66" s="305">
        <f>-Z65</f>
        <v>-42</v>
      </c>
      <c r="AA66" s="306">
        <f t="shared" si="214"/>
        <v>-23.1252</v>
      </c>
      <c r="AB66" s="307">
        <f t="shared" si="215"/>
        <v>-33913</v>
      </c>
      <c r="AC66" s="308">
        <f t="shared" si="216"/>
        <v>-23.1252</v>
      </c>
      <c r="AD66" s="309">
        <f t="shared" si="205"/>
        <v>-33913</v>
      </c>
      <c r="AE66" s="425"/>
      <c r="AF66" s="425"/>
      <c r="AG66" s="310">
        <f t="shared" si="206"/>
        <v>-14.6</v>
      </c>
      <c r="AH66" s="252">
        <f t="shared" si="207"/>
        <v>-21411</v>
      </c>
      <c r="AI66" s="306">
        <f t="shared" si="217"/>
        <v>-3.47</v>
      </c>
      <c r="AJ66" s="252">
        <f t="shared" si="218"/>
        <v>-5087</v>
      </c>
      <c r="AK66" s="426"/>
      <c r="AL66" s="426"/>
      <c r="AM66" s="426"/>
      <c r="AN66" s="426"/>
      <c r="AO66" s="426"/>
      <c r="AP66" s="426"/>
      <c r="AQ66" s="427"/>
      <c r="AR66" s="427"/>
      <c r="AS66" s="427"/>
      <c r="AT66" s="426"/>
      <c r="AU66" s="410"/>
      <c r="AV66" s="410"/>
      <c r="AW66" s="410"/>
      <c r="AX66" s="410"/>
      <c r="AY66" s="410"/>
      <c r="AZ66" s="410"/>
      <c r="BA66" s="410"/>
      <c r="BB66" s="410"/>
      <c r="BC66" s="410"/>
      <c r="BD66" s="410"/>
      <c r="BE66" s="410"/>
    </row>
    <row r="67" ht="12.75" customHeight="1">
      <c r="A67" s="256" t="s">
        <v>509</v>
      </c>
      <c r="B67" s="257" t="s">
        <v>118</v>
      </c>
      <c r="C67" s="258" t="s">
        <v>119</v>
      </c>
      <c r="D67" s="258" t="s">
        <v>158</v>
      </c>
      <c r="E67" s="258" t="s">
        <v>159</v>
      </c>
      <c r="F67" s="259"/>
      <c r="G67" s="258" t="s">
        <v>143</v>
      </c>
      <c r="H67" s="258" t="s">
        <v>160</v>
      </c>
      <c r="I67" s="259" t="s">
        <v>105</v>
      </c>
      <c r="J67" s="316" t="s">
        <v>106</v>
      </c>
      <c r="K67" s="317">
        <f>ROUND(M67/0.15,2)</f>
        <v>8.47</v>
      </c>
      <c r="L67" s="318">
        <f>ROUND(N67/0.15,0)</f>
        <v>12413</v>
      </c>
      <c r="M67" s="319">
        <f t="shared" ref="M67:N67" si="219">Q67</f>
        <v>1.27</v>
      </c>
      <c r="N67" s="261">
        <f t="shared" si="219"/>
        <v>1862</v>
      </c>
      <c r="O67" s="262">
        <v>2.2</v>
      </c>
      <c r="P67" s="263">
        <v>3226.0</v>
      </c>
      <c r="Q67" s="260">
        <f t="shared" ref="Q67:R67" si="220">M65-O67</f>
        <v>1.27</v>
      </c>
      <c r="R67" s="261">
        <f t="shared" si="220"/>
        <v>1862</v>
      </c>
      <c r="S67" s="264">
        <v>1466.5</v>
      </c>
      <c r="T67" s="265">
        <v>15.0</v>
      </c>
      <c r="U67" s="266" t="s">
        <v>107</v>
      </c>
      <c r="V67" s="266" t="s">
        <v>1298</v>
      </c>
      <c r="W67" s="320">
        <v>0.5506</v>
      </c>
      <c r="X67" s="320">
        <v>0.202896</v>
      </c>
      <c r="Y67" s="320">
        <v>0.347704</v>
      </c>
      <c r="Z67" s="321">
        <f>Z65</f>
        <v>42</v>
      </c>
      <c r="AA67" s="426"/>
      <c r="AB67" s="428"/>
      <c r="AC67" s="323">
        <f>IFERROR(ROUND(Z67*X67,2),0)</f>
        <v>8.52</v>
      </c>
      <c r="AD67" s="318">
        <f t="shared" si="205"/>
        <v>12495</v>
      </c>
      <c r="AE67" s="429"/>
      <c r="AF67" s="429"/>
      <c r="AG67" s="324">
        <f t="shared" si="206"/>
        <v>14.6</v>
      </c>
      <c r="AH67" s="261">
        <f t="shared" si="207"/>
        <v>21411</v>
      </c>
      <c r="AI67" s="426"/>
      <c r="AJ67" s="426"/>
      <c r="AK67" s="325">
        <f>ROUND(AC67*0.15,2)</f>
        <v>1.28</v>
      </c>
      <c r="AL67" s="261">
        <f>ROUND(AD67*0.15,0)</f>
        <v>1874</v>
      </c>
      <c r="AM67" s="325"/>
      <c r="AN67" s="325"/>
      <c r="AO67" s="325">
        <f>ROUND(AG67*0.15,2)</f>
        <v>2.19</v>
      </c>
      <c r="AP67" s="261">
        <f>ROUND(AH67*0.15,0)</f>
        <v>3212</v>
      </c>
      <c r="AQ67" s="326"/>
      <c r="AR67" s="326"/>
      <c r="AS67" s="326">
        <f>IFERROR(AC67/K67,IFERROR(AO67/O67,""))</f>
        <v>1.005903188</v>
      </c>
      <c r="AT67" s="426"/>
      <c r="AU67" s="410"/>
      <c r="AV67" s="410"/>
      <c r="AW67" s="410"/>
      <c r="AX67" s="410"/>
      <c r="AY67" s="410"/>
      <c r="AZ67" s="410"/>
      <c r="BA67" s="410"/>
      <c r="BB67" s="410"/>
      <c r="BC67" s="410"/>
      <c r="BD67" s="410"/>
      <c r="BE67" s="410"/>
    </row>
    <row r="68" ht="12.75" customHeight="1">
      <c r="A68" s="245" t="s">
        <v>511</v>
      </c>
      <c r="B68" s="246" t="s">
        <v>118</v>
      </c>
      <c r="C68" s="247" t="s">
        <v>119</v>
      </c>
      <c r="D68" s="247" t="s">
        <v>158</v>
      </c>
      <c r="E68" s="247" t="s">
        <v>159</v>
      </c>
      <c r="F68" s="248"/>
      <c r="G68" s="247" t="s">
        <v>127</v>
      </c>
      <c r="H68" s="247" t="s">
        <v>128</v>
      </c>
      <c r="I68" s="248" t="s">
        <v>105</v>
      </c>
      <c r="J68" s="300" t="s">
        <v>106</v>
      </c>
      <c r="K68" s="301">
        <v>37.8</v>
      </c>
      <c r="L68" s="302">
        <v>55433.0</v>
      </c>
      <c r="M68" s="303">
        <v>5.67</v>
      </c>
      <c r="N68" s="250">
        <v>8315.0</v>
      </c>
      <c r="O68" s="249">
        <v>0.0</v>
      </c>
      <c r="P68" s="250">
        <v>0.0</v>
      </c>
      <c r="Q68" s="251">
        <f t="shared" ref="Q68:R68" si="221">M68-O68</f>
        <v>5.67</v>
      </c>
      <c r="R68" s="252">
        <f t="shared" si="221"/>
        <v>8315</v>
      </c>
      <c r="S68" s="253">
        <v>1466.5</v>
      </c>
      <c r="T68" s="254">
        <v>15.0</v>
      </c>
      <c r="U68" s="255" t="s">
        <v>107</v>
      </c>
      <c r="V68" s="255"/>
      <c r="W68" s="304">
        <v>0.7874</v>
      </c>
      <c r="X68" s="304">
        <v>0.372853</v>
      </c>
      <c r="Y68" s="304">
        <v>0.414547</v>
      </c>
      <c r="Z68" s="305">
        <f>IFERROR(ROUND(K68/W68,0),0)</f>
        <v>48</v>
      </c>
      <c r="AA68" s="306">
        <f t="shared" ref="AA68:AA69" si="223">Z68*W68</f>
        <v>37.7952</v>
      </c>
      <c r="AB68" s="307">
        <f t="shared" ref="AB68:AB69" si="224">ROUND(AA68*S68,0)</f>
        <v>55427</v>
      </c>
      <c r="AC68" s="308">
        <f t="shared" ref="AC68:AC69" si="225">AA68</f>
        <v>37.7952</v>
      </c>
      <c r="AD68" s="309">
        <f t="shared" si="205"/>
        <v>55427</v>
      </c>
      <c r="AE68" s="425"/>
      <c r="AF68" s="425"/>
      <c r="AG68" s="310">
        <f t="shared" si="206"/>
        <v>19.9</v>
      </c>
      <c r="AH68" s="252">
        <f t="shared" si="207"/>
        <v>29183</v>
      </c>
      <c r="AI68" s="306">
        <f t="shared" ref="AI68:AI69" si="226">ROUND(AC68*0.15,2)</f>
        <v>5.67</v>
      </c>
      <c r="AJ68" s="252">
        <f t="shared" ref="AJ68:AJ69" si="227">ROUND(AD68*0.15,0)</f>
        <v>8314</v>
      </c>
      <c r="AK68" s="426"/>
      <c r="AL68" s="426"/>
      <c r="AM68" s="426"/>
      <c r="AN68" s="426"/>
      <c r="AO68" s="426"/>
      <c r="AP68" s="426"/>
      <c r="AQ68" s="427"/>
      <c r="AR68" s="427"/>
      <c r="AS68" s="427"/>
      <c r="AT68" s="426"/>
      <c r="AU68" s="410"/>
      <c r="AV68" s="410"/>
      <c r="AW68" s="410"/>
      <c r="AX68" s="410"/>
      <c r="AY68" s="410"/>
      <c r="AZ68" s="410"/>
      <c r="BA68" s="410"/>
      <c r="BB68" s="410"/>
      <c r="BC68" s="410"/>
      <c r="BD68" s="410"/>
      <c r="BE68" s="410"/>
    </row>
    <row r="69" ht="12.75" customHeight="1">
      <c r="A69" s="245" t="s">
        <v>512</v>
      </c>
      <c r="B69" s="246" t="s">
        <v>118</v>
      </c>
      <c r="C69" s="247" t="s">
        <v>119</v>
      </c>
      <c r="D69" s="247" t="s">
        <v>158</v>
      </c>
      <c r="E69" s="247" t="s">
        <v>159</v>
      </c>
      <c r="F69" s="248"/>
      <c r="G69" s="247" t="s">
        <v>127</v>
      </c>
      <c r="H69" s="247" t="s">
        <v>128</v>
      </c>
      <c r="I69" s="248" t="s">
        <v>105</v>
      </c>
      <c r="J69" s="300" t="s">
        <v>106</v>
      </c>
      <c r="K69" s="314">
        <f t="shared" ref="K69:R69" si="222">-K68</f>
        <v>-37.8</v>
      </c>
      <c r="L69" s="309">
        <f t="shared" si="222"/>
        <v>-55433</v>
      </c>
      <c r="M69" s="315">
        <f t="shared" si="222"/>
        <v>-5.67</v>
      </c>
      <c r="N69" s="252">
        <f t="shared" si="222"/>
        <v>-8315</v>
      </c>
      <c r="O69" s="251">
        <f t="shared" si="222"/>
        <v>0</v>
      </c>
      <c r="P69" s="252">
        <f t="shared" si="222"/>
        <v>0</v>
      </c>
      <c r="Q69" s="251">
        <f t="shared" si="222"/>
        <v>-5.67</v>
      </c>
      <c r="R69" s="252">
        <f t="shared" si="222"/>
        <v>-8315</v>
      </c>
      <c r="S69" s="253">
        <v>1466.5</v>
      </c>
      <c r="T69" s="254">
        <v>15.0</v>
      </c>
      <c r="U69" s="255" t="s">
        <v>107</v>
      </c>
      <c r="V69" s="255"/>
      <c r="W69" s="304">
        <v>0.7874</v>
      </c>
      <c r="X69" s="304">
        <v>0.372853</v>
      </c>
      <c r="Y69" s="304">
        <v>0.414547</v>
      </c>
      <c r="Z69" s="305">
        <f>-Z68</f>
        <v>-48</v>
      </c>
      <c r="AA69" s="306">
        <f t="shared" si="223"/>
        <v>-37.7952</v>
      </c>
      <c r="AB69" s="307">
        <f t="shared" si="224"/>
        <v>-55427</v>
      </c>
      <c r="AC69" s="308">
        <f t="shared" si="225"/>
        <v>-37.7952</v>
      </c>
      <c r="AD69" s="309">
        <f t="shared" si="205"/>
        <v>-55427</v>
      </c>
      <c r="AE69" s="425"/>
      <c r="AF69" s="425"/>
      <c r="AG69" s="310">
        <f t="shared" si="206"/>
        <v>-19.9</v>
      </c>
      <c r="AH69" s="252">
        <f t="shared" si="207"/>
        <v>-29183</v>
      </c>
      <c r="AI69" s="306">
        <f t="shared" si="226"/>
        <v>-5.67</v>
      </c>
      <c r="AJ69" s="252">
        <f t="shared" si="227"/>
        <v>-8314</v>
      </c>
      <c r="AK69" s="426"/>
      <c r="AL69" s="426"/>
      <c r="AM69" s="426"/>
      <c r="AN69" s="426"/>
      <c r="AO69" s="426"/>
      <c r="AP69" s="426"/>
      <c r="AQ69" s="427"/>
      <c r="AR69" s="427"/>
      <c r="AS69" s="427"/>
      <c r="AT69" s="426"/>
      <c r="AU69" s="410"/>
      <c r="AV69" s="410"/>
      <c r="AW69" s="410"/>
      <c r="AX69" s="410"/>
      <c r="AY69" s="410"/>
      <c r="AZ69" s="410"/>
      <c r="BA69" s="410"/>
      <c r="BB69" s="410"/>
      <c r="BC69" s="410"/>
      <c r="BD69" s="410"/>
      <c r="BE69" s="410"/>
    </row>
    <row r="70" ht="12.75" customHeight="1">
      <c r="A70" s="256" t="s">
        <v>513</v>
      </c>
      <c r="B70" s="257" t="s">
        <v>118</v>
      </c>
      <c r="C70" s="258" t="s">
        <v>119</v>
      </c>
      <c r="D70" s="258" t="s">
        <v>158</v>
      </c>
      <c r="E70" s="258" t="s">
        <v>159</v>
      </c>
      <c r="F70" s="259"/>
      <c r="G70" s="258" t="s">
        <v>127</v>
      </c>
      <c r="H70" s="258" t="s">
        <v>128</v>
      </c>
      <c r="I70" s="259" t="s">
        <v>105</v>
      </c>
      <c r="J70" s="316" t="s">
        <v>106</v>
      </c>
      <c r="K70" s="317">
        <f>ROUND(M70/0.15,2)</f>
        <v>17.93</v>
      </c>
      <c r="L70" s="318">
        <f>ROUND(N70/0.15,0)</f>
        <v>26300</v>
      </c>
      <c r="M70" s="319">
        <f t="shared" ref="M70:N70" si="228">Q70</f>
        <v>2.69</v>
      </c>
      <c r="N70" s="261">
        <f t="shared" si="228"/>
        <v>3945</v>
      </c>
      <c r="O70" s="262">
        <v>2.98</v>
      </c>
      <c r="P70" s="263">
        <v>4370.0</v>
      </c>
      <c r="Q70" s="260">
        <f t="shared" ref="Q70:R70" si="229">M68-O70</f>
        <v>2.69</v>
      </c>
      <c r="R70" s="261">
        <f t="shared" si="229"/>
        <v>3945</v>
      </c>
      <c r="S70" s="264">
        <v>1466.5</v>
      </c>
      <c r="T70" s="265">
        <v>15.0</v>
      </c>
      <c r="U70" s="266" t="s">
        <v>107</v>
      </c>
      <c r="V70" s="266" t="s">
        <v>1299</v>
      </c>
      <c r="W70" s="320">
        <v>0.7874</v>
      </c>
      <c r="X70" s="320">
        <v>0.372853</v>
      </c>
      <c r="Y70" s="320">
        <v>0.414547</v>
      </c>
      <c r="Z70" s="321">
        <f>Z68</f>
        <v>48</v>
      </c>
      <c r="AA70" s="426"/>
      <c r="AB70" s="428"/>
      <c r="AC70" s="323">
        <f>IFERROR(ROUND(Z70*X70,2),0)</f>
        <v>17.9</v>
      </c>
      <c r="AD70" s="318">
        <f t="shared" si="205"/>
        <v>26250</v>
      </c>
      <c r="AE70" s="429"/>
      <c r="AF70" s="429"/>
      <c r="AG70" s="324">
        <f t="shared" si="206"/>
        <v>19.9</v>
      </c>
      <c r="AH70" s="261">
        <f t="shared" si="207"/>
        <v>29183</v>
      </c>
      <c r="AI70" s="426"/>
      <c r="AJ70" s="426"/>
      <c r="AK70" s="325">
        <f>ROUND(AC70*0.15,2)</f>
        <v>2.69</v>
      </c>
      <c r="AL70" s="261">
        <f>ROUND(AD70*0.15,0)</f>
        <v>3938</v>
      </c>
      <c r="AM70" s="325"/>
      <c r="AN70" s="325"/>
      <c r="AO70" s="325">
        <f>ROUND(AG70*0.15,2)</f>
        <v>2.99</v>
      </c>
      <c r="AP70" s="261">
        <f>ROUND(AH70*0.15,0)</f>
        <v>4377</v>
      </c>
      <c r="AQ70" s="326"/>
      <c r="AR70" s="326"/>
      <c r="AS70" s="326">
        <f>IFERROR(AC70/K70,IFERROR(AO70/O70,""))</f>
        <v>0.9983268265</v>
      </c>
      <c r="AT70" s="426"/>
      <c r="AU70" s="410"/>
      <c r="AV70" s="410"/>
      <c r="AW70" s="410"/>
      <c r="AX70" s="410"/>
      <c r="AY70" s="410"/>
      <c r="AZ70" s="410"/>
      <c r="BA70" s="410"/>
      <c r="BB70" s="410"/>
      <c r="BC70" s="410"/>
      <c r="BD70" s="410"/>
      <c r="BE70" s="410"/>
    </row>
    <row r="71" ht="12.75" customHeight="1">
      <c r="A71" s="267" t="s">
        <v>515</v>
      </c>
      <c r="B71" s="268" t="s">
        <v>118</v>
      </c>
      <c r="C71" s="269" t="s">
        <v>119</v>
      </c>
      <c r="D71" s="269" t="s">
        <v>161</v>
      </c>
      <c r="E71" s="270"/>
      <c r="F71" s="270"/>
      <c r="G71" s="269" t="s">
        <v>148</v>
      </c>
      <c r="H71" s="269" t="s">
        <v>1300</v>
      </c>
      <c r="I71" s="270" t="s">
        <v>105</v>
      </c>
      <c r="J71" s="354" t="s">
        <v>150</v>
      </c>
      <c r="K71" s="355">
        <v>0.0</v>
      </c>
      <c r="L71" s="356">
        <v>0.0</v>
      </c>
      <c r="M71" s="357">
        <v>0.0</v>
      </c>
      <c r="N71" s="272">
        <v>27.0</v>
      </c>
      <c r="O71" s="271">
        <v>0.0</v>
      </c>
      <c r="P71" s="272">
        <v>0.0</v>
      </c>
      <c r="Q71" s="273">
        <f t="shared" ref="Q71:R71" si="230">M71-O71</f>
        <v>0</v>
      </c>
      <c r="R71" s="274">
        <f t="shared" si="230"/>
        <v>27</v>
      </c>
      <c r="S71" s="275">
        <v>1.0</v>
      </c>
      <c r="T71" s="276">
        <v>0.0</v>
      </c>
      <c r="U71" s="277" t="s">
        <v>151</v>
      </c>
      <c r="V71" s="277"/>
      <c r="W71" s="468"/>
      <c r="X71" s="468"/>
      <c r="Y71" s="468"/>
      <c r="Z71" s="468"/>
      <c r="AA71" s="468"/>
      <c r="AB71" s="469"/>
      <c r="AC71" s="470">
        <f t="shared" ref="AC71:AD71" si="231">K71</f>
        <v>0</v>
      </c>
      <c r="AD71" s="471">
        <f t="shared" si="231"/>
        <v>0</v>
      </c>
      <c r="AE71" s="472"/>
      <c r="AF71" s="472"/>
      <c r="AG71" s="473"/>
      <c r="AH71" s="468"/>
      <c r="AI71" s="468"/>
      <c r="AJ71" s="468"/>
      <c r="AK71" s="474">
        <f t="shared" ref="AK71:AL71" si="232">Q71</f>
        <v>0</v>
      </c>
      <c r="AL71" s="475">
        <f t="shared" si="232"/>
        <v>27</v>
      </c>
      <c r="AM71" s="468"/>
      <c r="AN71" s="468"/>
      <c r="AO71" s="468"/>
      <c r="AP71" s="468"/>
      <c r="AQ71" s="476"/>
      <c r="AR71" s="476"/>
      <c r="AS71" s="476"/>
      <c r="AT71" s="468"/>
      <c r="AU71" s="477"/>
      <c r="AV71" s="477"/>
      <c r="AW71" s="477"/>
      <c r="AX71" s="477"/>
      <c r="AY71" s="477"/>
      <c r="AZ71" s="477"/>
      <c r="BA71" s="477"/>
      <c r="BB71" s="477"/>
      <c r="BC71" s="477"/>
      <c r="BD71" s="477"/>
      <c r="BE71" s="477"/>
    </row>
    <row r="72" ht="12.75" customHeight="1">
      <c r="A72" s="267" t="s">
        <v>517</v>
      </c>
      <c r="B72" s="268" t="s">
        <v>118</v>
      </c>
      <c r="C72" s="269" t="s">
        <v>119</v>
      </c>
      <c r="D72" s="269" t="s">
        <v>163</v>
      </c>
      <c r="E72" s="270"/>
      <c r="F72" s="270"/>
      <c r="G72" s="269" t="s">
        <v>148</v>
      </c>
      <c r="H72" s="269" t="s">
        <v>1301</v>
      </c>
      <c r="I72" s="270" t="s">
        <v>105</v>
      </c>
      <c r="J72" s="354" t="s">
        <v>150</v>
      </c>
      <c r="K72" s="355">
        <v>0.0</v>
      </c>
      <c r="L72" s="356">
        <v>0.0</v>
      </c>
      <c r="M72" s="357">
        <v>0.0</v>
      </c>
      <c r="N72" s="272">
        <v>18.0</v>
      </c>
      <c r="O72" s="271">
        <v>0.0</v>
      </c>
      <c r="P72" s="272">
        <v>0.0</v>
      </c>
      <c r="Q72" s="273">
        <f t="shared" ref="Q72:R72" si="233">M72-O72</f>
        <v>0</v>
      </c>
      <c r="R72" s="274">
        <f t="shared" si="233"/>
        <v>18</v>
      </c>
      <c r="S72" s="275">
        <v>1.0</v>
      </c>
      <c r="T72" s="276">
        <v>0.0</v>
      </c>
      <c r="U72" s="277" t="s">
        <v>151</v>
      </c>
      <c r="V72" s="277"/>
      <c r="W72" s="468"/>
      <c r="X72" s="468"/>
      <c r="Y72" s="468"/>
      <c r="Z72" s="468"/>
      <c r="AA72" s="468"/>
      <c r="AB72" s="469"/>
      <c r="AC72" s="470">
        <f t="shared" ref="AC72:AD72" si="234">K72</f>
        <v>0</v>
      </c>
      <c r="AD72" s="471">
        <f t="shared" si="234"/>
        <v>0</v>
      </c>
      <c r="AE72" s="472"/>
      <c r="AF72" s="472"/>
      <c r="AG72" s="473"/>
      <c r="AH72" s="468"/>
      <c r="AI72" s="468"/>
      <c r="AJ72" s="468"/>
      <c r="AK72" s="474">
        <f t="shared" ref="AK72:AL72" si="235">Q72</f>
        <v>0</v>
      </c>
      <c r="AL72" s="475">
        <f t="shared" si="235"/>
        <v>18</v>
      </c>
      <c r="AM72" s="468"/>
      <c r="AN72" s="468"/>
      <c r="AO72" s="468"/>
      <c r="AP72" s="468"/>
      <c r="AQ72" s="476"/>
      <c r="AR72" s="476"/>
      <c r="AS72" s="476"/>
      <c r="AT72" s="468"/>
      <c r="AU72" s="477"/>
      <c r="AV72" s="477"/>
      <c r="AW72" s="477"/>
      <c r="AX72" s="477"/>
      <c r="AY72" s="477"/>
      <c r="AZ72" s="477"/>
      <c r="BA72" s="477"/>
      <c r="BB72" s="477"/>
      <c r="BC72" s="477"/>
      <c r="BD72" s="477"/>
      <c r="BE72" s="477"/>
    </row>
    <row r="73" ht="12.75" customHeight="1">
      <c r="A73" s="245" t="s">
        <v>519</v>
      </c>
      <c r="B73" s="246" t="s">
        <v>118</v>
      </c>
      <c r="C73" s="247" t="s">
        <v>119</v>
      </c>
      <c r="D73" s="247" t="s">
        <v>165</v>
      </c>
      <c r="E73" s="247" t="s">
        <v>166</v>
      </c>
      <c r="F73" s="248"/>
      <c r="G73" s="247" t="s">
        <v>131</v>
      </c>
      <c r="H73" s="247" t="s">
        <v>167</v>
      </c>
      <c r="I73" s="248" t="s">
        <v>105</v>
      </c>
      <c r="J73" s="300" t="s">
        <v>106</v>
      </c>
      <c r="K73" s="301">
        <v>348.73</v>
      </c>
      <c r="L73" s="302">
        <v>511203.0</v>
      </c>
      <c r="M73" s="303">
        <v>52.31</v>
      </c>
      <c r="N73" s="250">
        <v>76681.0</v>
      </c>
      <c r="O73" s="249">
        <v>0.0</v>
      </c>
      <c r="P73" s="250">
        <v>0.0</v>
      </c>
      <c r="Q73" s="251">
        <f t="shared" ref="Q73:R73" si="236">M73-O73</f>
        <v>52.31</v>
      </c>
      <c r="R73" s="252">
        <f t="shared" si="236"/>
        <v>76681</v>
      </c>
      <c r="S73" s="253">
        <v>1465.9</v>
      </c>
      <c r="T73" s="254">
        <v>15.0</v>
      </c>
      <c r="U73" s="255" t="s">
        <v>107</v>
      </c>
      <c r="V73" s="255"/>
      <c r="W73" s="304">
        <v>0.4381</v>
      </c>
      <c r="X73" s="304">
        <v>0.012939</v>
      </c>
      <c r="Y73" s="304">
        <v>0.425161</v>
      </c>
      <c r="Z73" s="305">
        <f>IFERROR(ROUND(K73/W73,0),0)</f>
        <v>796</v>
      </c>
      <c r="AA73" s="306">
        <f t="shared" ref="AA73:AA74" si="238">Z73*W73</f>
        <v>348.7276</v>
      </c>
      <c r="AB73" s="307">
        <f t="shared" ref="AB73:AB74" si="239">ROUND(AA73*S73,0)</f>
        <v>511200</v>
      </c>
      <c r="AC73" s="308">
        <f t="shared" ref="AC73:AC74" si="240">AA73</f>
        <v>348.7276</v>
      </c>
      <c r="AD73" s="309">
        <f t="shared" ref="AD73:AD77" si="241">ROUND(AC73*S73,0)</f>
        <v>511200</v>
      </c>
      <c r="AE73" s="425"/>
      <c r="AF73" s="425"/>
      <c r="AG73" s="310">
        <f t="shared" ref="AG73:AG77" si="242">IFERROR(ROUND(Z73*Y73,2),0)</f>
        <v>338.43</v>
      </c>
      <c r="AH73" s="252">
        <f t="shared" ref="AH73:AH77" si="243">ROUND(AG73*S73,0)</f>
        <v>496105</v>
      </c>
      <c r="AI73" s="306">
        <f t="shared" ref="AI73:AI74" si="244">ROUND(AC73*0.15,2)</f>
        <v>52.31</v>
      </c>
      <c r="AJ73" s="252">
        <f t="shared" ref="AJ73:AJ74" si="245">ROUND(AD73*0.15,0)</f>
        <v>76680</v>
      </c>
      <c r="AK73" s="426"/>
      <c r="AL73" s="426"/>
      <c r="AM73" s="426"/>
      <c r="AN73" s="426"/>
      <c r="AO73" s="426"/>
      <c r="AP73" s="426"/>
      <c r="AQ73" s="427"/>
      <c r="AR73" s="427"/>
      <c r="AS73" s="427"/>
      <c r="AT73" s="426"/>
      <c r="AU73" s="410"/>
      <c r="AV73" s="410"/>
      <c r="AW73" s="410"/>
      <c r="AX73" s="410"/>
      <c r="AY73" s="410"/>
      <c r="AZ73" s="410"/>
      <c r="BA73" s="410"/>
      <c r="BB73" s="410"/>
      <c r="BC73" s="410"/>
      <c r="BD73" s="410"/>
      <c r="BE73" s="410"/>
    </row>
    <row r="74" ht="12.75" customHeight="1">
      <c r="A74" s="245" t="s">
        <v>520</v>
      </c>
      <c r="B74" s="246" t="s">
        <v>118</v>
      </c>
      <c r="C74" s="247" t="s">
        <v>119</v>
      </c>
      <c r="D74" s="247" t="s">
        <v>165</v>
      </c>
      <c r="E74" s="247" t="s">
        <v>166</v>
      </c>
      <c r="F74" s="248"/>
      <c r="G74" s="247" t="s">
        <v>131</v>
      </c>
      <c r="H74" s="247" t="s">
        <v>167</v>
      </c>
      <c r="I74" s="248" t="s">
        <v>105</v>
      </c>
      <c r="J74" s="300" t="s">
        <v>106</v>
      </c>
      <c r="K74" s="314">
        <f t="shared" ref="K74:R74" si="237">-K73</f>
        <v>-348.73</v>
      </c>
      <c r="L74" s="309">
        <f t="shared" si="237"/>
        <v>-511203</v>
      </c>
      <c r="M74" s="315">
        <f t="shared" si="237"/>
        <v>-52.31</v>
      </c>
      <c r="N74" s="252">
        <f t="shared" si="237"/>
        <v>-76681</v>
      </c>
      <c r="O74" s="251">
        <f t="shared" si="237"/>
        <v>0</v>
      </c>
      <c r="P74" s="252">
        <f t="shared" si="237"/>
        <v>0</v>
      </c>
      <c r="Q74" s="251">
        <f t="shared" si="237"/>
        <v>-52.31</v>
      </c>
      <c r="R74" s="252">
        <f t="shared" si="237"/>
        <v>-76681</v>
      </c>
      <c r="S74" s="253">
        <v>1465.9</v>
      </c>
      <c r="T74" s="254">
        <v>15.0</v>
      </c>
      <c r="U74" s="255" t="s">
        <v>107</v>
      </c>
      <c r="V74" s="255"/>
      <c r="W74" s="304">
        <v>0.4381</v>
      </c>
      <c r="X74" s="304">
        <v>0.012939</v>
      </c>
      <c r="Y74" s="304">
        <v>0.425161</v>
      </c>
      <c r="Z74" s="305">
        <f>-Z73</f>
        <v>-796</v>
      </c>
      <c r="AA74" s="306">
        <f t="shared" si="238"/>
        <v>-348.7276</v>
      </c>
      <c r="AB74" s="307">
        <f t="shared" si="239"/>
        <v>-511200</v>
      </c>
      <c r="AC74" s="308">
        <f t="shared" si="240"/>
        <v>-348.7276</v>
      </c>
      <c r="AD74" s="309">
        <f t="shared" si="241"/>
        <v>-511200</v>
      </c>
      <c r="AE74" s="425"/>
      <c r="AF74" s="425"/>
      <c r="AG74" s="310">
        <f t="shared" si="242"/>
        <v>-338.43</v>
      </c>
      <c r="AH74" s="252">
        <f t="shared" si="243"/>
        <v>-496105</v>
      </c>
      <c r="AI74" s="306">
        <f t="shared" si="244"/>
        <v>-52.31</v>
      </c>
      <c r="AJ74" s="252">
        <f t="shared" si="245"/>
        <v>-76680</v>
      </c>
      <c r="AK74" s="426"/>
      <c r="AL74" s="426"/>
      <c r="AM74" s="426"/>
      <c r="AN74" s="426"/>
      <c r="AO74" s="426"/>
      <c r="AP74" s="426"/>
      <c r="AQ74" s="427"/>
      <c r="AR74" s="427"/>
      <c r="AS74" s="427"/>
      <c r="AT74" s="426"/>
      <c r="AU74" s="410"/>
      <c r="AV74" s="410"/>
      <c r="AW74" s="410"/>
      <c r="AX74" s="410"/>
      <c r="AY74" s="410"/>
      <c r="AZ74" s="410"/>
      <c r="BA74" s="410"/>
      <c r="BB74" s="410"/>
      <c r="BC74" s="410"/>
      <c r="BD74" s="410"/>
      <c r="BE74" s="410"/>
    </row>
    <row r="75" ht="12.75" customHeight="1">
      <c r="A75" s="256" t="s">
        <v>521</v>
      </c>
      <c r="B75" s="257" t="s">
        <v>118</v>
      </c>
      <c r="C75" s="258" t="s">
        <v>119</v>
      </c>
      <c r="D75" s="258" t="s">
        <v>165</v>
      </c>
      <c r="E75" s="258" t="s">
        <v>166</v>
      </c>
      <c r="F75" s="259"/>
      <c r="G75" s="258" t="s">
        <v>131</v>
      </c>
      <c r="H75" s="258" t="s">
        <v>167</v>
      </c>
      <c r="I75" s="259" t="s">
        <v>105</v>
      </c>
      <c r="J75" s="316" t="s">
        <v>106</v>
      </c>
      <c r="K75" s="317">
        <f>ROUND(M75/0.15,2)</f>
        <v>10.27</v>
      </c>
      <c r="L75" s="318">
        <f>ROUND(N75/0.15,0)</f>
        <v>15047</v>
      </c>
      <c r="M75" s="319">
        <f t="shared" ref="M75:N75" si="246">Q75</f>
        <v>1.54</v>
      </c>
      <c r="N75" s="261">
        <f t="shared" si="246"/>
        <v>2257</v>
      </c>
      <c r="O75" s="262">
        <v>50.77</v>
      </c>
      <c r="P75" s="263">
        <v>74424.0</v>
      </c>
      <c r="Q75" s="260">
        <f t="shared" ref="Q75:R75" si="247">M73-O75</f>
        <v>1.54</v>
      </c>
      <c r="R75" s="261">
        <f t="shared" si="247"/>
        <v>2257</v>
      </c>
      <c r="S75" s="264">
        <v>1465.9</v>
      </c>
      <c r="T75" s="265">
        <v>15.0</v>
      </c>
      <c r="U75" s="266" t="s">
        <v>107</v>
      </c>
      <c r="V75" s="266" t="s">
        <v>1302</v>
      </c>
      <c r="W75" s="320">
        <v>0.4381</v>
      </c>
      <c r="X75" s="320">
        <v>0.012939</v>
      </c>
      <c r="Y75" s="320">
        <v>0.425161</v>
      </c>
      <c r="Z75" s="321">
        <f>Z73</f>
        <v>796</v>
      </c>
      <c r="AA75" s="426"/>
      <c r="AB75" s="428"/>
      <c r="AC75" s="323">
        <f>IFERROR(ROUND(Z75*X75,2),0)</f>
        <v>10.3</v>
      </c>
      <c r="AD75" s="318">
        <f t="shared" si="241"/>
        <v>15099</v>
      </c>
      <c r="AE75" s="429"/>
      <c r="AF75" s="429"/>
      <c r="AG75" s="324">
        <f t="shared" si="242"/>
        <v>338.43</v>
      </c>
      <c r="AH75" s="261">
        <f t="shared" si="243"/>
        <v>496105</v>
      </c>
      <c r="AI75" s="426"/>
      <c r="AJ75" s="426"/>
      <c r="AK75" s="325">
        <f>ROUND(AC75*0.15,2)</f>
        <v>1.55</v>
      </c>
      <c r="AL75" s="261">
        <f>ROUND(AD75*0.15,0)</f>
        <v>2265</v>
      </c>
      <c r="AM75" s="325"/>
      <c r="AN75" s="325"/>
      <c r="AO75" s="325">
        <f>ROUND(AG75*0.15,2)</f>
        <v>50.76</v>
      </c>
      <c r="AP75" s="261">
        <f>ROUND(AH75*0.15,0)</f>
        <v>74416</v>
      </c>
      <c r="AQ75" s="326"/>
      <c r="AR75" s="326"/>
      <c r="AS75" s="326">
        <f>IFERROR(AC75/K75,IFERROR(AO75/O75,""))</f>
        <v>1.00292113</v>
      </c>
      <c r="AT75" s="426"/>
      <c r="AU75" s="410"/>
      <c r="AV75" s="410"/>
      <c r="AW75" s="410"/>
      <c r="AX75" s="410"/>
      <c r="AY75" s="410"/>
      <c r="AZ75" s="410"/>
      <c r="BA75" s="410"/>
      <c r="BB75" s="410"/>
      <c r="BC75" s="410"/>
      <c r="BD75" s="410"/>
      <c r="BE75" s="410"/>
    </row>
    <row r="76" ht="12.75" customHeight="1">
      <c r="A76" s="245" t="s">
        <v>523</v>
      </c>
      <c r="B76" s="246" t="s">
        <v>118</v>
      </c>
      <c r="C76" s="247" t="s">
        <v>119</v>
      </c>
      <c r="D76" s="247" t="s">
        <v>168</v>
      </c>
      <c r="E76" s="247" t="s">
        <v>169</v>
      </c>
      <c r="F76" s="248"/>
      <c r="G76" s="247" t="s">
        <v>116</v>
      </c>
      <c r="H76" s="247" t="s">
        <v>117</v>
      </c>
      <c r="I76" s="248" t="s">
        <v>105</v>
      </c>
      <c r="J76" s="300" t="s">
        <v>106</v>
      </c>
      <c r="K76" s="301">
        <v>244.04</v>
      </c>
      <c r="L76" s="302">
        <v>358787.0</v>
      </c>
      <c r="M76" s="303">
        <v>36.61</v>
      </c>
      <c r="N76" s="250">
        <v>53824.0</v>
      </c>
      <c r="O76" s="249">
        <v>0.0</v>
      </c>
      <c r="P76" s="250">
        <v>0.0</v>
      </c>
      <c r="Q76" s="251">
        <f t="shared" ref="Q76:R76" si="248">M76-O76</f>
        <v>36.61</v>
      </c>
      <c r="R76" s="252">
        <f t="shared" si="248"/>
        <v>53824</v>
      </c>
      <c r="S76" s="253">
        <v>1470.2</v>
      </c>
      <c r="T76" s="254">
        <v>15.0</v>
      </c>
      <c r="U76" s="255" t="s">
        <v>107</v>
      </c>
      <c r="V76" s="255"/>
      <c r="W76" s="304">
        <v>0.544737</v>
      </c>
      <c r="X76" s="304">
        <v>0.544737</v>
      </c>
      <c r="Y76" s="304">
        <v>0.0</v>
      </c>
      <c r="Z76" s="305">
        <f>IFERROR(ROUND(K76/W76,0),0)</f>
        <v>448</v>
      </c>
      <c r="AA76" s="306">
        <f t="shared" ref="AA76:AA77" si="250">Z76*W76</f>
        <v>244.042176</v>
      </c>
      <c r="AB76" s="307">
        <f t="shared" ref="AB76:AB77" si="251">ROUND(AA76*S76,0)</f>
        <v>358791</v>
      </c>
      <c r="AC76" s="308">
        <f t="shared" ref="AC76:AC77" si="252">AA76</f>
        <v>244.042176</v>
      </c>
      <c r="AD76" s="309">
        <f t="shared" si="241"/>
        <v>358791</v>
      </c>
      <c r="AE76" s="425"/>
      <c r="AF76" s="425"/>
      <c r="AG76" s="310">
        <f t="shared" si="242"/>
        <v>0</v>
      </c>
      <c r="AH76" s="252">
        <f t="shared" si="243"/>
        <v>0</v>
      </c>
      <c r="AI76" s="306">
        <f t="shared" ref="AI76:AI77" si="253">ROUND(AC76*0.15,2)</f>
        <v>36.61</v>
      </c>
      <c r="AJ76" s="252">
        <f t="shared" ref="AJ76:AJ77" si="254">ROUND(AD76*0.15,0)</f>
        <v>53819</v>
      </c>
      <c r="AK76" s="426"/>
      <c r="AL76" s="426"/>
      <c r="AM76" s="426"/>
      <c r="AN76" s="426"/>
      <c r="AO76" s="426"/>
      <c r="AP76" s="426"/>
      <c r="AQ76" s="427"/>
      <c r="AR76" s="427"/>
      <c r="AS76" s="427"/>
      <c r="AT76" s="430" t="s">
        <v>1274</v>
      </c>
      <c r="AU76" s="431"/>
      <c r="AV76" s="431"/>
      <c r="AW76" s="431"/>
      <c r="AX76" s="431"/>
      <c r="AY76" s="431"/>
      <c r="AZ76" s="431"/>
      <c r="BA76" s="431"/>
      <c r="BB76" s="431"/>
      <c r="BC76" s="431"/>
      <c r="BD76" s="431"/>
      <c r="BE76" s="431"/>
    </row>
    <row r="77" ht="12.75" customHeight="1">
      <c r="A77" s="245" t="s">
        <v>524</v>
      </c>
      <c r="B77" s="246" t="s">
        <v>118</v>
      </c>
      <c r="C77" s="247" t="s">
        <v>119</v>
      </c>
      <c r="D77" s="247" t="s">
        <v>168</v>
      </c>
      <c r="E77" s="247" t="s">
        <v>169</v>
      </c>
      <c r="F77" s="248"/>
      <c r="G77" s="247" t="s">
        <v>116</v>
      </c>
      <c r="H77" s="247" t="s">
        <v>117</v>
      </c>
      <c r="I77" s="248" t="s">
        <v>105</v>
      </c>
      <c r="J77" s="300" t="s">
        <v>106</v>
      </c>
      <c r="K77" s="314">
        <f t="shared" ref="K77:R77" si="249">-K76</f>
        <v>-244.04</v>
      </c>
      <c r="L77" s="309">
        <f t="shared" si="249"/>
        <v>-358787</v>
      </c>
      <c r="M77" s="315">
        <f t="shared" si="249"/>
        <v>-36.61</v>
      </c>
      <c r="N77" s="252">
        <f t="shared" si="249"/>
        <v>-53824</v>
      </c>
      <c r="O77" s="251">
        <f t="shared" si="249"/>
        <v>0</v>
      </c>
      <c r="P77" s="252">
        <f t="shared" si="249"/>
        <v>0</v>
      </c>
      <c r="Q77" s="251">
        <f t="shared" si="249"/>
        <v>-36.61</v>
      </c>
      <c r="R77" s="252">
        <f t="shared" si="249"/>
        <v>-53824</v>
      </c>
      <c r="S77" s="253">
        <v>1470.2</v>
      </c>
      <c r="T77" s="254">
        <v>15.0</v>
      </c>
      <c r="U77" s="255" t="s">
        <v>107</v>
      </c>
      <c r="V77" s="255"/>
      <c r="W77" s="304">
        <v>0.544737</v>
      </c>
      <c r="X77" s="304">
        <v>0.544737</v>
      </c>
      <c r="Y77" s="304">
        <v>0.0</v>
      </c>
      <c r="Z77" s="305">
        <f>-Z76</f>
        <v>-448</v>
      </c>
      <c r="AA77" s="306">
        <f t="shared" si="250"/>
        <v>-244.042176</v>
      </c>
      <c r="AB77" s="307">
        <f t="shared" si="251"/>
        <v>-358791</v>
      </c>
      <c r="AC77" s="308">
        <f t="shared" si="252"/>
        <v>-244.042176</v>
      </c>
      <c r="AD77" s="309">
        <f t="shared" si="241"/>
        <v>-358791</v>
      </c>
      <c r="AE77" s="425"/>
      <c r="AF77" s="425"/>
      <c r="AG77" s="310">
        <f t="shared" si="242"/>
        <v>0</v>
      </c>
      <c r="AH77" s="252">
        <f t="shared" si="243"/>
        <v>0</v>
      </c>
      <c r="AI77" s="306">
        <f t="shared" si="253"/>
        <v>-36.61</v>
      </c>
      <c r="AJ77" s="252">
        <f t="shared" si="254"/>
        <v>-53819</v>
      </c>
      <c r="AK77" s="426"/>
      <c r="AL77" s="426"/>
      <c r="AM77" s="426"/>
      <c r="AN77" s="426"/>
      <c r="AO77" s="426"/>
      <c r="AP77" s="426"/>
      <c r="AQ77" s="427"/>
      <c r="AR77" s="427"/>
      <c r="AS77" s="427"/>
      <c r="AT77" s="430" t="s">
        <v>1274</v>
      </c>
      <c r="AU77" s="431"/>
      <c r="AV77" s="431"/>
      <c r="AW77" s="431"/>
      <c r="AX77" s="431"/>
      <c r="AY77" s="431"/>
      <c r="AZ77" s="431"/>
      <c r="BA77" s="431"/>
      <c r="BB77" s="431"/>
      <c r="BC77" s="431"/>
      <c r="BD77" s="431"/>
      <c r="BE77" s="431"/>
    </row>
    <row r="78" ht="12.75" customHeight="1">
      <c r="A78" s="256" t="s">
        <v>525</v>
      </c>
      <c r="B78" s="257" t="s">
        <v>118</v>
      </c>
      <c r="C78" s="258" t="s">
        <v>119</v>
      </c>
      <c r="D78" s="258" t="s">
        <v>168</v>
      </c>
      <c r="E78" s="258" t="s">
        <v>169</v>
      </c>
      <c r="F78" s="259"/>
      <c r="G78" s="258" t="s">
        <v>116</v>
      </c>
      <c r="H78" s="258" t="s">
        <v>117</v>
      </c>
      <c r="I78" s="259" t="s">
        <v>105</v>
      </c>
      <c r="J78" s="316" t="s">
        <v>106</v>
      </c>
      <c r="K78" s="317">
        <f>ROUND(M78/0.15,2)</f>
        <v>190.13</v>
      </c>
      <c r="L78" s="318">
        <f>ROUND(N78/0.15,0)</f>
        <v>279533</v>
      </c>
      <c r="M78" s="319">
        <f t="shared" ref="M78:N78" si="255">Q78</f>
        <v>28.52</v>
      </c>
      <c r="N78" s="261">
        <f t="shared" si="255"/>
        <v>41930</v>
      </c>
      <c r="O78" s="262">
        <v>8.09</v>
      </c>
      <c r="P78" s="263">
        <v>11894.0</v>
      </c>
      <c r="Q78" s="260">
        <f t="shared" ref="Q78:R78" si="256">M76-O78</f>
        <v>28.52</v>
      </c>
      <c r="R78" s="261">
        <f t="shared" si="256"/>
        <v>41930</v>
      </c>
      <c r="S78" s="264">
        <v>1470.2</v>
      </c>
      <c r="T78" s="265">
        <v>15.0</v>
      </c>
      <c r="U78" s="266" t="s">
        <v>107</v>
      </c>
      <c r="V78" s="266" t="s">
        <v>1303</v>
      </c>
      <c r="W78" s="320">
        <v>0.544737</v>
      </c>
      <c r="X78" s="320">
        <v>0.544737</v>
      </c>
      <c r="Y78" s="320">
        <v>0.0</v>
      </c>
      <c r="Z78" s="321">
        <f>Z76</f>
        <v>448</v>
      </c>
      <c r="AA78" s="426"/>
      <c r="AB78" s="428"/>
      <c r="AC78" s="432">
        <f t="shared" ref="AC78:AD78" si="257">K78</f>
        <v>190.13</v>
      </c>
      <c r="AD78" s="433">
        <f t="shared" si="257"/>
        <v>279533</v>
      </c>
      <c r="AE78" s="434"/>
      <c r="AF78" s="434"/>
      <c r="AG78" s="348">
        <f t="shared" ref="AG78:AH78" si="258">round(AO78/0.15,2)</f>
        <v>53.93</v>
      </c>
      <c r="AH78" s="348">
        <f t="shared" si="258"/>
        <v>79293.33</v>
      </c>
      <c r="AI78" s="435"/>
      <c r="AJ78" s="435"/>
      <c r="AK78" s="436">
        <f>ROUND(AC78*0.15,2)</f>
        <v>28.52</v>
      </c>
      <c r="AL78" s="437">
        <f>ROUND(AD78*0.15,0)</f>
        <v>41930</v>
      </c>
      <c r="AM78" s="436"/>
      <c r="AN78" s="436"/>
      <c r="AO78" s="436">
        <f t="shared" ref="AO78:AP78" si="259">O78</f>
        <v>8.09</v>
      </c>
      <c r="AP78" s="436">
        <f t="shared" si="259"/>
        <v>11894</v>
      </c>
      <c r="AQ78" s="438"/>
      <c r="AR78" s="438"/>
      <c r="AS78" s="438">
        <f>IFERROR(AC78/K78,IFERROR(AO78/O78,""))</f>
        <v>1</v>
      </c>
      <c r="AT78" s="430" t="s">
        <v>1274</v>
      </c>
      <c r="AU78" s="431"/>
      <c r="AV78" s="431"/>
      <c r="AW78" s="431"/>
      <c r="AX78" s="431"/>
      <c r="AY78" s="431"/>
      <c r="AZ78" s="431"/>
      <c r="BA78" s="431"/>
      <c r="BB78" s="431"/>
      <c r="BC78" s="431"/>
      <c r="BD78" s="431"/>
      <c r="BE78" s="431"/>
    </row>
    <row r="79" ht="12.75" customHeight="1">
      <c r="A79" s="439" t="s">
        <v>1304</v>
      </c>
      <c r="B79" s="440" t="str">
        <f t="shared" ref="B79:J79" si="260">B78</f>
        <v>미래에셋증권</v>
      </c>
      <c r="C79" s="441" t="str">
        <f t="shared" si="260"/>
        <v>584-2176-0816-0</v>
      </c>
      <c r="D79" s="441" t="str">
        <f t="shared" si="260"/>
        <v>2025-04-09</v>
      </c>
      <c r="E79" s="441" t="str">
        <f t="shared" si="260"/>
        <v>2025-04-07</v>
      </c>
      <c r="F79" s="441" t="str">
        <f t="shared" si="260"/>
        <v/>
      </c>
      <c r="G79" s="441" t="str">
        <f t="shared" si="260"/>
        <v>BITO</v>
      </c>
      <c r="H79" s="441" t="str">
        <f t="shared" si="260"/>
        <v>PROSHARES BITCOIN ETF</v>
      </c>
      <c r="I79" s="441" t="str">
        <f t="shared" si="260"/>
        <v>배당소득</v>
      </c>
      <c r="J79" s="440" t="str">
        <f t="shared" si="260"/>
        <v>USD</v>
      </c>
      <c r="K79" s="442"/>
      <c r="L79" s="443"/>
      <c r="M79" s="444"/>
      <c r="N79" s="445"/>
      <c r="O79" s="446"/>
      <c r="P79" s="447"/>
      <c r="Q79" s="446"/>
      <c r="R79" s="448"/>
      <c r="S79" s="449"/>
      <c r="T79" s="450"/>
      <c r="U79" s="451"/>
      <c r="V79" s="451"/>
      <c r="W79" s="452"/>
      <c r="X79" s="452"/>
      <c r="Y79" s="452"/>
      <c r="Z79" s="448"/>
      <c r="AA79" s="446"/>
      <c r="AB79" s="453"/>
      <c r="AC79" s="454"/>
      <c r="AD79" s="455"/>
      <c r="AE79" s="456"/>
      <c r="AF79" s="457"/>
      <c r="AG79" s="458">
        <f>IFERROR(ROUND(AO79/0.15,2),0)</f>
        <v>-53.93</v>
      </c>
      <c r="AH79" s="458">
        <f>IFERROR(ROUND(AP79/0.15,0),0)</f>
        <v>-79293</v>
      </c>
      <c r="AI79" s="457"/>
      <c r="AJ79" s="459"/>
      <c r="AK79" s="457"/>
      <c r="AL79" s="459"/>
      <c r="AM79" s="457"/>
      <c r="AN79" s="457"/>
      <c r="AO79" s="460">
        <f t="shared" ref="AO79:AP79" si="261">-AO78</f>
        <v>-8.09</v>
      </c>
      <c r="AP79" s="460">
        <f t="shared" si="261"/>
        <v>-11894</v>
      </c>
      <c r="AQ79" s="459"/>
      <c r="AR79" s="459"/>
      <c r="AS79" s="459"/>
      <c r="AT79" s="430" t="s">
        <v>1274</v>
      </c>
      <c r="AU79" s="431"/>
      <c r="AV79" s="431"/>
      <c r="AW79" s="431"/>
      <c r="AX79" s="431"/>
      <c r="AY79" s="431"/>
      <c r="AZ79" s="431"/>
      <c r="BA79" s="431"/>
      <c r="BB79" s="431"/>
      <c r="BC79" s="431"/>
      <c r="BD79" s="431"/>
      <c r="BE79" s="431"/>
    </row>
    <row r="80" ht="12.75" customHeight="1">
      <c r="A80" s="439" t="s">
        <v>1305</v>
      </c>
      <c r="B80" s="440" t="str">
        <f t="shared" ref="B80:J80" si="262">B79</f>
        <v>미래에셋증권</v>
      </c>
      <c r="C80" s="441" t="str">
        <f t="shared" si="262"/>
        <v>584-2176-0816-0</v>
      </c>
      <c r="D80" s="441" t="str">
        <f t="shared" si="262"/>
        <v>2025-04-09</v>
      </c>
      <c r="E80" s="441" t="str">
        <f t="shared" si="262"/>
        <v>2025-04-07</v>
      </c>
      <c r="F80" s="441" t="str">
        <f t="shared" si="262"/>
        <v/>
      </c>
      <c r="G80" s="441" t="str">
        <f t="shared" si="262"/>
        <v>BITO</v>
      </c>
      <c r="H80" s="441" t="str">
        <f t="shared" si="262"/>
        <v>PROSHARES BITCOIN ETF</v>
      </c>
      <c r="I80" s="441" t="str">
        <f t="shared" si="262"/>
        <v>배당소득</v>
      </c>
      <c r="J80" s="440" t="str">
        <f t="shared" si="262"/>
        <v>USD</v>
      </c>
      <c r="K80" s="442"/>
      <c r="L80" s="443"/>
      <c r="M80" s="444"/>
      <c r="N80" s="445"/>
      <c r="O80" s="446"/>
      <c r="P80" s="447"/>
      <c r="Q80" s="446"/>
      <c r="R80" s="448"/>
      <c r="S80" s="449"/>
      <c r="T80" s="450"/>
      <c r="U80" s="451"/>
      <c r="V80" s="451"/>
      <c r="W80" s="452"/>
      <c r="X80" s="452"/>
      <c r="Y80" s="452"/>
      <c r="Z80" s="448"/>
      <c r="AA80" s="446"/>
      <c r="AB80" s="453"/>
      <c r="AC80" s="454"/>
      <c r="AD80" s="461"/>
      <c r="AE80" s="462">
        <f>IFERROR(ROUND(AM80/0.15,2),0)</f>
        <v>53.93</v>
      </c>
      <c r="AF80" s="458">
        <f>IFERROR(ROUND(AN80/0.15,0),0)</f>
        <v>79293</v>
      </c>
      <c r="AG80" s="463"/>
      <c r="AH80" s="464"/>
      <c r="AI80" s="457"/>
      <c r="AJ80" s="459"/>
      <c r="AK80" s="457"/>
      <c r="AL80" s="459"/>
      <c r="AM80" s="460">
        <f t="shared" ref="AM80:AN80" si="263">AO78</f>
        <v>8.09</v>
      </c>
      <c r="AN80" s="460">
        <f t="shared" si="263"/>
        <v>11894</v>
      </c>
      <c r="AO80" s="457"/>
      <c r="AP80" s="465"/>
      <c r="AQ80" s="466">
        <f>AF80</f>
        <v>79293</v>
      </c>
      <c r="AR80" s="466">
        <f>ROUND(AQ80*0.14,0)</f>
        <v>11101</v>
      </c>
      <c r="AS80" s="459"/>
      <c r="AT80" s="430" t="s">
        <v>1274</v>
      </c>
      <c r="AU80" s="431"/>
      <c r="AV80" s="431"/>
      <c r="AW80" s="431"/>
      <c r="AX80" s="431"/>
      <c r="AY80" s="431"/>
      <c r="AZ80" s="431"/>
      <c r="BA80" s="431"/>
      <c r="BB80" s="431"/>
      <c r="BC80" s="431"/>
      <c r="BD80" s="431"/>
      <c r="BE80" s="431"/>
    </row>
    <row r="81" ht="12.75" customHeight="1">
      <c r="A81" s="245" t="s">
        <v>527</v>
      </c>
      <c r="B81" s="246" t="s">
        <v>118</v>
      </c>
      <c r="C81" s="247" t="s">
        <v>119</v>
      </c>
      <c r="D81" s="247" t="s">
        <v>170</v>
      </c>
      <c r="E81" s="247" t="s">
        <v>171</v>
      </c>
      <c r="F81" s="248"/>
      <c r="G81" s="247" t="s">
        <v>135</v>
      </c>
      <c r="H81" s="247" t="s">
        <v>172</v>
      </c>
      <c r="I81" s="248" t="s">
        <v>105</v>
      </c>
      <c r="J81" s="300" t="s">
        <v>106</v>
      </c>
      <c r="K81" s="301">
        <v>790.67</v>
      </c>
      <c r="L81" s="302">
        <v>1128602.0</v>
      </c>
      <c r="M81" s="303">
        <v>118.6</v>
      </c>
      <c r="N81" s="250">
        <v>169289.0</v>
      </c>
      <c r="O81" s="249">
        <v>0.0</v>
      </c>
      <c r="P81" s="250">
        <v>0.0</v>
      </c>
      <c r="Q81" s="251">
        <f t="shared" ref="Q81:R81" si="264">M81-O81</f>
        <v>118.6</v>
      </c>
      <c r="R81" s="252">
        <f t="shared" si="264"/>
        <v>169289</v>
      </c>
      <c r="S81" s="253">
        <v>1427.4</v>
      </c>
      <c r="T81" s="254">
        <v>15.0</v>
      </c>
      <c r="U81" s="255" t="s">
        <v>107</v>
      </c>
      <c r="V81" s="255"/>
      <c r="W81" s="304">
        <v>1.3356</v>
      </c>
      <c r="X81" s="304">
        <v>0.0</v>
      </c>
      <c r="Y81" s="304">
        <v>1.3356</v>
      </c>
      <c r="Z81" s="305">
        <f>IFERROR(ROUND(K81/W81,0),0)</f>
        <v>592</v>
      </c>
      <c r="AA81" s="306">
        <f t="shared" ref="AA81:AA82" si="266">Z81*W81</f>
        <v>790.6752</v>
      </c>
      <c r="AB81" s="307">
        <f t="shared" ref="AB81:AB82" si="267">ROUND(AA81*S81,0)</f>
        <v>1128610</v>
      </c>
      <c r="AC81" s="308">
        <f t="shared" ref="AC81:AC82" si="268">AA81</f>
        <v>790.6752</v>
      </c>
      <c r="AD81" s="309">
        <f t="shared" ref="AD81:AD83" si="269">ROUND(AC81*S81,0)</f>
        <v>1128610</v>
      </c>
      <c r="AE81" s="425"/>
      <c r="AF81" s="425"/>
      <c r="AG81" s="310">
        <f t="shared" ref="AG81:AG83" si="270">IFERROR(ROUND(Z81*Y81,2),0)</f>
        <v>790.68</v>
      </c>
      <c r="AH81" s="252">
        <f t="shared" ref="AH81:AH83" si="271">ROUND(AG81*S81,0)</f>
        <v>1128617</v>
      </c>
      <c r="AI81" s="306">
        <f t="shared" ref="AI81:AI82" si="272">ROUND(AC81*0.15,2)</f>
        <v>118.6</v>
      </c>
      <c r="AJ81" s="252">
        <f t="shared" ref="AJ81:AJ82" si="273">ROUND(AD81*0.15,0)</f>
        <v>169292</v>
      </c>
      <c r="AK81" s="426"/>
      <c r="AL81" s="426"/>
      <c r="AM81" s="426"/>
      <c r="AN81" s="426"/>
      <c r="AO81" s="426"/>
      <c r="AP81" s="426"/>
      <c r="AQ81" s="427"/>
      <c r="AR81" s="427"/>
      <c r="AS81" s="427"/>
      <c r="AT81" s="426"/>
      <c r="AU81" s="410"/>
      <c r="AV81" s="410"/>
      <c r="AW81" s="410"/>
      <c r="AX81" s="410"/>
      <c r="AY81" s="410"/>
      <c r="AZ81" s="410"/>
      <c r="BA81" s="410"/>
      <c r="BB81" s="410"/>
      <c r="BC81" s="410"/>
      <c r="BD81" s="410"/>
      <c r="BE81" s="410"/>
    </row>
    <row r="82" ht="12.75" customHeight="1">
      <c r="A82" s="245" t="s">
        <v>528</v>
      </c>
      <c r="B82" s="246" t="s">
        <v>118</v>
      </c>
      <c r="C82" s="247" t="s">
        <v>119</v>
      </c>
      <c r="D82" s="247" t="s">
        <v>170</v>
      </c>
      <c r="E82" s="247" t="s">
        <v>171</v>
      </c>
      <c r="F82" s="248"/>
      <c r="G82" s="247" t="s">
        <v>135</v>
      </c>
      <c r="H82" s="247" t="s">
        <v>172</v>
      </c>
      <c r="I82" s="248" t="s">
        <v>105</v>
      </c>
      <c r="J82" s="300" t="s">
        <v>106</v>
      </c>
      <c r="K82" s="314">
        <f t="shared" ref="K82:R82" si="265">-K81</f>
        <v>-790.67</v>
      </c>
      <c r="L82" s="309">
        <f t="shared" si="265"/>
        <v>-1128602</v>
      </c>
      <c r="M82" s="315">
        <f t="shared" si="265"/>
        <v>-118.6</v>
      </c>
      <c r="N82" s="252">
        <f t="shared" si="265"/>
        <v>-169289</v>
      </c>
      <c r="O82" s="251">
        <f t="shared" si="265"/>
        <v>0</v>
      </c>
      <c r="P82" s="252">
        <f t="shared" si="265"/>
        <v>0</v>
      </c>
      <c r="Q82" s="251">
        <f t="shared" si="265"/>
        <v>-118.6</v>
      </c>
      <c r="R82" s="252">
        <f t="shared" si="265"/>
        <v>-169289</v>
      </c>
      <c r="S82" s="253">
        <v>1427.4</v>
      </c>
      <c r="T82" s="254">
        <v>15.0</v>
      </c>
      <c r="U82" s="255" t="s">
        <v>107</v>
      </c>
      <c r="V82" s="255"/>
      <c r="W82" s="304">
        <v>1.3356</v>
      </c>
      <c r="X82" s="304">
        <v>0.0</v>
      </c>
      <c r="Y82" s="304">
        <v>1.3356</v>
      </c>
      <c r="Z82" s="305">
        <f>-Z81</f>
        <v>-592</v>
      </c>
      <c r="AA82" s="306">
        <f t="shared" si="266"/>
        <v>-790.6752</v>
      </c>
      <c r="AB82" s="307">
        <f t="shared" si="267"/>
        <v>-1128610</v>
      </c>
      <c r="AC82" s="308">
        <f t="shared" si="268"/>
        <v>-790.6752</v>
      </c>
      <c r="AD82" s="309">
        <f t="shared" si="269"/>
        <v>-1128610</v>
      </c>
      <c r="AE82" s="425"/>
      <c r="AF82" s="425"/>
      <c r="AG82" s="310">
        <f t="shared" si="270"/>
        <v>-790.68</v>
      </c>
      <c r="AH82" s="252">
        <f t="shared" si="271"/>
        <v>-1128617</v>
      </c>
      <c r="AI82" s="306">
        <f t="shared" si="272"/>
        <v>-118.6</v>
      </c>
      <c r="AJ82" s="252">
        <f t="shared" si="273"/>
        <v>-169292</v>
      </c>
      <c r="AK82" s="426"/>
      <c r="AL82" s="426"/>
      <c r="AM82" s="426"/>
      <c r="AN82" s="426"/>
      <c r="AO82" s="426"/>
      <c r="AP82" s="426"/>
      <c r="AQ82" s="427"/>
      <c r="AR82" s="427"/>
      <c r="AS82" s="427"/>
      <c r="AT82" s="426"/>
      <c r="AU82" s="410"/>
      <c r="AV82" s="410"/>
      <c r="AW82" s="410"/>
      <c r="AX82" s="410"/>
      <c r="AY82" s="410"/>
      <c r="AZ82" s="410"/>
      <c r="BA82" s="410"/>
      <c r="BB82" s="410"/>
      <c r="BC82" s="410"/>
      <c r="BD82" s="410"/>
      <c r="BE82" s="410"/>
    </row>
    <row r="83" ht="12.75" customHeight="1">
      <c r="A83" s="256" t="s">
        <v>529</v>
      </c>
      <c r="B83" s="257" t="s">
        <v>118</v>
      </c>
      <c r="C83" s="258" t="s">
        <v>119</v>
      </c>
      <c r="D83" s="258" t="s">
        <v>170</v>
      </c>
      <c r="E83" s="258" t="s">
        <v>171</v>
      </c>
      <c r="F83" s="259"/>
      <c r="G83" s="258" t="s">
        <v>135</v>
      </c>
      <c r="H83" s="258" t="s">
        <v>172</v>
      </c>
      <c r="I83" s="259" t="s">
        <v>105</v>
      </c>
      <c r="J83" s="316" t="s">
        <v>106</v>
      </c>
      <c r="K83" s="317">
        <f>ROUND(M83/0.15,2)</f>
        <v>0</v>
      </c>
      <c r="L83" s="318">
        <f>ROUND(N83/0.15,0)</f>
        <v>-7</v>
      </c>
      <c r="M83" s="319">
        <f t="shared" ref="M83:N83" si="274">Q83</f>
        <v>0</v>
      </c>
      <c r="N83" s="261">
        <f t="shared" si="274"/>
        <v>-1</v>
      </c>
      <c r="O83" s="262">
        <v>118.6</v>
      </c>
      <c r="P83" s="263">
        <v>169290.0</v>
      </c>
      <c r="Q83" s="260">
        <f t="shared" ref="Q83:R83" si="275">M81-O83</f>
        <v>0</v>
      </c>
      <c r="R83" s="261">
        <f t="shared" si="275"/>
        <v>-1</v>
      </c>
      <c r="S83" s="264">
        <v>1427.4</v>
      </c>
      <c r="T83" s="265">
        <v>15.0</v>
      </c>
      <c r="U83" s="266" t="s">
        <v>107</v>
      </c>
      <c r="V83" s="266" t="s">
        <v>1306</v>
      </c>
      <c r="W83" s="320">
        <v>1.3356</v>
      </c>
      <c r="X83" s="320">
        <v>0.0</v>
      </c>
      <c r="Y83" s="320">
        <v>1.3356</v>
      </c>
      <c r="Z83" s="321">
        <f>Z81</f>
        <v>592</v>
      </c>
      <c r="AA83" s="426"/>
      <c r="AB83" s="428"/>
      <c r="AC83" s="323">
        <f>IFERROR(ROUND(Z83*X83,2),0)</f>
        <v>0</v>
      </c>
      <c r="AD83" s="318">
        <f t="shared" si="269"/>
        <v>0</v>
      </c>
      <c r="AE83" s="429"/>
      <c r="AF83" s="429"/>
      <c r="AG83" s="324">
        <f t="shared" si="270"/>
        <v>790.68</v>
      </c>
      <c r="AH83" s="261">
        <f t="shared" si="271"/>
        <v>1128617</v>
      </c>
      <c r="AI83" s="426"/>
      <c r="AJ83" s="426"/>
      <c r="AK83" s="325">
        <f>ROUND(AC83*0.15,2)</f>
        <v>0</v>
      </c>
      <c r="AL83" s="261">
        <f>ROUND(AD83*0.15,0)</f>
        <v>0</v>
      </c>
      <c r="AM83" s="325"/>
      <c r="AN83" s="325"/>
      <c r="AO83" s="325">
        <f>ROUND(AG83*0.15,2)</f>
        <v>118.6</v>
      </c>
      <c r="AP83" s="261">
        <f>ROUND(AH83*0.15,0)</f>
        <v>169293</v>
      </c>
      <c r="AQ83" s="326"/>
      <c r="AR83" s="326"/>
      <c r="AS83" s="326">
        <f>IFERROR(AC83/K83,IFERROR(AO83/O83,""))</f>
        <v>1</v>
      </c>
      <c r="AT83" s="426"/>
      <c r="AU83" s="410"/>
      <c r="AV83" s="410"/>
      <c r="AW83" s="410"/>
      <c r="AX83" s="410"/>
      <c r="AY83" s="410"/>
      <c r="AZ83" s="410"/>
      <c r="BA83" s="410"/>
      <c r="BB83" s="410"/>
      <c r="BC83" s="410"/>
      <c r="BD83" s="410"/>
      <c r="BE83" s="410"/>
    </row>
    <row r="84" ht="12.75" customHeight="1">
      <c r="A84" s="267" t="s">
        <v>531</v>
      </c>
      <c r="B84" s="268" t="s">
        <v>118</v>
      </c>
      <c r="C84" s="269" t="s">
        <v>119</v>
      </c>
      <c r="D84" s="269" t="s">
        <v>170</v>
      </c>
      <c r="E84" s="269" t="s">
        <v>170</v>
      </c>
      <c r="F84" s="270"/>
      <c r="G84" s="269" t="s">
        <v>173</v>
      </c>
      <c r="H84" s="270" t="s">
        <v>174</v>
      </c>
      <c r="I84" s="270" t="s">
        <v>105</v>
      </c>
      <c r="J84" s="354" t="s">
        <v>106</v>
      </c>
      <c r="K84" s="355">
        <v>0.5</v>
      </c>
      <c r="L84" s="356">
        <v>713.0</v>
      </c>
      <c r="M84" s="357">
        <v>0.08</v>
      </c>
      <c r="N84" s="272">
        <v>114.0</v>
      </c>
      <c r="O84" s="271">
        <v>0.0</v>
      </c>
      <c r="P84" s="272">
        <v>0.0</v>
      </c>
      <c r="Q84" s="273">
        <f t="shared" ref="Q84:R84" si="276">M84-O84</f>
        <v>0.08</v>
      </c>
      <c r="R84" s="274">
        <f t="shared" si="276"/>
        <v>114</v>
      </c>
      <c r="S84" s="275">
        <v>1427.4</v>
      </c>
      <c r="T84" s="276">
        <v>15.0</v>
      </c>
      <c r="U84" s="277" t="s">
        <v>107</v>
      </c>
      <c r="V84" s="277"/>
      <c r="W84" s="468"/>
      <c r="X84" s="468"/>
      <c r="Y84" s="468"/>
      <c r="Z84" s="468"/>
      <c r="AA84" s="468"/>
      <c r="AB84" s="469"/>
      <c r="AC84" s="470">
        <f t="shared" ref="AC84:AD84" si="277">K84</f>
        <v>0.5</v>
      </c>
      <c r="AD84" s="471">
        <f t="shared" si="277"/>
        <v>713</v>
      </c>
      <c r="AE84" s="472"/>
      <c r="AF84" s="472"/>
      <c r="AG84" s="473"/>
      <c r="AH84" s="468"/>
      <c r="AI84" s="468"/>
      <c r="AJ84" s="468"/>
      <c r="AK84" s="474">
        <f t="shared" ref="AK84:AL84" si="278">Q84</f>
        <v>0.08</v>
      </c>
      <c r="AL84" s="475">
        <f t="shared" si="278"/>
        <v>114</v>
      </c>
      <c r="AM84" s="468"/>
      <c r="AN84" s="468"/>
      <c r="AO84" s="468"/>
      <c r="AP84" s="468"/>
      <c r="AQ84" s="476"/>
      <c r="AR84" s="476"/>
      <c r="AS84" s="476"/>
      <c r="AT84" s="468"/>
      <c r="AU84" s="477"/>
      <c r="AV84" s="477"/>
      <c r="AW84" s="477"/>
      <c r="AX84" s="477"/>
      <c r="AY84" s="477"/>
      <c r="AZ84" s="477"/>
      <c r="BA84" s="477"/>
      <c r="BB84" s="477"/>
      <c r="BC84" s="477"/>
      <c r="BD84" s="477"/>
      <c r="BE84" s="477"/>
    </row>
    <row r="85" ht="12.75" customHeight="1">
      <c r="A85" s="267" t="s">
        <v>532</v>
      </c>
      <c r="B85" s="268" t="s">
        <v>118</v>
      </c>
      <c r="C85" s="269" t="s">
        <v>119</v>
      </c>
      <c r="D85" s="269" t="s">
        <v>175</v>
      </c>
      <c r="E85" s="270"/>
      <c r="F85" s="270"/>
      <c r="G85" s="269" t="s">
        <v>148</v>
      </c>
      <c r="H85" s="269" t="s">
        <v>1307</v>
      </c>
      <c r="I85" s="270" t="s">
        <v>105</v>
      </c>
      <c r="J85" s="354" t="s">
        <v>150</v>
      </c>
      <c r="K85" s="355">
        <v>0.0</v>
      </c>
      <c r="L85" s="356">
        <v>0.0</v>
      </c>
      <c r="M85" s="357">
        <v>0.0</v>
      </c>
      <c r="N85" s="272">
        <v>8.0</v>
      </c>
      <c r="O85" s="271">
        <v>0.0</v>
      </c>
      <c r="P85" s="272">
        <v>0.0</v>
      </c>
      <c r="Q85" s="273">
        <f t="shared" ref="Q85:R85" si="279">M85-O85</f>
        <v>0</v>
      </c>
      <c r="R85" s="274">
        <f t="shared" si="279"/>
        <v>8</v>
      </c>
      <c r="S85" s="275">
        <v>1.0</v>
      </c>
      <c r="T85" s="276">
        <v>0.0</v>
      </c>
      <c r="U85" s="277" t="s">
        <v>151</v>
      </c>
      <c r="V85" s="277"/>
      <c r="W85" s="468"/>
      <c r="X85" s="468"/>
      <c r="Y85" s="468"/>
      <c r="Z85" s="468"/>
      <c r="AA85" s="468"/>
      <c r="AB85" s="469"/>
      <c r="AC85" s="470">
        <f t="shared" ref="AC85:AD85" si="280">K85</f>
        <v>0</v>
      </c>
      <c r="AD85" s="471">
        <f t="shared" si="280"/>
        <v>0</v>
      </c>
      <c r="AE85" s="472"/>
      <c r="AF85" s="472"/>
      <c r="AG85" s="473"/>
      <c r="AH85" s="468"/>
      <c r="AI85" s="468"/>
      <c r="AJ85" s="468"/>
      <c r="AK85" s="474">
        <f t="shared" ref="AK85:AL85" si="281">Q85</f>
        <v>0</v>
      </c>
      <c r="AL85" s="475">
        <f t="shared" si="281"/>
        <v>8</v>
      </c>
      <c r="AM85" s="468"/>
      <c r="AN85" s="468"/>
      <c r="AO85" s="468"/>
      <c r="AP85" s="468"/>
      <c r="AQ85" s="476"/>
      <c r="AR85" s="476"/>
      <c r="AS85" s="476"/>
      <c r="AT85" s="468"/>
      <c r="AU85" s="477"/>
      <c r="AV85" s="477"/>
      <c r="AW85" s="477"/>
      <c r="AX85" s="477"/>
      <c r="AY85" s="477"/>
      <c r="AZ85" s="477"/>
      <c r="BA85" s="477"/>
      <c r="BB85" s="477"/>
      <c r="BC85" s="477"/>
      <c r="BD85" s="477"/>
      <c r="BE85" s="477"/>
    </row>
    <row r="86" ht="12.75" customHeight="1">
      <c r="A86" s="245" t="s">
        <v>534</v>
      </c>
      <c r="B86" s="246" t="s">
        <v>118</v>
      </c>
      <c r="C86" s="247" t="s">
        <v>119</v>
      </c>
      <c r="D86" s="247" t="s">
        <v>178</v>
      </c>
      <c r="E86" s="247" t="s">
        <v>179</v>
      </c>
      <c r="F86" s="248"/>
      <c r="G86" s="247" t="s">
        <v>139</v>
      </c>
      <c r="H86" s="247" t="s">
        <v>180</v>
      </c>
      <c r="I86" s="248" t="s">
        <v>105</v>
      </c>
      <c r="J86" s="300" t="s">
        <v>106</v>
      </c>
      <c r="K86" s="301">
        <v>533.78</v>
      </c>
      <c r="L86" s="302">
        <v>759355.0</v>
      </c>
      <c r="M86" s="303">
        <v>80.07</v>
      </c>
      <c r="N86" s="250">
        <v>113907.0</v>
      </c>
      <c r="O86" s="249">
        <v>0.0</v>
      </c>
      <c r="P86" s="250">
        <v>0.0</v>
      </c>
      <c r="Q86" s="251">
        <f t="shared" ref="Q86:R86" si="282">M86-O86</f>
        <v>80.07</v>
      </c>
      <c r="R86" s="252">
        <f t="shared" si="282"/>
        <v>113907</v>
      </c>
      <c r="S86" s="253">
        <v>1422.6</v>
      </c>
      <c r="T86" s="254">
        <v>15.0</v>
      </c>
      <c r="U86" s="255" t="s">
        <v>107</v>
      </c>
      <c r="V86" s="255"/>
      <c r="W86" s="304">
        <v>0.6598</v>
      </c>
      <c r="X86" s="304">
        <v>0.178349</v>
      </c>
      <c r="Y86" s="304">
        <v>0.481451</v>
      </c>
      <c r="Z86" s="305">
        <f>IFERROR(ROUND(K86/W86,0),0)</f>
        <v>809</v>
      </c>
      <c r="AA86" s="306">
        <f t="shared" ref="AA86:AA87" si="284">Z86*W86</f>
        <v>533.7782</v>
      </c>
      <c r="AB86" s="307">
        <f t="shared" ref="AB86:AB87" si="285">ROUND(AA86*S86,0)</f>
        <v>759353</v>
      </c>
      <c r="AC86" s="308">
        <f t="shared" ref="AC86:AC87" si="286">AA86</f>
        <v>533.7782</v>
      </c>
      <c r="AD86" s="309">
        <f t="shared" ref="AD86:AD88" si="287">ROUND(AC86*S86,0)</f>
        <v>759353</v>
      </c>
      <c r="AE86" s="425"/>
      <c r="AF86" s="425"/>
      <c r="AG86" s="310">
        <f t="shared" ref="AG86:AG88" si="288">IFERROR(ROUND(Z86*Y86,2),0)</f>
        <v>389.49</v>
      </c>
      <c r="AH86" s="252">
        <f t="shared" ref="AH86:AH88" si="289">ROUND(AG86*S86,0)</f>
        <v>554088</v>
      </c>
      <c r="AI86" s="306">
        <f t="shared" ref="AI86:AI87" si="290">ROUND(AC86*0.15,2)</f>
        <v>80.07</v>
      </c>
      <c r="AJ86" s="252">
        <f t="shared" ref="AJ86:AJ87" si="291">ROUND(AD86*0.15,0)</f>
        <v>113903</v>
      </c>
      <c r="AK86" s="426"/>
      <c r="AL86" s="426"/>
      <c r="AM86" s="426"/>
      <c r="AN86" s="426"/>
      <c r="AO86" s="426"/>
      <c r="AP86" s="426"/>
      <c r="AQ86" s="427"/>
      <c r="AR86" s="427"/>
      <c r="AS86" s="427"/>
      <c r="AT86" s="426"/>
      <c r="AU86" s="410"/>
      <c r="AV86" s="410"/>
      <c r="AW86" s="410"/>
      <c r="AX86" s="410"/>
      <c r="AY86" s="410"/>
      <c r="AZ86" s="410"/>
      <c r="BA86" s="410"/>
      <c r="BB86" s="410"/>
      <c r="BC86" s="410"/>
      <c r="BD86" s="410"/>
      <c r="BE86" s="410"/>
    </row>
    <row r="87" ht="12.75" customHeight="1">
      <c r="A87" s="245" t="s">
        <v>535</v>
      </c>
      <c r="B87" s="246" t="s">
        <v>118</v>
      </c>
      <c r="C87" s="247" t="s">
        <v>119</v>
      </c>
      <c r="D87" s="247" t="s">
        <v>178</v>
      </c>
      <c r="E87" s="247" t="s">
        <v>179</v>
      </c>
      <c r="F87" s="248"/>
      <c r="G87" s="247" t="s">
        <v>139</v>
      </c>
      <c r="H87" s="247" t="s">
        <v>180</v>
      </c>
      <c r="I87" s="248" t="s">
        <v>105</v>
      </c>
      <c r="J87" s="300" t="s">
        <v>106</v>
      </c>
      <c r="K87" s="314">
        <f t="shared" ref="K87:R87" si="283">-K86</f>
        <v>-533.78</v>
      </c>
      <c r="L87" s="309">
        <f t="shared" si="283"/>
        <v>-759355</v>
      </c>
      <c r="M87" s="315">
        <f t="shared" si="283"/>
        <v>-80.07</v>
      </c>
      <c r="N87" s="252">
        <f t="shared" si="283"/>
        <v>-113907</v>
      </c>
      <c r="O87" s="251">
        <f t="shared" si="283"/>
        <v>0</v>
      </c>
      <c r="P87" s="252">
        <f t="shared" si="283"/>
        <v>0</v>
      </c>
      <c r="Q87" s="251">
        <f t="shared" si="283"/>
        <v>-80.07</v>
      </c>
      <c r="R87" s="252">
        <f t="shared" si="283"/>
        <v>-113907</v>
      </c>
      <c r="S87" s="253">
        <v>1422.6</v>
      </c>
      <c r="T87" s="254">
        <v>15.0</v>
      </c>
      <c r="U87" s="255" t="s">
        <v>107</v>
      </c>
      <c r="V87" s="255"/>
      <c r="W87" s="304">
        <v>0.6598</v>
      </c>
      <c r="X87" s="304">
        <v>0.178349</v>
      </c>
      <c r="Y87" s="304">
        <v>0.481451</v>
      </c>
      <c r="Z87" s="305">
        <f>-Z86</f>
        <v>-809</v>
      </c>
      <c r="AA87" s="306">
        <f t="shared" si="284"/>
        <v>-533.7782</v>
      </c>
      <c r="AB87" s="307">
        <f t="shared" si="285"/>
        <v>-759353</v>
      </c>
      <c r="AC87" s="308">
        <f t="shared" si="286"/>
        <v>-533.7782</v>
      </c>
      <c r="AD87" s="309">
        <f t="shared" si="287"/>
        <v>-759353</v>
      </c>
      <c r="AE87" s="425"/>
      <c r="AF87" s="425"/>
      <c r="AG87" s="310">
        <f t="shared" si="288"/>
        <v>-389.49</v>
      </c>
      <c r="AH87" s="252">
        <f t="shared" si="289"/>
        <v>-554088</v>
      </c>
      <c r="AI87" s="306">
        <f t="shared" si="290"/>
        <v>-80.07</v>
      </c>
      <c r="AJ87" s="252">
        <f t="shared" si="291"/>
        <v>-113903</v>
      </c>
      <c r="AK87" s="426"/>
      <c r="AL87" s="426"/>
      <c r="AM87" s="426"/>
      <c r="AN87" s="426"/>
      <c r="AO87" s="426"/>
      <c r="AP87" s="426"/>
      <c r="AQ87" s="427"/>
      <c r="AR87" s="427"/>
      <c r="AS87" s="427"/>
      <c r="AT87" s="426"/>
      <c r="AU87" s="410"/>
      <c r="AV87" s="410"/>
      <c r="AW87" s="410"/>
      <c r="AX87" s="410"/>
      <c r="AY87" s="410"/>
      <c r="AZ87" s="410"/>
      <c r="BA87" s="410"/>
      <c r="BB87" s="410"/>
      <c r="BC87" s="410"/>
      <c r="BD87" s="410"/>
      <c r="BE87" s="410"/>
    </row>
    <row r="88" ht="12.75" customHeight="1">
      <c r="A88" s="256" t="s">
        <v>536</v>
      </c>
      <c r="B88" s="257" t="s">
        <v>118</v>
      </c>
      <c r="C88" s="258" t="s">
        <v>119</v>
      </c>
      <c r="D88" s="258" t="s">
        <v>178</v>
      </c>
      <c r="E88" s="258" t="s">
        <v>179</v>
      </c>
      <c r="F88" s="259"/>
      <c r="G88" s="258" t="s">
        <v>139</v>
      </c>
      <c r="H88" s="258" t="s">
        <v>180</v>
      </c>
      <c r="I88" s="259" t="s">
        <v>105</v>
      </c>
      <c r="J88" s="316" t="s">
        <v>106</v>
      </c>
      <c r="K88" s="317">
        <f>ROUND(M88/0.15,2)</f>
        <v>144.27</v>
      </c>
      <c r="L88" s="318">
        <f>ROUND(N88/0.15,0)</f>
        <v>205227</v>
      </c>
      <c r="M88" s="319">
        <f t="shared" ref="M88:N88" si="292">Q88</f>
        <v>21.64</v>
      </c>
      <c r="N88" s="261">
        <f t="shared" si="292"/>
        <v>30784</v>
      </c>
      <c r="O88" s="262">
        <v>58.43</v>
      </c>
      <c r="P88" s="263">
        <v>83123.0</v>
      </c>
      <c r="Q88" s="260">
        <f t="shared" ref="Q88:R88" si="293">M86-O88</f>
        <v>21.64</v>
      </c>
      <c r="R88" s="261">
        <f t="shared" si="293"/>
        <v>30784</v>
      </c>
      <c r="S88" s="264">
        <v>1422.6</v>
      </c>
      <c r="T88" s="265">
        <v>15.0</v>
      </c>
      <c r="U88" s="266" t="s">
        <v>107</v>
      </c>
      <c r="V88" s="266" t="s">
        <v>1308</v>
      </c>
      <c r="W88" s="320">
        <v>0.6598</v>
      </c>
      <c r="X88" s="320">
        <v>0.178349</v>
      </c>
      <c r="Y88" s="320">
        <v>0.481451</v>
      </c>
      <c r="Z88" s="321">
        <f>Z86</f>
        <v>809</v>
      </c>
      <c r="AA88" s="426"/>
      <c r="AB88" s="428"/>
      <c r="AC88" s="323">
        <f>IFERROR(ROUND(Z88*X88,2),0)</f>
        <v>144.28</v>
      </c>
      <c r="AD88" s="318">
        <f t="shared" si="287"/>
        <v>205253</v>
      </c>
      <c r="AE88" s="429"/>
      <c r="AF88" s="429"/>
      <c r="AG88" s="324">
        <f t="shared" si="288"/>
        <v>389.49</v>
      </c>
      <c r="AH88" s="261">
        <f t="shared" si="289"/>
        <v>554088</v>
      </c>
      <c r="AI88" s="426"/>
      <c r="AJ88" s="426"/>
      <c r="AK88" s="325">
        <f>ROUND(AC88*0.15,2)</f>
        <v>21.64</v>
      </c>
      <c r="AL88" s="261">
        <f>ROUND(AD88*0.15,0)</f>
        <v>30788</v>
      </c>
      <c r="AM88" s="325"/>
      <c r="AN88" s="325"/>
      <c r="AO88" s="325">
        <f>ROUND(AG88*0.15,2)</f>
        <v>58.42</v>
      </c>
      <c r="AP88" s="261">
        <f>ROUND(AH88*0.15,0)</f>
        <v>83113</v>
      </c>
      <c r="AQ88" s="326"/>
      <c r="AR88" s="326"/>
      <c r="AS88" s="326">
        <f>IFERROR(AC88/K88,IFERROR(AO88/O88,""))</f>
        <v>1.000069314</v>
      </c>
      <c r="AT88" s="426"/>
      <c r="AU88" s="410"/>
      <c r="AV88" s="410"/>
      <c r="AW88" s="410"/>
      <c r="AX88" s="410"/>
      <c r="AY88" s="410"/>
      <c r="AZ88" s="410"/>
      <c r="BA88" s="410"/>
      <c r="BB88" s="410"/>
      <c r="BC88" s="410"/>
      <c r="BD88" s="410"/>
      <c r="BE88" s="410"/>
    </row>
    <row r="89" ht="12.75" customHeight="1">
      <c r="A89" s="267" t="s">
        <v>538</v>
      </c>
      <c r="B89" s="268" t="s">
        <v>118</v>
      </c>
      <c r="C89" s="269" t="s">
        <v>119</v>
      </c>
      <c r="D89" s="269" t="s">
        <v>181</v>
      </c>
      <c r="E89" s="269" t="s">
        <v>182</v>
      </c>
      <c r="F89" s="270"/>
      <c r="G89" s="269" t="s">
        <v>183</v>
      </c>
      <c r="H89" s="270" t="s">
        <v>184</v>
      </c>
      <c r="I89" s="270" t="s">
        <v>105</v>
      </c>
      <c r="J89" s="354" t="s">
        <v>106</v>
      </c>
      <c r="K89" s="355">
        <v>0.83</v>
      </c>
      <c r="L89" s="356">
        <v>1187.0</v>
      </c>
      <c r="M89" s="357">
        <v>0.12</v>
      </c>
      <c r="N89" s="272">
        <v>171.0</v>
      </c>
      <c r="O89" s="271">
        <v>0.0</v>
      </c>
      <c r="P89" s="272">
        <v>0.0</v>
      </c>
      <c r="Q89" s="273">
        <f t="shared" ref="Q89:R89" si="294">M89-O89</f>
        <v>0.12</v>
      </c>
      <c r="R89" s="274">
        <f t="shared" si="294"/>
        <v>171</v>
      </c>
      <c r="S89" s="275">
        <v>1430.2</v>
      </c>
      <c r="T89" s="276">
        <v>15.0</v>
      </c>
      <c r="U89" s="277" t="s">
        <v>107</v>
      </c>
      <c r="V89" s="277"/>
      <c r="W89" s="468"/>
      <c r="X89" s="468"/>
      <c r="Y89" s="468"/>
      <c r="Z89" s="468"/>
      <c r="AA89" s="468"/>
      <c r="AB89" s="469"/>
      <c r="AC89" s="470">
        <f t="shared" ref="AC89:AD89" si="295">K89</f>
        <v>0.83</v>
      </c>
      <c r="AD89" s="471">
        <f t="shared" si="295"/>
        <v>1187</v>
      </c>
      <c r="AE89" s="472"/>
      <c r="AF89" s="472"/>
      <c r="AG89" s="473"/>
      <c r="AH89" s="468"/>
      <c r="AI89" s="468"/>
      <c r="AJ89" s="468"/>
      <c r="AK89" s="474">
        <f t="shared" ref="AK89:AL89" si="296">Q89</f>
        <v>0.12</v>
      </c>
      <c r="AL89" s="475">
        <f t="shared" si="296"/>
        <v>171</v>
      </c>
      <c r="AM89" s="468"/>
      <c r="AN89" s="468"/>
      <c r="AO89" s="468"/>
      <c r="AP89" s="468"/>
      <c r="AQ89" s="476"/>
      <c r="AR89" s="476"/>
      <c r="AS89" s="476"/>
      <c r="AT89" s="468"/>
      <c r="AU89" s="477"/>
      <c r="AV89" s="477"/>
      <c r="AW89" s="477"/>
      <c r="AX89" s="477"/>
      <c r="AY89" s="477"/>
      <c r="AZ89" s="477"/>
      <c r="BA89" s="477"/>
      <c r="BB89" s="477"/>
      <c r="BC89" s="477"/>
      <c r="BD89" s="477"/>
      <c r="BE89" s="477"/>
    </row>
    <row r="90" ht="12.75" customHeight="1">
      <c r="A90" s="245" t="s">
        <v>539</v>
      </c>
      <c r="B90" s="246" t="s">
        <v>118</v>
      </c>
      <c r="C90" s="247" t="s">
        <v>119</v>
      </c>
      <c r="D90" s="247" t="s">
        <v>185</v>
      </c>
      <c r="E90" s="247" t="s">
        <v>181</v>
      </c>
      <c r="F90" s="248"/>
      <c r="G90" s="247" t="s">
        <v>143</v>
      </c>
      <c r="H90" s="247" t="s">
        <v>160</v>
      </c>
      <c r="I90" s="248" t="s">
        <v>105</v>
      </c>
      <c r="J90" s="300" t="s">
        <v>106</v>
      </c>
      <c r="K90" s="301">
        <v>21.91</v>
      </c>
      <c r="L90" s="302">
        <v>31535.0</v>
      </c>
      <c r="M90" s="303">
        <v>3.29</v>
      </c>
      <c r="N90" s="250">
        <v>4735.0</v>
      </c>
      <c r="O90" s="249">
        <v>0.0</v>
      </c>
      <c r="P90" s="250">
        <v>0.0</v>
      </c>
      <c r="Q90" s="251">
        <f t="shared" ref="Q90:R90" si="297">M90-O90</f>
        <v>3.29</v>
      </c>
      <c r="R90" s="252">
        <f t="shared" si="297"/>
        <v>4735</v>
      </c>
      <c r="S90" s="253">
        <v>1439.3</v>
      </c>
      <c r="T90" s="254">
        <v>15.0</v>
      </c>
      <c r="U90" s="255" t="s">
        <v>107</v>
      </c>
      <c r="V90" s="255"/>
      <c r="W90" s="304">
        <v>0.5216</v>
      </c>
      <c r="X90" s="304">
        <v>0.19221</v>
      </c>
      <c r="Y90" s="304">
        <v>0.32939</v>
      </c>
      <c r="Z90" s="305">
        <f>IFERROR(ROUND(K90/W90,0),0)</f>
        <v>42</v>
      </c>
      <c r="AA90" s="306">
        <f t="shared" ref="AA90:AA91" si="299">Z90*W90</f>
        <v>21.9072</v>
      </c>
      <c r="AB90" s="307">
        <f t="shared" ref="AB90:AB91" si="300">ROUND(AA90*S90,0)</f>
        <v>31531</v>
      </c>
      <c r="AC90" s="308">
        <f t="shared" ref="AC90:AC91" si="301">AA90</f>
        <v>21.9072</v>
      </c>
      <c r="AD90" s="309">
        <f t="shared" ref="AD90:AD97" si="302">ROUND(AC90*S90,0)</f>
        <v>31531</v>
      </c>
      <c r="AE90" s="425"/>
      <c r="AF90" s="425"/>
      <c r="AG90" s="310">
        <f t="shared" ref="AG90:AG97" si="303">IFERROR(ROUND(Z90*Y90,2),0)</f>
        <v>13.83</v>
      </c>
      <c r="AH90" s="252">
        <f t="shared" ref="AH90:AH97" si="304">ROUND(AG90*S90,0)</f>
        <v>19906</v>
      </c>
      <c r="AI90" s="306">
        <f t="shared" ref="AI90:AI91" si="305">ROUND(AC90*0.15,2)</f>
        <v>3.29</v>
      </c>
      <c r="AJ90" s="252">
        <f t="shared" ref="AJ90:AJ91" si="306">ROUND(AD90*0.15,0)</f>
        <v>4730</v>
      </c>
      <c r="AK90" s="426"/>
      <c r="AL90" s="426"/>
      <c r="AM90" s="426"/>
      <c r="AN90" s="426"/>
      <c r="AO90" s="426"/>
      <c r="AP90" s="426"/>
      <c r="AQ90" s="427"/>
      <c r="AR90" s="427"/>
      <c r="AS90" s="427"/>
      <c r="AT90" s="426"/>
      <c r="AU90" s="410"/>
      <c r="AV90" s="410"/>
      <c r="AW90" s="410"/>
      <c r="AX90" s="410"/>
      <c r="AY90" s="410"/>
      <c r="AZ90" s="410"/>
      <c r="BA90" s="410"/>
      <c r="BB90" s="410"/>
      <c r="BC90" s="410"/>
      <c r="BD90" s="410"/>
      <c r="BE90" s="410"/>
    </row>
    <row r="91" ht="12.75" customHeight="1">
      <c r="A91" s="245" t="s">
        <v>540</v>
      </c>
      <c r="B91" s="246" t="s">
        <v>118</v>
      </c>
      <c r="C91" s="247" t="s">
        <v>119</v>
      </c>
      <c r="D91" s="247" t="s">
        <v>185</v>
      </c>
      <c r="E91" s="247" t="s">
        <v>181</v>
      </c>
      <c r="F91" s="248"/>
      <c r="G91" s="247" t="s">
        <v>143</v>
      </c>
      <c r="H91" s="247" t="s">
        <v>160</v>
      </c>
      <c r="I91" s="248" t="s">
        <v>105</v>
      </c>
      <c r="J91" s="300" t="s">
        <v>106</v>
      </c>
      <c r="K91" s="314">
        <f t="shared" ref="K91:R91" si="298">-K90</f>
        <v>-21.91</v>
      </c>
      <c r="L91" s="309">
        <f t="shared" si="298"/>
        <v>-31535</v>
      </c>
      <c r="M91" s="315">
        <f t="shared" si="298"/>
        <v>-3.29</v>
      </c>
      <c r="N91" s="252">
        <f t="shared" si="298"/>
        <v>-4735</v>
      </c>
      <c r="O91" s="251">
        <f t="shared" si="298"/>
        <v>0</v>
      </c>
      <c r="P91" s="252">
        <f t="shared" si="298"/>
        <v>0</v>
      </c>
      <c r="Q91" s="251">
        <f t="shared" si="298"/>
        <v>-3.29</v>
      </c>
      <c r="R91" s="252">
        <f t="shared" si="298"/>
        <v>-4735</v>
      </c>
      <c r="S91" s="253">
        <v>1439.3</v>
      </c>
      <c r="T91" s="254">
        <v>15.0</v>
      </c>
      <c r="U91" s="255" t="s">
        <v>107</v>
      </c>
      <c r="V91" s="255"/>
      <c r="W91" s="304">
        <v>0.5216</v>
      </c>
      <c r="X91" s="304">
        <v>0.19221</v>
      </c>
      <c r="Y91" s="304">
        <v>0.32939</v>
      </c>
      <c r="Z91" s="305">
        <f>-Z90</f>
        <v>-42</v>
      </c>
      <c r="AA91" s="306">
        <f t="shared" si="299"/>
        <v>-21.9072</v>
      </c>
      <c r="AB91" s="307">
        <f t="shared" si="300"/>
        <v>-31531</v>
      </c>
      <c r="AC91" s="308">
        <f t="shared" si="301"/>
        <v>-21.9072</v>
      </c>
      <c r="AD91" s="309">
        <f t="shared" si="302"/>
        <v>-31531</v>
      </c>
      <c r="AE91" s="425"/>
      <c r="AF91" s="425"/>
      <c r="AG91" s="310">
        <f t="shared" si="303"/>
        <v>-13.83</v>
      </c>
      <c r="AH91" s="252">
        <f t="shared" si="304"/>
        <v>-19906</v>
      </c>
      <c r="AI91" s="306">
        <f t="shared" si="305"/>
        <v>-3.29</v>
      </c>
      <c r="AJ91" s="252">
        <f t="shared" si="306"/>
        <v>-4730</v>
      </c>
      <c r="AK91" s="426"/>
      <c r="AL91" s="426"/>
      <c r="AM91" s="426"/>
      <c r="AN91" s="426"/>
      <c r="AO91" s="426"/>
      <c r="AP91" s="426"/>
      <c r="AQ91" s="427"/>
      <c r="AR91" s="427"/>
      <c r="AS91" s="427"/>
      <c r="AT91" s="426"/>
      <c r="AU91" s="410"/>
      <c r="AV91" s="410"/>
      <c r="AW91" s="410"/>
      <c r="AX91" s="410"/>
      <c r="AY91" s="410"/>
      <c r="AZ91" s="410"/>
      <c r="BA91" s="410"/>
      <c r="BB91" s="410"/>
      <c r="BC91" s="410"/>
      <c r="BD91" s="410"/>
      <c r="BE91" s="410"/>
    </row>
    <row r="92" ht="12.75" customHeight="1">
      <c r="A92" s="256" t="s">
        <v>541</v>
      </c>
      <c r="B92" s="257" t="s">
        <v>118</v>
      </c>
      <c r="C92" s="258" t="s">
        <v>119</v>
      </c>
      <c r="D92" s="258" t="s">
        <v>185</v>
      </c>
      <c r="E92" s="258" t="s">
        <v>181</v>
      </c>
      <c r="F92" s="259"/>
      <c r="G92" s="258" t="s">
        <v>143</v>
      </c>
      <c r="H92" s="258" t="s">
        <v>160</v>
      </c>
      <c r="I92" s="259" t="s">
        <v>105</v>
      </c>
      <c r="J92" s="316" t="s">
        <v>106</v>
      </c>
      <c r="K92" s="317">
        <f>ROUND(M92/0.15,2)</f>
        <v>8.07</v>
      </c>
      <c r="L92" s="318">
        <f>ROUND(N92/0.15,0)</f>
        <v>11607</v>
      </c>
      <c r="M92" s="319">
        <f t="shared" ref="M92:N92" si="307">Q92</f>
        <v>1.21</v>
      </c>
      <c r="N92" s="261">
        <f t="shared" si="307"/>
        <v>1741</v>
      </c>
      <c r="O92" s="262">
        <v>2.08</v>
      </c>
      <c r="P92" s="263">
        <v>2994.0</v>
      </c>
      <c r="Q92" s="260">
        <f t="shared" ref="Q92:R92" si="308">M90-O92</f>
        <v>1.21</v>
      </c>
      <c r="R92" s="261">
        <f t="shared" si="308"/>
        <v>1741</v>
      </c>
      <c r="S92" s="264">
        <v>1439.3</v>
      </c>
      <c r="T92" s="265">
        <v>15.0</v>
      </c>
      <c r="U92" s="266" t="s">
        <v>107</v>
      </c>
      <c r="V92" s="266" t="s">
        <v>1309</v>
      </c>
      <c r="W92" s="320">
        <v>0.5216</v>
      </c>
      <c r="X92" s="320">
        <v>0.19221</v>
      </c>
      <c r="Y92" s="320">
        <v>0.32939</v>
      </c>
      <c r="Z92" s="321">
        <f>Z90</f>
        <v>42</v>
      </c>
      <c r="AA92" s="426"/>
      <c r="AB92" s="428"/>
      <c r="AC92" s="323">
        <f>IFERROR(ROUND(Z92*X92,2),0)</f>
        <v>8.07</v>
      </c>
      <c r="AD92" s="318">
        <f t="shared" si="302"/>
        <v>11615</v>
      </c>
      <c r="AE92" s="429"/>
      <c r="AF92" s="429"/>
      <c r="AG92" s="324">
        <f t="shared" si="303"/>
        <v>13.83</v>
      </c>
      <c r="AH92" s="261">
        <f t="shared" si="304"/>
        <v>19906</v>
      </c>
      <c r="AI92" s="426"/>
      <c r="AJ92" s="426"/>
      <c r="AK92" s="325">
        <f>ROUND(AC92*0.15,2)</f>
        <v>1.21</v>
      </c>
      <c r="AL92" s="261">
        <f>ROUND(AD92*0.15,0)</f>
        <v>1742</v>
      </c>
      <c r="AM92" s="325"/>
      <c r="AN92" s="325"/>
      <c r="AO92" s="325">
        <f>ROUND(AG92*0.15,2)</f>
        <v>2.07</v>
      </c>
      <c r="AP92" s="261">
        <f>ROUND(AH92*0.15,0)</f>
        <v>2986</v>
      </c>
      <c r="AQ92" s="326"/>
      <c r="AR92" s="326"/>
      <c r="AS92" s="326">
        <f>IFERROR(AC92/K92,IFERROR(AO92/O92,""))</f>
        <v>1</v>
      </c>
      <c r="AT92" s="426"/>
      <c r="AU92" s="410"/>
      <c r="AV92" s="410"/>
      <c r="AW92" s="410"/>
      <c r="AX92" s="410"/>
      <c r="AY92" s="410"/>
      <c r="AZ92" s="410"/>
      <c r="BA92" s="410"/>
      <c r="BB92" s="410"/>
      <c r="BC92" s="410"/>
      <c r="BD92" s="410"/>
      <c r="BE92" s="410"/>
    </row>
    <row r="93" ht="12.75" customHeight="1">
      <c r="A93" s="245" t="s">
        <v>543</v>
      </c>
      <c r="B93" s="246" t="s">
        <v>118</v>
      </c>
      <c r="C93" s="247" t="s">
        <v>119</v>
      </c>
      <c r="D93" s="247" t="s">
        <v>185</v>
      </c>
      <c r="E93" s="247" t="s">
        <v>181</v>
      </c>
      <c r="F93" s="248"/>
      <c r="G93" s="247" t="s">
        <v>127</v>
      </c>
      <c r="H93" s="247" t="s">
        <v>186</v>
      </c>
      <c r="I93" s="248" t="s">
        <v>105</v>
      </c>
      <c r="J93" s="300" t="s">
        <v>106</v>
      </c>
      <c r="K93" s="301">
        <v>32.32</v>
      </c>
      <c r="L93" s="302">
        <v>46518.0</v>
      </c>
      <c r="M93" s="303">
        <v>4.85</v>
      </c>
      <c r="N93" s="250">
        <v>6980.0</v>
      </c>
      <c r="O93" s="249">
        <v>0.0</v>
      </c>
      <c r="P93" s="250">
        <v>0.0</v>
      </c>
      <c r="Q93" s="251">
        <f t="shared" ref="Q93:R93" si="309">M93-O93</f>
        <v>4.85</v>
      </c>
      <c r="R93" s="252">
        <f t="shared" si="309"/>
        <v>6980</v>
      </c>
      <c r="S93" s="253">
        <v>1439.3</v>
      </c>
      <c r="T93" s="254">
        <v>15.0</v>
      </c>
      <c r="U93" s="255" t="s">
        <v>107</v>
      </c>
      <c r="V93" s="255"/>
      <c r="W93" s="304">
        <v>0.6734</v>
      </c>
      <c r="X93" s="304">
        <v>0.318871</v>
      </c>
      <c r="Y93" s="304">
        <v>0.354529</v>
      </c>
      <c r="Z93" s="305">
        <f>IFERROR(ROUND(K93/W93,0),0)</f>
        <v>48</v>
      </c>
      <c r="AA93" s="306">
        <f t="shared" ref="AA93:AA94" si="311">Z93*W93</f>
        <v>32.3232</v>
      </c>
      <c r="AB93" s="307">
        <f t="shared" ref="AB93:AB94" si="312">ROUND(AA93*S93,0)</f>
        <v>46523</v>
      </c>
      <c r="AC93" s="308">
        <f t="shared" ref="AC93:AC94" si="313">AA93</f>
        <v>32.3232</v>
      </c>
      <c r="AD93" s="309">
        <f t="shared" si="302"/>
        <v>46523</v>
      </c>
      <c r="AE93" s="425"/>
      <c r="AF93" s="425"/>
      <c r="AG93" s="310">
        <f t="shared" si="303"/>
        <v>17.02</v>
      </c>
      <c r="AH93" s="252">
        <f t="shared" si="304"/>
        <v>24497</v>
      </c>
      <c r="AI93" s="306">
        <f t="shared" ref="AI93:AI94" si="314">ROUND(AC93*0.15,2)</f>
        <v>4.85</v>
      </c>
      <c r="AJ93" s="252">
        <f t="shared" ref="AJ93:AJ94" si="315">ROUND(AD93*0.15,0)</f>
        <v>6978</v>
      </c>
      <c r="AK93" s="426"/>
      <c r="AL93" s="426"/>
      <c r="AM93" s="426"/>
      <c r="AN93" s="426"/>
      <c r="AO93" s="426"/>
      <c r="AP93" s="426"/>
      <c r="AQ93" s="427"/>
      <c r="AR93" s="427"/>
      <c r="AS93" s="427"/>
      <c r="AT93" s="426"/>
      <c r="AU93" s="410"/>
      <c r="AV93" s="410"/>
      <c r="AW93" s="410"/>
      <c r="AX93" s="410"/>
      <c r="AY93" s="410"/>
      <c r="AZ93" s="410"/>
      <c r="BA93" s="410"/>
      <c r="BB93" s="410"/>
      <c r="BC93" s="410"/>
      <c r="BD93" s="410"/>
      <c r="BE93" s="410"/>
    </row>
    <row r="94" ht="12.75" customHeight="1">
      <c r="A94" s="245" t="s">
        <v>544</v>
      </c>
      <c r="B94" s="246" t="s">
        <v>118</v>
      </c>
      <c r="C94" s="247" t="s">
        <v>119</v>
      </c>
      <c r="D94" s="247" t="s">
        <v>185</v>
      </c>
      <c r="E94" s="247" t="s">
        <v>181</v>
      </c>
      <c r="F94" s="248"/>
      <c r="G94" s="247" t="s">
        <v>127</v>
      </c>
      <c r="H94" s="247" t="s">
        <v>186</v>
      </c>
      <c r="I94" s="248" t="s">
        <v>105</v>
      </c>
      <c r="J94" s="300" t="s">
        <v>106</v>
      </c>
      <c r="K94" s="314">
        <f t="shared" ref="K94:R94" si="310">-K93</f>
        <v>-32.32</v>
      </c>
      <c r="L94" s="309">
        <f t="shared" si="310"/>
        <v>-46518</v>
      </c>
      <c r="M94" s="315">
        <f t="shared" si="310"/>
        <v>-4.85</v>
      </c>
      <c r="N94" s="252">
        <f t="shared" si="310"/>
        <v>-6980</v>
      </c>
      <c r="O94" s="251">
        <f t="shared" si="310"/>
        <v>0</v>
      </c>
      <c r="P94" s="252">
        <f t="shared" si="310"/>
        <v>0</v>
      </c>
      <c r="Q94" s="251">
        <f t="shared" si="310"/>
        <v>-4.85</v>
      </c>
      <c r="R94" s="252">
        <f t="shared" si="310"/>
        <v>-6980</v>
      </c>
      <c r="S94" s="253">
        <v>1439.3</v>
      </c>
      <c r="T94" s="254">
        <v>15.0</v>
      </c>
      <c r="U94" s="255" t="s">
        <v>107</v>
      </c>
      <c r="V94" s="255"/>
      <c r="W94" s="304">
        <v>0.6734</v>
      </c>
      <c r="X94" s="304">
        <v>0.318871</v>
      </c>
      <c r="Y94" s="304">
        <v>0.354529</v>
      </c>
      <c r="Z94" s="305">
        <f>-Z93</f>
        <v>-48</v>
      </c>
      <c r="AA94" s="306">
        <f t="shared" si="311"/>
        <v>-32.3232</v>
      </c>
      <c r="AB94" s="307">
        <f t="shared" si="312"/>
        <v>-46523</v>
      </c>
      <c r="AC94" s="308">
        <f t="shared" si="313"/>
        <v>-32.3232</v>
      </c>
      <c r="AD94" s="309">
        <f t="shared" si="302"/>
        <v>-46523</v>
      </c>
      <c r="AE94" s="425"/>
      <c r="AF94" s="425"/>
      <c r="AG94" s="310">
        <f t="shared" si="303"/>
        <v>-17.02</v>
      </c>
      <c r="AH94" s="252">
        <f t="shared" si="304"/>
        <v>-24497</v>
      </c>
      <c r="AI94" s="306">
        <f t="shared" si="314"/>
        <v>-4.85</v>
      </c>
      <c r="AJ94" s="252">
        <f t="shared" si="315"/>
        <v>-6978</v>
      </c>
      <c r="AK94" s="426"/>
      <c r="AL94" s="426"/>
      <c r="AM94" s="426"/>
      <c r="AN94" s="426"/>
      <c r="AO94" s="426"/>
      <c r="AP94" s="426"/>
      <c r="AQ94" s="427"/>
      <c r="AR94" s="427"/>
      <c r="AS94" s="427"/>
      <c r="AT94" s="426"/>
      <c r="AU94" s="410"/>
      <c r="AV94" s="410"/>
      <c r="AW94" s="410"/>
      <c r="AX94" s="410"/>
      <c r="AY94" s="410"/>
      <c r="AZ94" s="410"/>
      <c r="BA94" s="410"/>
      <c r="BB94" s="410"/>
      <c r="BC94" s="410"/>
      <c r="BD94" s="410"/>
      <c r="BE94" s="410"/>
    </row>
    <row r="95" ht="12.75" customHeight="1">
      <c r="A95" s="256" t="s">
        <v>545</v>
      </c>
      <c r="B95" s="257" t="s">
        <v>118</v>
      </c>
      <c r="C95" s="258" t="s">
        <v>119</v>
      </c>
      <c r="D95" s="258" t="s">
        <v>185</v>
      </c>
      <c r="E95" s="258" t="s">
        <v>181</v>
      </c>
      <c r="F95" s="259"/>
      <c r="G95" s="258" t="s">
        <v>127</v>
      </c>
      <c r="H95" s="258" t="s">
        <v>186</v>
      </c>
      <c r="I95" s="259" t="s">
        <v>105</v>
      </c>
      <c r="J95" s="316" t="s">
        <v>106</v>
      </c>
      <c r="K95" s="317">
        <f>ROUND(M95/0.15,2)</f>
        <v>15.33</v>
      </c>
      <c r="L95" s="318">
        <f>ROUND(N95/0.15,0)</f>
        <v>22067</v>
      </c>
      <c r="M95" s="319">
        <f t="shared" ref="M95:N95" si="316">Q95</f>
        <v>2.3</v>
      </c>
      <c r="N95" s="261">
        <f t="shared" si="316"/>
        <v>3310</v>
      </c>
      <c r="O95" s="262">
        <v>2.55</v>
      </c>
      <c r="P95" s="263">
        <v>3670.0</v>
      </c>
      <c r="Q95" s="260">
        <f t="shared" ref="Q95:R95" si="317">M93-O95</f>
        <v>2.3</v>
      </c>
      <c r="R95" s="261">
        <f t="shared" si="317"/>
        <v>3310</v>
      </c>
      <c r="S95" s="264">
        <v>1439.3</v>
      </c>
      <c r="T95" s="265">
        <v>15.0</v>
      </c>
      <c r="U95" s="266" t="s">
        <v>107</v>
      </c>
      <c r="V95" s="266" t="s">
        <v>1310</v>
      </c>
      <c r="W95" s="320">
        <v>0.6734</v>
      </c>
      <c r="X95" s="320">
        <v>0.318871</v>
      </c>
      <c r="Y95" s="320">
        <v>0.354529</v>
      </c>
      <c r="Z95" s="321">
        <f>Z93</f>
        <v>48</v>
      </c>
      <c r="AA95" s="426"/>
      <c r="AB95" s="428"/>
      <c r="AC95" s="323">
        <f>IFERROR(ROUND(Z95*X95,2),0)</f>
        <v>15.31</v>
      </c>
      <c r="AD95" s="318">
        <f t="shared" si="302"/>
        <v>22036</v>
      </c>
      <c r="AE95" s="429"/>
      <c r="AF95" s="429"/>
      <c r="AG95" s="324">
        <f t="shared" si="303"/>
        <v>17.02</v>
      </c>
      <c r="AH95" s="261">
        <f t="shared" si="304"/>
        <v>24497</v>
      </c>
      <c r="AI95" s="426"/>
      <c r="AJ95" s="426"/>
      <c r="AK95" s="325">
        <f>ROUND(AC95*0.15,2)</f>
        <v>2.3</v>
      </c>
      <c r="AL95" s="261">
        <f>ROUND(AD95*0.15,0)</f>
        <v>3305</v>
      </c>
      <c r="AM95" s="325"/>
      <c r="AN95" s="325"/>
      <c r="AO95" s="325">
        <f>ROUND(AG95*0.15,2)</f>
        <v>2.55</v>
      </c>
      <c r="AP95" s="261">
        <f>ROUND(AH95*0.15,0)</f>
        <v>3675</v>
      </c>
      <c r="AQ95" s="326"/>
      <c r="AR95" s="326"/>
      <c r="AS95" s="326">
        <f>IFERROR(AC95/K95,IFERROR(AO95/O95,""))</f>
        <v>0.9986953686</v>
      </c>
      <c r="AT95" s="426"/>
      <c r="AU95" s="410"/>
      <c r="AV95" s="410"/>
      <c r="AW95" s="410"/>
      <c r="AX95" s="410"/>
      <c r="AY95" s="410"/>
      <c r="AZ95" s="410"/>
      <c r="BA95" s="410"/>
      <c r="BB95" s="410"/>
      <c r="BC95" s="410"/>
      <c r="BD95" s="410"/>
      <c r="BE95" s="410"/>
    </row>
    <row r="96" ht="12.75" customHeight="1">
      <c r="A96" s="245" t="s">
        <v>547</v>
      </c>
      <c r="B96" s="246" t="s">
        <v>118</v>
      </c>
      <c r="C96" s="247" t="s">
        <v>119</v>
      </c>
      <c r="D96" s="247" t="s">
        <v>187</v>
      </c>
      <c r="E96" s="247" t="s">
        <v>187</v>
      </c>
      <c r="F96" s="248"/>
      <c r="G96" s="247" t="s">
        <v>116</v>
      </c>
      <c r="H96" s="247" t="s">
        <v>117</v>
      </c>
      <c r="I96" s="248" t="s">
        <v>105</v>
      </c>
      <c r="J96" s="300" t="s">
        <v>106</v>
      </c>
      <c r="K96" s="301">
        <v>368.25</v>
      </c>
      <c r="L96" s="302">
        <v>525345.0</v>
      </c>
      <c r="M96" s="303">
        <v>55.24</v>
      </c>
      <c r="N96" s="250">
        <v>78805.0</v>
      </c>
      <c r="O96" s="249">
        <v>0.0</v>
      </c>
      <c r="P96" s="250">
        <v>0.0</v>
      </c>
      <c r="Q96" s="251">
        <f t="shared" ref="Q96:R96" si="318">M96-O96</f>
        <v>55.24</v>
      </c>
      <c r="R96" s="252">
        <f t="shared" si="318"/>
        <v>78805</v>
      </c>
      <c r="S96" s="253">
        <v>1426.6</v>
      </c>
      <c r="T96" s="254">
        <v>15.0</v>
      </c>
      <c r="U96" s="255" t="s">
        <v>107</v>
      </c>
      <c r="V96" s="255"/>
      <c r="W96" s="304">
        <v>0.743154</v>
      </c>
      <c r="X96" s="304">
        <v>0.743154</v>
      </c>
      <c r="Y96" s="304">
        <v>0.0</v>
      </c>
      <c r="Z96" s="305">
        <f>IFERROR(ROUND(K96/W96,0),0)</f>
        <v>496</v>
      </c>
      <c r="AA96" s="306">
        <f t="shared" ref="AA96:AA97" si="320">Z96*W96</f>
        <v>368.604384</v>
      </c>
      <c r="AB96" s="307">
        <f t="shared" ref="AB96:AB97" si="321">ROUND(AA96*S96,0)</f>
        <v>525851</v>
      </c>
      <c r="AC96" s="308">
        <f t="shared" ref="AC96:AC97" si="322">AA96</f>
        <v>368.604384</v>
      </c>
      <c r="AD96" s="309">
        <f t="shared" si="302"/>
        <v>525851</v>
      </c>
      <c r="AE96" s="425"/>
      <c r="AF96" s="425"/>
      <c r="AG96" s="310">
        <f t="shared" si="303"/>
        <v>0</v>
      </c>
      <c r="AH96" s="252">
        <f t="shared" si="304"/>
        <v>0</v>
      </c>
      <c r="AI96" s="306">
        <f t="shared" ref="AI96:AI97" si="323">ROUND(AC96*0.15,2)</f>
        <v>55.29</v>
      </c>
      <c r="AJ96" s="252">
        <f t="shared" ref="AJ96:AJ97" si="324">ROUND(AD96*0.15,0)</f>
        <v>78878</v>
      </c>
      <c r="AK96" s="426"/>
      <c r="AL96" s="426"/>
      <c r="AM96" s="426"/>
      <c r="AN96" s="426"/>
      <c r="AO96" s="426"/>
      <c r="AP96" s="426"/>
      <c r="AQ96" s="427"/>
      <c r="AR96" s="427"/>
      <c r="AS96" s="427"/>
      <c r="AT96" s="430" t="s">
        <v>1274</v>
      </c>
      <c r="AU96" s="431"/>
      <c r="AV96" s="431"/>
      <c r="AW96" s="431"/>
      <c r="AX96" s="431"/>
      <c r="AY96" s="431"/>
      <c r="AZ96" s="431"/>
      <c r="BA96" s="431"/>
      <c r="BB96" s="431"/>
      <c r="BC96" s="431"/>
      <c r="BD96" s="431"/>
      <c r="BE96" s="431"/>
    </row>
    <row r="97" ht="12.75" customHeight="1">
      <c r="A97" s="245" t="s">
        <v>548</v>
      </c>
      <c r="B97" s="246" t="s">
        <v>118</v>
      </c>
      <c r="C97" s="247" t="s">
        <v>119</v>
      </c>
      <c r="D97" s="247" t="s">
        <v>187</v>
      </c>
      <c r="E97" s="247" t="s">
        <v>187</v>
      </c>
      <c r="F97" s="248"/>
      <c r="G97" s="247" t="s">
        <v>116</v>
      </c>
      <c r="H97" s="247" t="s">
        <v>117</v>
      </c>
      <c r="I97" s="248" t="s">
        <v>105</v>
      </c>
      <c r="J97" s="300" t="s">
        <v>106</v>
      </c>
      <c r="K97" s="314">
        <f t="shared" ref="K97:R97" si="319">-K96</f>
        <v>-368.25</v>
      </c>
      <c r="L97" s="309">
        <f t="shared" si="319"/>
        <v>-525345</v>
      </c>
      <c r="M97" s="315">
        <f t="shared" si="319"/>
        <v>-55.24</v>
      </c>
      <c r="N97" s="252">
        <f t="shared" si="319"/>
        <v>-78805</v>
      </c>
      <c r="O97" s="251">
        <f t="shared" si="319"/>
        <v>0</v>
      </c>
      <c r="P97" s="252">
        <f t="shared" si="319"/>
        <v>0</v>
      </c>
      <c r="Q97" s="251">
        <f t="shared" si="319"/>
        <v>-55.24</v>
      </c>
      <c r="R97" s="252">
        <f t="shared" si="319"/>
        <v>-78805</v>
      </c>
      <c r="S97" s="253">
        <v>1426.6</v>
      </c>
      <c r="T97" s="254">
        <v>15.0</v>
      </c>
      <c r="U97" s="255" t="s">
        <v>107</v>
      </c>
      <c r="V97" s="255"/>
      <c r="W97" s="304">
        <v>0.743154</v>
      </c>
      <c r="X97" s="304">
        <v>0.743154</v>
      </c>
      <c r="Y97" s="304">
        <v>0.0</v>
      </c>
      <c r="Z97" s="305">
        <f>-Z96</f>
        <v>-496</v>
      </c>
      <c r="AA97" s="306">
        <f t="shared" si="320"/>
        <v>-368.604384</v>
      </c>
      <c r="AB97" s="307">
        <f t="shared" si="321"/>
        <v>-525851</v>
      </c>
      <c r="AC97" s="308">
        <f t="shared" si="322"/>
        <v>-368.604384</v>
      </c>
      <c r="AD97" s="309">
        <f t="shared" si="302"/>
        <v>-525851</v>
      </c>
      <c r="AE97" s="425"/>
      <c r="AF97" s="425"/>
      <c r="AG97" s="310">
        <f t="shared" si="303"/>
        <v>0</v>
      </c>
      <c r="AH97" s="252">
        <f t="shared" si="304"/>
        <v>0</v>
      </c>
      <c r="AI97" s="306">
        <f t="shared" si="323"/>
        <v>-55.29</v>
      </c>
      <c r="AJ97" s="252">
        <f t="shared" si="324"/>
        <v>-78878</v>
      </c>
      <c r="AK97" s="426"/>
      <c r="AL97" s="426"/>
      <c r="AM97" s="426"/>
      <c r="AN97" s="426"/>
      <c r="AO97" s="426"/>
      <c r="AP97" s="426"/>
      <c r="AQ97" s="427"/>
      <c r="AR97" s="427"/>
      <c r="AS97" s="427"/>
      <c r="AT97" s="430" t="s">
        <v>1274</v>
      </c>
      <c r="AU97" s="431"/>
      <c r="AV97" s="431"/>
      <c r="AW97" s="431"/>
      <c r="AX97" s="431"/>
      <c r="AY97" s="431"/>
      <c r="AZ97" s="431"/>
      <c r="BA97" s="431"/>
      <c r="BB97" s="431"/>
      <c r="BC97" s="431"/>
      <c r="BD97" s="431"/>
      <c r="BE97" s="431"/>
    </row>
    <row r="98" ht="12.75" customHeight="1">
      <c r="A98" s="256" t="s">
        <v>549</v>
      </c>
      <c r="B98" s="257" t="s">
        <v>118</v>
      </c>
      <c r="C98" s="258" t="s">
        <v>119</v>
      </c>
      <c r="D98" s="258" t="s">
        <v>187</v>
      </c>
      <c r="E98" s="258" t="s">
        <v>187</v>
      </c>
      <c r="F98" s="259"/>
      <c r="G98" s="258" t="s">
        <v>116</v>
      </c>
      <c r="H98" s="258" t="s">
        <v>117</v>
      </c>
      <c r="I98" s="259" t="s">
        <v>105</v>
      </c>
      <c r="J98" s="316" t="s">
        <v>106</v>
      </c>
      <c r="K98" s="317">
        <f>ROUND(M98/0.15,2)</f>
        <v>346.33</v>
      </c>
      <c r="L98" s="318">
        <f>ROUND(N98/0.15,0)</f>
        <v>494073</v>
      </c>
      <c r="M98" s="319">
        <f t="shared" ref="M98:N98" si="325">Q98</f>
        <v>51.95</v>
      </c>
      <c r="N98" s="261">
        <f t="shared" si="325"/>
        <v>74111</v>
      </c>
      <c r="O98" s="262">
        <v>3.29</v>
      </c>
      <c r="P98" s="263">
        <v>4694.0</v>
      </c>
      <c r="Q98" s="260">
        <f t="shared" ref="Q98:R98" si="326">M96-O98</f>
        <v>51.95</v>
      </c>
      <c r="R98" s="261">
        <f t="shared" si="326"/>
        <v>74111</v>
      </c>
      <c r="S98" s="264">
        <v>1426.6</v>
      </c>
      <c r="T98" s="265">
        <v>15.0</v>
      </c>
      <c r="U98" s="266" t="s">
        <v>107</v>
      </c>
      <c r="V98" s="266" t="s">
        <v>1311</v>
      </c>
      <c r="W98" s="320">
        <v>0.743154</v>
      </c>
      <c r="X98" s="320">
        <v>0.743154</v>
      </c>
      <c r="Y98" s="320">
        <v>0.0</v>
      </c>
      <c r="Z98" s="321">
        <f>Z96</f>
        <v>496</v>
      </c>
      <c r="AA98" s="426"/>
      <c r="AB98" s="428"/>
      <c r="AC98" s="432">
        <f t="shared" ref="AC98:AD98" si="327">K98</f>
        <v>346.33</v>
      </c>
      <c r="AD98" s="433">
        <f t="shared" si="327"/>
        <v>494073</v>
      </c>
      <c r="AE98" s="434"/>
      <c r="AF98" s="434"/>
      <c r="AG98" s="348">
        <f t="shared" ref="AG98:AH98" si="328">round(AO98/0.15,2)</f>
        <v>21.93</v>
      </c>
      <c r="AH98" s="348">
        <f t="shared" si="328"/>
        <v>31293.33</v>
      </c>
      <c r="AI98" s="435"/>
      <c r="AJ98" s="435"/>
      <c r="AK98" s="436">
        <f>ROUND(AC98*0.15,2)</f>
        <v>51.95</v>
      </c>
      <c r="AL98" s="437">
        <f>ROUND(AD98*0.15,0)</f>
        <v>74111</v>
      </c>
      <c r="AM98" s="436"/>
      <c r="AN98" s="436"/>
      <c r="AO98" s="436">
        <f t="shared" ref="AO98:AP98" si="329">O98</f>
        <v>3.29</v>
      </c>
      <c r="AP98" s="436">
        <f t="shared" si="329"/>
        <v>4694</v>
      </c>
      <c r="AQ98" s="438"/>
      <c r="AR98" s="438"/>
      <c r="AS98" s="438">
        <f>IFERROR(AC98/K98,IFERROR(AO98/O98,""))</f>
        <v>1</v>
      </c>
      <c r="AT98" s="430" t="s">
        <v>1274</v>
      </c>
      <c r="AU98" s="431"/>
      <c r="AV98" s="431"/>
      <c r="AW98" s="431"/>
      <c r="AX98" s="431"/>
      <c r="AY98" s="431"/>
      <c r="AZ98" s="431"/>
      <c r="BA98" s="431"/>
      <c r="BB98" s="431"/>
      <c r="BC98" s="431"/>
      <c r="BD98" s="431"/>
      <c r="BE98" s="431"/>
    </row>
    <row r="99" ht="12.75" customHeight="1">
      <c r="A99" s="439" t="s">
        <v>1312</v>
      </c>
      <c r="B99" s="440" t="str">
        <f t="shared" ref="B99:J99" si="330">B98</f>
        <v>미래에셋증권</v>
      </c>
      <c r="C99" s="441" t="str">
        <f t="shared" si="330"/>
        <v>584-2176-0816-0</v>
      </c>
      <c r="D99" s="441" t="str">
        <f t="shared" si="330"/>
        <v>2025-05-07</v>
      </c>
      <c r="E99" s="441" t="str">
        <f t="shared" si="330"/>
        <v>2025-05-07</v>
      </c>
      <c r="F99" s="441" t="str">
        <f t="shared" si="330"/>
        <v/>
      </c>
      <c r="G99" s="441" t="str">
        <f t="shared" si="330"/>
        <v>BITO</v>
      </c>
      <c r="H99" s="441" t="str">
        <f t="shared" si="330"/>
        <v>PROSHARES BITCOIN ETF</v>
      </c>
      <c r="I99" s="441" t="str">
        <f t="shared" si="330"/>
        <v>배당소득</v>
      </c>
      <c r="J99" s="440" t="str">
        <f t="shared" si="330"/>
        <v>USD</v>
      </c>
      <c r="K99" s="442"/>
      <c r="L99" s="443"/>
      <c r="M99" s="444"/>
      <c r="N99" s="445"/>
      <c r="O99" s="446"/>
      <c r="P99" s="447"/>
      <c r="Q99" s="446"/>
      <c r="R99" s="448"/>
      <c r="S99" s="449"/>
      <c r="T99" s="450"/>
      <c r="U99" s="451"/>
      <c r="V99" s="451"/>
      <c r="W99" s="452"/>
      <c r="X99" s="452"/>
      <c r="Y99" s="452"/>
      <c r="Z99" s="448"/>
      <c r="AA99" s="446"/>
      <c r="AB99" s="453"/>
      <c r="AC99" s="454"/>
      <c r="AD99" s="455"/>
      <c r="AE99" s="456"/>
      <c r="AF99" s="457"/>
      <c r="AG99" s="458">
        <f>IFERROR(ROUND(AO99/0.15,2),0)</f>
        <v>-21.93</v>
      </c>
      <c r="AH99" s="458">
        <f>IFERROR(ROUND(AP99/0.15,0),0)</f>
        <v>-31293</v>
      </c>
      <c r="AI99" s="457"/>
      <c r="AJ99" s="459"/>
      <c r="AK99" s="457"/>
      <c r="AL99" s="459"/>
      <c r="AM99" s="457"/>
      <c r="AN99" s="457"/>
      <c r="AO99" s="460">
        <f t="shared" ref="AO99:AP99" si="331">-AO98</f>
        <v>-3.29</v>
      </c>
      <c r="AP99" s="460">
        <f t="shared" si="331"/>
        <v>-4694</v>
      </c>
      <c r="AQ99" s="459"/>
      <c r="AR99" s="459"/>
      <c r="AS99" s="459"/>
      <c r="AT99" s="430" t="s">
        <v>1274</v>
      </c>
      <c r="AU99" s="431"/>
      <c r="AV99" s="431"/>
      <c r="AW99" s="431"/>
      <c r="AX99" s="431"/>
      <c r="AY99" s="431"/>
      <c r="AZ99" s="431"/>
      <c r="BA99" s="431"/>
      <c r="BB99" s="431"/>
      <c r="BC99" s="431"/>
      <c r="BD99" s="431"/>
      <c r="BE99" s="431"/>
    </row>
    <row r="100" ht="12.75" customHeight="1">
      <c r="A100" s="439" t="s">
        <v>1313</v>
      </c>
      <c r="B100" s="440" t="str">
        <f t="shared" ref="B100:J100" si="332">B99</f>
        <v>미래에셋증권</v>
      </c>
      <c r="C100" s="441" t="str">
        <f t="shared" si="332"/>
        <v>584-2176-0816-0</v>
      </c>
      <c r="D100" s="441" t="str">
        <f t="shared" si="332"/>
        <v>2025-05-07</v>
      </c>
      <c r="E100" s="441" t="str">
        <f t="shared" si="332"/>
        <v>2025-05-07</v>
      </c>
      <c r="F100" s="441" t="str">
        <f t="shared" si="332"/>
        <v/>
      </c>
      <c r="G100" s="441" t="str">
        <f t="shared" si="332"/>
        <v>BITO</v>
      </c>
      <c r="H100" s="441" t="str">
        <f t="shared" si="332"/>
        <v>PROSHARES BITCOIN ETF</v>
      </c>
      <c r="I100" s="441" t="str">
        <f t="shared" si="332"/>
        <v>배당소득</v>
      </c>
      <c r="J100" s="440" t="str">
        <f t="shared" si="332"/>
        <v>USD</v>
      </c>
      <c r="K100" s="442"/>
      <c r="L100" s="443"/>
      <c r="M100" s="444"/>
      <c r="N100" s="445"/>
      <c r="O100" s="446"/>
      <c r="P100" s="447"/>
      <c r="Q100" s="446"/>
      <c r="R100" s="448"/>
      <c r="S100" s="449"/>
      <c r="T100" s="450"/>
      <c r="U100" s="451"/>
      <c r="V100" s="451"/>
      <c r="W100" s="452"/>
      <c r="X100" s="452"/>
      <c r="Y100" s="452"/>
      <c r="Z100" s="448"/>
      <c r="AA100" s="446"/>
      <c r="AB100" s="453"/>
      <c r="AC100" s="454"/>
      <c r="AD100" s="461"/>
      <c r="AE100" s="462">
        <f>IFERROR(ROUND(AM100/0.15,2),0)</f>
        <v>21.93</v>
      </c>
      <c r="AF100" s="458">
        <f>IFERROR(ROUND(AN100/0.15,0),0)</f>
        <v>31293</v>
      </c>
      <c r="AG100" s="463"/>
      <c r="AH100" s="464"/>
      <c r="AI100" s="457"/>
      <c r="AJ100" s="459"/>
      <c r="AK100" s="457"/>
      <c r="AL100" s="459"/>
      <c r="AM100" s="460">
        <f t="shared" ref="AM100:AN100" si="333">AO98</f>
        <v>3.29</v>
      </c>
      <c r="AN100" s="460">
        <f t="shared" si="333"/>
        <v>4694</v>
      </c>
      <c r="AO100" s="457"/>
      <c r="AP100" s="465"/>
      <c r="AQ100" s="466">
        <f>AF100</f>
        <v>31293</v>
      </c>
      <c r="AR100" s="466">
        <f>ROUND(AQ100*0.14,0)</f>
        <v>4381</v>
      </c>
      <c r="AS100" s="459"/>
      <c r="AT100" s="430" t="s">
        <v>1274</v>
      </c>
      <c r="AU100" s="431"/>
      <c r="AV100" s="431"/>
      <c r="AW100" s="431"/>
      <c r="AX100" s="431"/>
      <c r="AY100" s="431"/>
      <c r="AZ100" s="431"/>
      <c r="BA100" s="431"/>
      <c r="BB100" s="431"/>
      <c r="BC100" s="431"/>
      <c r="BD100" s="431"/>
      <c r="BE100" s="431"/>
    </row>
    <row r="101" ht="12.75" customHeight="1">
      <c r="A101" s="245" t="s">
        <v>551</v>
      </c>
      <c r="B101" s="246" t="s">
        <v>118</v>
      </c>
      <c r="C101" s="247" t="s">
        <v>119</v>
      </c>
      <c r="D101" s="247" t="s">
        <v>187</v>
      </c>
      <c r="E101" s="247" t="s">
        <v>188</v>
      </c>
      <c r="F101" s="248"/>
      <c r="G101" s="247" t="s">
        <v>131</v>
      </c>
      <c r="H101" s="247" t="s">
        <v>167</v>
      </c>
      <c r="I101" s="248" t="s">
        <v>105</v>
      </c>
      <c r="J101" s="300" t="s">
        <v>106</v>
      </c>
      <c r="K101" s="301">
        <v>518.2</v>
      </c>
      <c r="L101" s="302">
        <v>739264.0</v>
      </c>
      <c r="M101" s="303">
        <v>77.73</v>
      </c>
      <c r="N101" s="250">
        <v>110889.0</v>
      </c>
      <c r="O101" s="249">
        <v>0.0</v>
      </c>
      <c r="P101" s="250">
        <v>0.0</v>
      </c>
      <c r="Q101" s="251">
        <f t="shared" ref="Q101:R101" si="334">M101-O101</f>
        <v>77.73</v>
      </c>
      <c r="R101" s="252">
        <f t="shared" si="334"/>
        <v>110889</v>
      </c>
      <c r="S101" s="253">
        <v>1426.6</v>
      </c>
      <c r="T101" s="254">
        <v>15.0</v>
      </c>
      <c r="U101" s="255" t="s">
        <v>107</v>
      </c>
      <c r="V101" s="255"/>
      <c r="W101" s="304">
        <v>0.651</v>
      </c>
      <c r="X101" s="304">
        <v>0.019227</v>
      </c>
      <c r="Y101" s="304">
        <v>0.631773</v>
      </c>
      <c r="Z101" s="305">
        <f>IFERROR(ROUND(K101/W101,0),0)</f>
        <v>796</v>
      </c>
      <c r="AA101" s="306">
        <f t="shared" ref="AA101:AA102" si="336">Z101*W101</f>
        <v>518.196</v>
      </c>
      <c r="AB101" s="307">
        <f t="shared" ref="AB101:AB102" si="337">ROUND(AA101*S101,0)</f>
        <v>739258</v>
      </c>
      <c r="AC101" s="308">
        <f t="shared" ref="AC101:AC102" si="338">AA101</f>
        <v>518.196</v>
      </c>
      <c r="AD101" s="309">
        <f t="shared" ref="AD101:AD106" si="339">ROUND(AC101*S101,0)</f>
        <v>739258</v>
      </c>
      <c r="AE101" s="425"/>
      <c r="AF101" s="425"/>
      <c r="AG101" s="310">
        <f t="shared" ref="AG101:AG106" si="340">IFERROR(ROUND(Z101*Y101,2),0)</f>
        <v>502.89</v>
      </c>
      <c r="AH101" s="252">
        <f t="shared" ref="AH101:AH106" si="341">ROUND(AG101*S101,0)</f>
        <v>717423</v>
      </c>
      <c r="AI101" s="306">
        <f t="shared" ref="AI101:AI102" si="342">ROUND(AC101*0.15,2)</f>
        <v>77.73</v>
      </c>
      <c r="AJ101" s="252">
        <f t="shared" ref="AJ101:AJ102" si="343">ROUND(AD101*0.15,0)</f>
        <v>110889</v>
      </c>
      <c r="AK101" s="426"/>
      <c r="AL101" s="426"/>
      <c r="AM101" s="426"/>
      <c r="AN101" s="426"/>
      <c r="AO101" s="426"/>
      <c r="AP101" s="426"/>
      <c r="AQ101" s="427"/>
      <c r="AR101" s="427"/>
      <c r="AS101" s="427"/>
      <c r="AT101" s="426"/>
      <c r="AU101" s="410"/>
      <c r="AV101" s="410"/>
      <c r="AW101" s="410"/>
      <c r="AX101" s="410"/>
      <c r="AY101" s="410"/>
      <c r="AZ101" s="410"/>
      <c r="BA101" s="410"/>
      <c r="BB101" s="410"/>
      <c r="BC101" s="410"/>
      <c r="BD101" s="410"/>
      <c r="BE101" s="410"/>
    </row>
    <row r="102" ht="12.75" customHeight="1">
      <c r="A102" s="245" t="s">
        <v>552</v>
      </c>
      <c r="B102" s="246" t="s">
        <v>118</v>
      </c>
      <c r="C102" s="247" t="s">
        <v>119</v>
      </c>
      <c r="D102" s="247" t="s">
        <v>187</v>
      </c>
      <c r="E102" s="247" t="s">
        <v>188</v>
      </c>
      <c r="F102" s="248"/>
      <c r="G102" s="247" t="s">
        <v>131</v>
      </c>
      <c r="H102" s="247" t="s">
        <v>167</v>
      </c>
      <c r="I102" s="248" t="s">
        <v>105</v>
      </c>
      <c r="J102" s="300" t="s">
        <v>106</v>
      </c>
      <c r="K102" s="314">
        <f t="shared" ref="K102:R102" si="335">-K101</f>
        <v>-518.2</v>
      </c>
      <c r="L102" s="309">
        <f t="shared" si="335"/>
        <v>-739264</v>
      </c>
      <c r="M102" s="315">
        <f t="shared" si="335"/>
        <v>-77.73</v>
      </c>
      <c r="N102" s="252">
        <f t="shared" si="335"/>
        <v>-110889</v>
      </c>
      <c r="O102" s="251">
        <f t="shared" si="335"/>
        <v>0</v>
      </c>
      <c r="P102" s="252">
        <f t="shared" si="335"/>
        <v>0</v>
      </c>
      <c r="Q102" s="251">
        <f t="shared" si="335"/>
        <v>-77.73</v>
      </c>
      <c r="R102" s="252">
        <f t="shared" si="335"/>
        <v>-110889</v>
      </c>
      <c r="S102" s="253">
        <v>1426.6</v>
      </c>
      <c r="T102" s="254">
        <v>15.0</v>
      </c>
      <c r="U102" s="255" t="s">
        <v>107</v>
      </c>
      <c r="V102" s="255"/>
      <c r="W102" s="304">
        <v>0.651</v>
      </c>
      <c r="X102" s="304">
        <v>0.019227</v>
      </c>
      <c r="Y102" s="304">
        <v>0.631773</v>
      </c>
      <c r="Z102" s="305">
        <f>-Z101</f>
        <v>-796</v>
      </c>
      <c r="AA102" s="306">
        <f t="shared" si="336"/>
        <v>-518.196</v>
      </c>
      <c r="AB102" s="307">
        <f t="shared" si="337"/>
        <v>-739258</v>
      </c>
      <c r="AC102" s="308">
        <f t="shared" si="338"/>
        <v>-518.196</v>
      </c>
      <c r="AD102" s="309">
        <f t="shared" si="339"/>
        <v>-739258</v>
      </c>
      <c r="AE102" s="425"/>
      <c r="AF102" s="425"/>
      <c r="AG102" s="310">
        <f t="shared" si="340"/>
        <v>-502.89</v>
      </c>
      <c r="AH102" s="252">
        <f t="shared" si="341"/>
        <v>-717423</v>
      </c>
      <c r="AI102" s="306">
        <f t="shared" si="342"/>
        <v>-77.73</v>
      </c>
      <c r="AJ102" s="252">
        <f t="shared" si="343"/>
        <v>-110889</v>
      </c>
      <c r="AK102" s="426"/>
      <c r="AL102" s="426"/>
      <c r="AM102" s="426"/>
      <c r="AN102" s="426"/>
      <c r="AO102" s="426"/>
      <c r="AP102" s="426"/>
      <c r="AQ102" s="427"/>
      <c r="AR102" s="427"/>
      <c r="AS102" s="427"/>
      <c r="AT102" s="426"/>
      <c r="AU102" s="410"/>
      <c r="AV102" s="410"/>
      <c r="AW102" s="410"/>
      <c r="AX102" s="410"/>
      <c r="AY102" s="410"/>
      <c r="AZ102" s="410"/>
      <c r="BA102" s="410"/>
      <c r="BB102" s="410"/>
      <c r="BC102" s="410"/>
      <c r="BD102" s="410"/>
      <c r="BE102" s="410"/>
    </row>
    <row r="103" ht="12.75" customHeight="1">
      <c r="A103" s="256" t="s">
        <v>553</v>
      </c>
      <c r="B103" s="257" t="s">
        <v>118</v>
      </c>
      <c r="C103" s="258" t="s">
        <v>119</v>
      </c>
      <c r="D103" s="258" t="s">
        <v>187</v>
      </c>
      <c r="E103" s="258" t="s">
        <v>188</v>
      </c>
      <c r="F103" s="259"/>
      <c r="G103" s="258" t="s">
        <v>131</v>
      </c>
      <c r="H103" s="258" t="s">
        <v>167</v>
      </c>
      <c r="I103" s="259" t="s">
        <v>105</v>
      </c>
      <c r="J103" s="316" t="s">
        <v>106</v>
      </c>
      <c r="K103" s="317">
        <f>ROUND(M103/0.15,2)</f>
        <v>15.27</v>
      </c>
      <c r="L103" s="318">
        <f>ROUND(N103/0.15,0)</f>
        <v>21773</v>
      </c>
      <c r="M103" s="319">
        <f t="shared" ref="M103:N103" si="344">Q103</f>
        <v>2.29</v>
      </c>
      <c r="N103" s="261">
        <f t="shared" si="344"/>
        <v>3266</v>
      </c>
      <c r="O103" s="262">
        <v>75.44</v>
      </c>
      <c r="P103" s="263">
        <v>107623.0</v>
      </c>
      <c r="Q103" s="260">
        <f t="shared" ref="Q103:R103" si="345">M101-O103</f>
        <v>2.29</v>
      </c>
      <c r="R103" s="261">
        <f t="shared" si="345"/>
        <v>3266</v>
      </c>
      <c r="S103" s="264">
        <v>1426.6</v>
      </c>
      <c r="T103" s="265">
        <v>15.0</v>
      </c>
      <c r="U103" s="266" t="s">
        <v>107</v>
      </c>
      <c r="V103" s="266" t="s">
        <v>1314</v>
      </c>
      <c r="W103" s="320">
        <v>0.651</v>
      </c>
      <c r="X103" s="320">
        <v>0.019227</v>
      </c>
      <c r="Y103" s="320">
        <v>0.631773</v>
      </c>
      <c r="Z103" s="321">
        <f>Z101</f>
        <v>796</v>
      </c>
      <c r="AA103" s="426"/>
      <c r="AB103" s="428"/>
      <c r="AC103" s="323">
        <f>IFERROR(ROUND(Z103*X103,2),0)</f>
        <v>15.3</v>
      </c>
      <c r="AD103" s="318">
        <f t="shared" si="339"/>
        <v>21827</v>
      </c>
      <c r="AE103" s="429"/>
      <c r="AF103" s="429"/>
      <c r="AG103" s="324">
        <f t="shared" si="340"/>
        <v>502.89</v>
      </c>
      <c r="AH103" s="261">
        <f t="shared" si="341"/>
        <v>717423</v>
      </c>
      <c r="AI103" s="426"/>
      <c r="AJ103" s="426"/>
      <c r="AK103" s="325">
        <f>ROUND(AC103*0.15,2)</f>
        <v>2.3</v>
      </c>
      <c r="AL103" s="261">
        <f>ROUND(AD103*0.15,0)</f>
        <v>3274</v>
      </c>
      <c r="AM103" s="325"/>
      <c r="AN103" s="325"/>
      <c r="AO103" s="325">
        <f>ROUND(AG103*0.15,2)</f>
        <v>75.43</v>
      </c>
      <c r="AP103" s="261">
        <f>ROUND(AH103*0.15,0)</f>
        <v>107613</v>
      </c>
      <c r="AQ103" s="326"/>
      <c r="AR103" s="326"/>
      <c r="AS103" s="326">
        <f>IFERROR(AC103/K103,IFERROR(AO103/O103,""))</f>
        <v>1.001964637</v>
      </c>
      <c r="AT103" s="426"/>
      <c r="AU103" s="410"/>
      <c r="AV103" s="410"/>
      <c r="AW103" s="410"/>
      <c r="AX103" s="410"/>
      <c r="AY103" s="410"/>
      <c r="AZ103" s="410"/>
      <c r="BA103" s="410"/>
      <c r="BB103" s="410"/>
      <c r="BC103" s="410"/>
      <c r="BD103" s="410"/>
      <c r="BE103" s="410"/>
    </row>
    <row r="104" ht="12.75" customHeight="1">
      <c r="A104" s="245" t="s">
        <v>555</v>
      </c>
      <c r="B104" s="246" t="s">
        <v>118</v>
      </c>
      <c r="C104" s="247" t="s">
        <v>119</v>
      </c>
      <c r="D104" s="247" t="s">
        <v>189</v>
      </c>
      <c r="E104" s="247" t="s">
        <v>190</v>
      </c>
      <c r="F104" s="248"/>
      <c r="G104" s="247" t="s">
        <v>135</v>
      </c>
      <c r="H104" s="247" t="s">
        <v>172</v>
      </c>
      <c r="I104" s="248" t="s">
        <v>105</v>
      </c>
      <c r="J104" s="300" t="s">
        <v>106</v>
      </c>
      <c r="K104" s="301">
        <v>1405.05</v>
      </c>
      <c r="L104" s="302">
        <v>1974938.0</v>
      </c>
      <c r="M104" s="303">
        <v>210.76</v>
      </c>
      <c r="N104" s="250">
        <v>296244.0</v>
      </c>
      <c r="O104" s="249">
        <v>0.0</v>
      </c>
      <c r="P104" s="250">
        <v>0.0</v>
      </c>
      <c r="Q104" s="251">
        <f t="shared" ref="Q104:R104" si="346">M104-O104</f>
        <v>210.76</v>
      </c>
      <c r="R104" s="252">
        <f t="shared" si="346"/>
        <v>296244</v>
      </c>
      <c r="S104" s="253">
        <v>1405.6</v>
      </c>
      <c r="T104" s="254">
        <v>15.0</v>
      </c>
      <c r="U104" s="255" t="s">
        <v>107</v>
      </c>
      <c r="V104" s="255"/>
      <c r="W104" s="304">
        <v>2.3734</v>
      </c>
      <c r="X104" s="304">
        <v>0.0</v>
      </c>
      <c r="Y104" s="304">
        <v>2.3734</v>
      </c>
      <c r="Z104" s="305">
        <f>IFERROR(ROUND(K104/W104,0),0)</f>
        <v>592</v>
      </c>
      <c r="AA104" s="306">
        <f t="shared" ref="AA104:AA105" si="348">Z104*W104</f>
        <v>1405.0528</v>
      </c>
      <c r="AB104" s="307">
        <f t="shared" ref="AB104:AB105" si="349">ROUND(AA104*S104,0)</f>
        <v>1974942</v>
      </c>
      <c r="AC104" s="308">
        <f t="shared" ref="AC104:AC105" si="350">AA104</f>
        <v>1405.0528</v>
      </c>
      <c r="AD104" s="309">
        <f t="shared" si="339"/>
        <v>1974942</v>
      </c>
      <c r="AE104" s="425"/>
      <c r="AF104" s="425"/>
      <c r="AG104" s="310">
        <f t="shared" si="340"/>
        <v>1405.05</v>
      </c>
      <c r="AH104" s="252">
        <f t="shared" si="341"/>
        <v>1974938</v>
      </c>
      <c r="AI104" s="306">
        <f t="shared" ref="AI104:AI105" si="351">ROUND(AC104*0.15,2)</f>
        <v>210.76</v>
      </c>
      <c r="AJ104" s="252">
        <f t="shared" ref="AJ104:AJ105" si="352">ROUND(AD104*0.15,0)</f>
        <v>296241</v>
      </c>
      <c r="AK104" s="426"/>
      <c r="AL104" s="426"/>
      <c r="AM104" s="426"/>
      <c r="AN104" s="426"/>
      <c r="AO104" s="426"/>
      <c r="AP104" s="426"/>
      <c r="AQ104" s="427"/>
      <c r="AR104" s="427"/>
      <c r="AS104" s="427"/>
      <c r="AT104" s="426"/>
      <c r="AU104" s="410"/>
      <c r="AV104" s="410"/>
      <c r="AW104" s="410"/>
      <c r="AX104" s="410"/>
      <c r="AY104" s="410"/>
      <c r="AZ104" s="410"/>
      <c r="BA104" s="410"/>
      <c r="BB104" s="410"/>
      <c r="BC104" s="410"/>
      <c r="BD104" s="410"/>
      <c r="BE104" s="410"/>
    </row>
    <row r="105" ht="12.75" customHeight="1">
      <c r="A105" s="245" t="s">
        <v>556</v>
      </c>
      <c r="B105" s="246" t="s">
        <v>118</v>
      </c>
      <c r="C105" s="247" t="s">
        <v>119</v>
      </c>
      <c r="D105" s="247" t="s">
        <v>189</v>
      </c>
      <c r="E105" s="247" t="s">
        <v>190</v>
      </c>
      <c r="F105" s="248"/>
      <c r="G105" s="247" t="s">
        <v>135</v>
      </c>
      <c r="H105" s="247" t="s">
        <v>172</v>
      </c>
      <c r="I105" s="248" t="s">
        <v>105</v>
      </c>
      <c r="J105" s="300" t="s">
        <v>106</v>
      </c>
      <c r="K105" s="314">
        <f t="shared" ref="K105:R105" si="347">-K104</f>
        <v>-1405.05</v>
      </c>
      <c r="L105" s="309">
        <f t="shared" si="347"/>
        <v>-1974938</v>
      </c>
      <c r="M105" s="315">
        <f t="shared" si="347"/>
        <v>-210.76</v>
      </c>
      <c r="N105" s="252">
        <f t="shared" si="347"/>
        <v>-296244</v>
      </c>
      <c r="O105" s="251">
        <f t="shared" si="347"/>
        <v>0</v>
      </c>
      <c r="P105" s="252">
        <f t="shared" si="347"/>
        <v>0</v>
      </c>
      <c r="Q105" s="251">
        <f t="shared" si="347"/>
        <v>-210.76</v>
      </c>
      <c r="R105" s="252">
        <f t="shared" si="347"/>
        <v>-296244</v>
      </c>
      <c r="S105" s="253">
        <v>1405.6</v>
      </c>
      <c r="T105" s="254">
        <v>15.0</v>
      </c>
      <c r="U105" s="255" t="s">
        <v>107</v>
      </c>
      <c r="V105" s="255"/>
      <c r="W105" s="304">
        <v>2.3734</v>
      </c>
      <c r="X105" s="304">
        <v>0.0</v>
      </c>
      <c r="Y105" s="304">
        <v>2.3734</v>
      </c>
      <c r="Z105" s="305">
        <f>-Z104</f>
        <v>-592</v>
      </c>
      <c r="AA105" s="306">
        <f t="shared" si="348"/>
        <v>-1405.0528</v>
      </c>
      <c r="AB105" s="307">
        <f t="shared" si="349"/>
        <v>-1974942</v>
      </c>
      <c r="AC105" s="308">
        <f t="shared" si="350"/>
        <v>-1405.0528</v>
      </c>
      <c r="AD105" s="309">
        <f t="shared" si="339"/>
        <v>-1974942</v>
      </c>
      <c r="AE105" s="425"/>
      <c r="AF105" s="425"/>
      <c r="AG105" s="310">
        <f t="shared" si="340"/>
        <v>-1405.05</v>
      </c>
      <c r="AH105" s="252">
        <f t="shared" si="341"/>
        <v>-1974938</v>
      </c>
      <c r="AI105" s="306">
        <f t="shared" si="351"/>
        <v>-210.76</v>
      </c>
      <c r="AJ105" s="252">
        <f t="shared" si="352"/>
        <v>-296241</v>
      </c>
      <c r="AK105" s="426"/>
      <c r="AL105" s="426"/>
      <c r="AM105" s="426"/>
      <c r="AN105" s="426"/>
      <c r="AO105" s="426"/>
      <c r="AP105" s="426"/>
      <c r="AQ105" s="427"/>
      <c r="AR105" s="427"/>
      <c r="AS105" s="427"/>
      <c r="AT105" s="426"/>
      <c r="AU105" s="410"/>
      <c r="AV105" s="410"/>
      <c r="AW105" s="410"/>
      <c r="AX105" s="410"/>
      <c r="AY105" s="410"/>
      <c r="AZ105" s="410"/>
      <c r="BA105" s="410"/>
      <c r="BB105" s="410"/>
      <c r="BC105" s="410"/>
      <c r="BD105" s="410"/>
      <c r="BE105" s="410"/>
    </row>
    <row r="106" ht="12.75" customHeight="1">
      <c r="A106" s="256" t="s">
        <v>557</v>
      </c>
      <c r="B106" s="257" t="s">
        <v>118</v>
      </c>
      <c r="C106" s="258" t="s">
        <v>119</v>
      </c>
      <c r="D106" s="258" t="s">
        <v>189</v>
      </c>
      <c r="E106" s="258" t="s">
        <v>190</v>
      </c>
      <c r="F106" s="259"/>
      <c r="G106" s="258" t="s">
        <v>135</v>
      </c>
      <c r="H106" s="258" t="s">
        <v>172</v>
      </c>
      <c r="I106" s="259" t="s">
        <v>105</v>
      </c>
      <c r="J106" s="316" t="s">
        <v>106</v>
      </c>
      <c r="K106" s="317">
        <f>ROUND(M106/0.15,2)</f>
        <v>0</v>
      </c>
      <c r="L106" s="318">
        <f>ROUND(N106/0.15,0)</f>
        <v>0</v>
      </c>
      <c r="M106" s="319">
        <f t="shared" ref="M106:N106" si="353">Q106</f>
        <v>0</v>
      </c>
      <c r="N106" s="261">
        <f t="shared" si="353"/>
        <v>0</v>
      </c>
      <c r="O106" s="262">
        <v>210.76</v>
      </c>
      <c r="P106" s="263">
        <v>296244.0</v>
      </c>
      <c r="Q106" s="260">
        <f t="shared" ref="Q106:R106" si="354">M104-O106</f>
        <v>0</v>
      </c>
      <c r="R106" s="261">
        <f t="shared" si="354"/>
        <v>0</v>
      </c>
      <c r="S106" s="264">
        <v>1405.6</v>
      </c>
      <c r="T106" s="265">
        <v>15.0</v>
      </c>
      <c r="U106" s="266" t="s">
        <v>107</v>
      </c>
      <c r="V106" s="266" t="s">
        <v>1315</v>
      </c>
      <c r="W106" s="320">
        <v>2.3734</v>
      </c>
      <c r="X106" s="320">
        <v>0.0</v>
      </c>
      <c r="Y106" s="320">
        <v>2.3734</v>
      </c>
      <c r="Z106" s="321">
        <f>Z104</f>
        <v>592</v>
      </c>
      <c r="AA106" s="426"/>
      <c r="AB106" s="428"/>
      <c r="AC106" s="323">
        <f>IFERROR(ROUND(Z106*X106,2),0)</f>
        <v>0</v>
      </c>
      <c r="AD106" s="318">
        <f t="shared" si="339"/>
        <v>0</v>
      </c>
      <c r="AE106" s="429"/>
      <c r="AF106" s="429"/>
      <c r="AG106" s="324">
        <f t="shared" si="340"/>
        <v>1405.05</v>
      </c>
      <c r="AH106" s="261">
        <f t="shared" si="341"/>
        <v>1974938</v>
      </c>
      <c r="AI106" s="426"/>
      <c r="AJ106" s="426"/>
      <c r="AK106" s="325">
        <f>ROUND(AC106*0.15,2)</f>
        <v>0</v>
      </c>
      <c r="AL106" s="261">
        <f>ROUND(AD106*0.15,0)</f>
        <v>0</v>
      </c>
      <c r="AM106" s="325"/>
      <c r="AN106" s="325"/>
      <c r="AO106" s="325">
        <f>ROUND(AG106*0.15,2)</f>
        <v>210.76</v>
      </c>
      <c r="AP106" s="261">
        <f>ROUND(AH106*0.15,0)</f>
        <v>296241</v>
      </c>
      <c r="AQ106" s="326"/>
      <c r="AR106" s="326"/>
      <c r="AS106" s="326">
        <f>IFERROR(AC106/K106,IFERROR(AO106/O106,""))</f>
        <v>1</v>
      </c>
      <c r="AT106" s="426"/>
      <c r="AU106" s="410"/>
      <c r="AV106" s="410"/>
      <c r="AW106" s="410"/>
      <c r="AX106" s="410"/>
      <c r="AY106" s="410"/>
      <c r="AZ106" s="410"/>
      <c r="BA106" s="410"/>
      <c r="BB106" s="410"/>
      <c r="BC106" s="410"/>
      <c r="BD106" s="410"/>
      <c r="BE106" s="410"/>
    </row>
    <row r="107" ht="12.75" customHeight="1">
      <c r="A107" s="267" t="s">
        <v>559</v>
      </c>
      <c r="B107" s="268" t="s">
        <v>118</v>
      </c>
      <c r="C107" s="269" t="s">
        <v>119</v>
      </c>
      <c r="D107" s="269" t="s">
        <v>191</v>
      </c>
      <c r="E107" s="270"/>
      <c r="F107" s="270"/>
      <c r="G107" s="269" t="s">
        <v>148</v>
      </c>
      <c r="H107" s="269" t="s">
        <v>1316</v>
      </c>
      <c r="I107" s="270" t="s">
        <v>105</v>
      </c>
      <c r="J107" s="354" t="s">
        <v>150</v>
      </c>
      <c r="K107" s="355">
        <v>0.0</v>
      </c>
      <c r="L107" s="356">
        <v>0.0</v>
      </c>
      <c r="M107" s="357">
        <v>0.0</v>
      </c>
      <c r="N107" s="272">
        <v>27.0</v>
      </c>
      <c r="O107" s="271">
        <v>0.0</v>
      </c>
      <c r="P107" s="272">
        <v>0.0</v>
      </c>
      <c r="Q107" s="273">
        <f t="shared" ref="Q107:R107" si="355">M107-O107</f>
        <v>0</v>
      </c>
      <c r="R107" s="274">
        <f t="shared" si="355"/>
        <v>27</v>
      </c>
      <c r="S107" s="275">
        <v>1.0</v>
      </c>
      <c r="T107" s="276">
        <v>0.0</v>
      </c>
      <c r="U107" s="277" t="s">
        <v>151</v>
      </c>
      <c r="V107" s="277"/>
      <c r="W107" s="468"/>
      <c r="X107" s="468"/>
      <c r="Y107" s="468"/>
      <c r="Z107" s="468"/>
      <c r="AA107" s="468"/>
      <c r="AB107" s="469"/>
      <c r="AC107" s="470">
        <f t="shared" ref="AC107:AD107" si="356">K107</f>
        <v>0</v>
      </c>
      <c r="AD107" s="471">
        <f t="shared" si="356"/>
        <v>0</v>
      </c>
      <c r="AE107" s="472"/>
      <c r="AF107" s="472"/>
      <c r="AG107" s="473"/>
      <c r="AH107" s="468"/>
      <c r="AI107" s="468"/>
      <c r="AJ107" s="468"/>
      <c r="AK107" s="474">
        <f t="shared" ref="AK107:AL107" si="357">Q107</f>
        <v>0</v>
      </c>
      <c r="AL107" s="475">
        <f t="shared" si="357"/>
        <v>27</v>
      </c>
      <c r="AM107" s="468"/>
      <c r="AN107" s="468"/>
      <c r="AO107" s="468"/>
      <c r="AP107" s="468"/>
      <c r="AQ107" s="476"/>
      <c r="AR107" s="476"/>
      <c r="AS107" s="476"/>
      <c r="AT107" s="468"/>
      <c r="AU107" s="477"/>
      <c r="AV107" s="477"/>
      <c r="AW107" s="477"/>
      <c r="AX107" s="477"/>
      <c r="AY107" s="477"/>
      <c r="AZ107" s="477"/>
      <c r="BA107" s="477"/>
      <c r="BB107" s="477"/>
      <c r="BC107" s="477"/>
      <c r="BD107" s="477"/>
      <c r="BE107" s="477"/>
    </row>
    <row r="108" ht="12.75" customHeight="1">
      <c r="A108" s="267" t="s">
        <v>561</v>
      </c>
      <c r="B108" s="268" t="s">
        <v>118</v>
      </c>
      <c r="C108" s="269" t="s">
        <v>119</v>
      </c>
      <c r="D108" s="269" t="s">
        <v>193</v>
      </c>
      <c r="E108" s="270"/>
      <c r="F108" s="270"/>
      <c r="G108" s="269" t="s">
        <v>148</v>
      </c>
      <c r="H108" s="269" t="s">
        <v>1317</v>
      </c>
      <c r="I108" s="270" t="s">
        <v>105</v>
      </c>
      <c r="J108" s="354" t="s">
        <v>150</v>
      </c>
      <c r="K108" s="355">
        <v>0.0</v>
      </c>
      <c r="L108" s="356">
        <v>0.0</v>
      </c>
      <c r="M108" s="357">
        <v>0.0</v>
      </c>
      <c r="N108" s="272">
        <v>20.0</v>
      </c>
      <c r="O108" s="271">
        <v>0.0</v>
      </c>
      <c r="P108" s="272">
        <v>0.0</v>
      </c>
      <c r="Q108" s="273">
        <f t="shared" ref="Q108:R108" si="358">M108-O108</f>
        <v>0</v>
      </c>
      <c r="R108" s="274">
        <f t="shared" si="358"/>
        <v>20</v>
      </c>
      <c r="S108" s="275">
        <v>1.0</v>
      </c>
      <c r="T108" s="276">
        <v>0.0</v>
      </c>
      <c r="U108" s="277" t="s">
        <v>151</v>
      </c>
      <c r="V108" s="277"/>
      <c r="W108" s="468"/>
      <c r="X108" s="468"/>
      <c r="Y108" s="468"/>
      <c r="Z108" s="468"/>
      <c r="AA108" s="468"/>
      <c r="AB108" s="469"/>
      <c r="AC108" s="470">
        <f t="shared" ref="AC108:AD108" si="359">K108</f>
        <v>0</v>
      </c>
      <c r="AD108" s="471">
        <f t="shared" si="359"/>
        <v>0</v>
      </c>
      <c r="AE108" s="472"/>
      <c r="AF108" s="472"/>
      <c r="AG108" s="473"/>
      <c r="AH108" s="468"/>
      <c r="AI108" s="468"/>
      <c r="AJ108" s="468"/>
      <c r="AK108" s="474">
        <f t="shared" ref="AK108:AL108" si="360">Q108</f>
        <v>0</v>
      </c>
      <c r="AL108" s="475">
        <f t="shared" si="360"/>
        <v>20</v>
      </c>
      <c r="AM108" s="468"/>
      <c r="AN108" s="468"/>
      <c r="AO108" s="468"/>
      <c r="AP108" s="468"/>
      <c r="AQ108" s="476"/>
      <c r="AR108" s="476"/>
      <c r="AS108" s="476"/>
      <c r="AT108" s="468"/>
      <c r="AU108" s="477"/>
      <c r="AV108" s="477"/>
      <c r="AW108" s="477"/>
      <c r="AX108" s="477"/>
      <c r="AY108" s="477"/>
      <c r="AZ108" s="477"/>
      <c r="BA108" s="477"/>
      <c r="BB108" s="477"/>
      <c r="BC108" s="477"/>
      <c r="BD108" s="477"/>
      <c r="BE108" s="477"/>
    </row>
    <row r="109" ht="12.75" customHeight="1">
      <c r="A109" s="245" t="s">
        <v>563</v>
      </c>
      <c r="B109" s="246" t="s">
        <v>118</v>
      </c>
      <c r="C109" s="247" t="s">
        <v>119</v>
      </c>
      <c r="D109" s="247" t="s">
        <v>195</v>
      </c>
      <c r="E109" s="247" t="s">
        <v>196</v>
      </c>
      <c r="F109" s="248"/>
      <c r="G109" s="247" t="s">
        <v>139</v>
      </c>
      <c r="H109" s="247" t="s">
        <v>180</v>
      </c>
      <c r="I109" s="248" t="s">
        <v>105</v>
      </c>
      <c r="J109" s="300" t="s">
        <v>106</v>
      </c>
      <c r="K109" s="301">
        <v>614.84</v>
      </c>
      <c r="L109" s="302">
        <v>859546.0</v>
      </c>
      <c r="M109" s="303">
        <v>92.23</v>
      </c>
      <c r="N109" s="250">
        <v>128937.0</v>
      </c>
      <c r="O109" s="249">
        <v>0.0</v>
      </c>
      <c r="P109" s="250">
        <v>0.0</v>
      </c>
      <c r="Q109" s="251">
        <f t="shared" ref="Q109:R109" si="361">M109-O109</f>
        <v>92.23</v>
      </c>
      <c r="R109" s="252">
        <f t="shared" si="361"/>
        <v>128937</v>
      </c>
      <c r="S109" s="253">
        <v>1398.0</v>
      </c>
      <c r="T109" s="254">
        <v>15.0</v>
      </c>
      <c r="U109" s="255" t="s">
        <v>107</v>
      </c>
      <c r="V109" s="255"/>
      <c r="W109" s="304">
        <v>0.76</v>
      </c>
      <c r="X109" s="304">
        <v>0.205434</v>
      </c>
      <c r="Y109" s="304">
        <v>0.554566</v>
      </c>
      <c r="Z109" s="305">
        <f>IFERROR(ROUND(K109/W109,0),0)</f>
        <v>809</v>
      </c>
      <c r="AA109" s="306">
        <f t="shared" ref="AA109:AA110" si="363">Z109*W109</f>
        <v>614.84</v>
      </c>
      <c r="AB109" s="307">
        <f t="shared" ref="AB109:AB110" si="364">ROUND(AA109*S109,0)</f>
        <v>859546</v>
      </c>
      <c r="AC109" s="308">
        <f t="shared" ref="AC109:AC110" si="365">AA109</f>
        <v>614.84</v>
      </c>
      <c r="AD109" s="309">
        <f t="shared" ref="AD109:AD125" si="366">ROUND(AC109*S109,0)</f>
        <v>859546</v>
      </c>
      <c r="AE109" s="425"/>
      <c r="AF109" s="425"/>
      <c r="AG109" s="310">
        <f t="shared" ref="AG109:AG125" si="367">IFERROR(ROUND(Z109*Y109,2),0)</f>
        <v>448.64</v>
      </c>
      <c r="AH109" s="252">
        <f t="shared" ref="AH109:AH125" si="368">ROUND(AG109*S109,0)</f>
        <v>627199</v>
      </c>
      <c r="AI109" s="306">
        <f t="shared" ref="AI109:AI110" si="369">ROUND(AC109*0.15,2)</f>
        <v>92.23</v>
      </c>
      <c r="AJ109" s="252">
        <f t="shared" ref="AJ109:AJ110" si="370">ROUND(AD109*0.15,0)</f>
        <v>128932</v>
      </c>
      <c r="AK109" s="426"/>
      <c r="AL109" s="426"/>
      <c r="AM109" s="426"/>
      <c r="AN109" s="426"/>
      <c r="AO109" s="426"/>
      <c r="AP109" s="426"/>
      <c r="AQ109" s="427"/>
      <c r="AR109" s="427"/>
      <c r="AS109" s="427"/>
      <c r="AT109" s="426"/>
      <c r="AU109" s="410"/>
      <c r="AV109" s="410"/>
      <c r="AW109" s="410"/>
      <c r="AX109" s="410"/>
      <c r="AY109" s="410"/>
      <c r="AZ109" s="410"/>
      <c r="BA109" s="410"/>
      <c r="BB109" s="410"/>
      <c r="BC109" s="410"/>
      <c r="BD109" s="410"/>
      <c r="BE109" s="410"/>
    </row>
    <row r="110" ht="12.75" customHeight="1">
      <c r="A110" s="245" t="s">
        <v>564</v>
      </c>
      <c r="B110" s="246" t="s">
        <v>118</v>
      </c>
      <c r="C110" s="247" t="s">
        <v>119</v>
      </c>
      <c r="D110" s="247" t="s">
        <v>195</v>
      </c>
      <c r="E110" s="247" t="s">
        <v>196</v>
      </c>
      <c r="F110" s="248"/>
      <c r="G110" s="247" t="s">
        <v>139</v>
      </c>
      <c r="H110" s="247" t="s">
        <v>180</v>
      </c>
      <c r="I110" s="248" t="s">
        <v>105</v>
      </c>
      <c r="J110" s="300" t="s">
        <v>106</v>
      </c>
      <c r="K110" s="314">
        <f t="shared" ref="K110:R110" si="362">-K109</f>
        <v>-614.84</v>
      </c>
      <c r="L110" s="309">
        <f t="shared" si="362"/>
        <v>-859546</v>
      </c>
      <c r="M110" s="315">
        <f t="shared" si="362"/>
        <v>-92.23</v>
      </c>
      <c r="N110" s="252">
        <f t="shared" si="362"/>
        <v>-128937</v>
      </c>
      <c r="O110" s="251">
        <f t="shared" si="362"/>
        <v>0</v>
      </c>
      <c r="P110" s="252">
        <f t="shared" si="362"/>
        <v>0</v>
      </c>
      <c r="Q110" s="251">
        <f t="shared" si="362"/>
        <v>-92.23</v>
      </c>
      <c r="R110" s="252">
        <f t="shared" si="362"/>
        <v>-128937</v>
      </c>
      <c r="S110" s="253">
        <v>1398.0</v>
      </c>
      <c r="T110" s="254">
        <v>15.0</v>
      </c>
      <c r="U110" s="255" t="s">
        <v>107</v>
      </c>
      <c r="V110" s="255"/>
      <c r="W110" s="304">
        <v>0.76</v>
      </c>
      <c r="X110" s="304">
        <v>0.205434</v>
      </c>
      <c r="Y110" s="304">
        <v>0.554566</v>
      </c>
      <c r="Z110" s="305">
        <f>-Z109</f>
        <v>-809</v>
      </c>
      <c r="AA110" s="306">
        <f t="shared" si="363"/>
        <v>-614.84</v>
      </c>
      <c r="AB110" s="307">
        <f t="shared" si="364"/>
        <v>-859546</v>
      </c>
      <c r="AC110" s="308">
        <f t="shared" si="365"/>
        <v>-614.84</v>
      </c>
      <c r="AD110" s="309">
        <f t="shared" si="366"/>
        <v>-859546</v>
      </c>
      <c r="AE110" s="425"/>
      <c r="AF110" s="425"/>
      <c r="AG110" s="310">
        <f t="shared" si="367"/>
        <v>-448.64</v>
      </c>
      <c r="AH110" s="252">
        <f t="shared" si="368"/>
        <v>-627199</v>
      </c>
      <c r="AI110" s="306">
        <f t="shared" si="369"/>
        <v>-92.23</v>
      </c>
      <c r="AJ110" s="252">
        <f t="shared" si="370"/>
        <v>-128932</v>
      </c>
      <c r="AK110" s="426"/>
      <c r="AL110" s="426"/>
      <c r="AM110" s="426"/>
      <c r="AN110" s="426"/>
      <c r="AO110" s="426"/>
      <c r="AP110" s="426"/>
      <c r="AQ110" s="427"/>
      <c r="AR110" s="427"/>
      <c r="AS110" s="427"/>
      <c r="AT110" s="426"/>
      <c r="AU110" s="410"/>
      <c r="AV110" s="410"/>
      <c r="AW110" s="410"/>
      <c r="AX110" s="410"/>
      <c r="AY110" s="410"/>
      <c r="AZ110" s="410"/>
      <c r="BA110" s="410"/>
      <c r="BB110" s="410"/>
      <c r="BC110" s="410"/>
      <c r="BD110" s="410"/>
      <c r="BE110" s="410"/>
    </row>
    <row r="111" ht="12.75" customHeight="1">
      <c r="A111" s="256" t="s">
        <v>565</v>
      </c>
      <c r="B111" s="257" t="s">
        <v>118</v>
      </c>
      <c r="C111" s="258" t="s">
        <v>119</v>
      </c>
      <c r="D111" s="258" t="s">
        <v>195</v>
      </c>
      <c r="E111" s="258" t="s">
        <v>196</v>
      </c>
      <c r="F111" s="259"/>
      <c r="G111" s="258" t="s">
        <v>139</v>
      </c>
      <c r="H111" s="258" t="s">
        <v>180</v>
      </c>
      <c r="I111" s="259" t="s">
        <v>105</v>
      </c>
      <c r="J111" s="316" t="s">
        <v>106</v>
      </c>
      <c r="K111" s="317">
        <f>ROUND(M111/0.15,2)</f>
        <v>166.2</v>
      </c>
      <c r="L111" s="318">
        <f>ROUND(N111/0.15,0)</f>
        <v>232347</v>
      </c>
      <c r="M111" s="319">
        <f t="shared" ref="M111:N111" si="371">Q111</f>
        <v>24.93</v>
      </c>
      <c r="N111" s="261">
        <f t="shared" si="371"/>
        <v>34852</v>
      </c>
      <c r="O111" s="262">
        <v>67.3</v>
      </c>
      <c r="P111" s="263">
        <v>94085.0</v>
      </c>
      <c r="Q111" s="260">
        <f t="shared" ref="Q111:R111" si="372">M109-O111</f>
        <v>24.93</v>
      </c>
      <c r="R111" s="261">
        <f t="shared" si="372"/>
        <v>34852</v>
      </c>
      <c r="S111" s="264">
        <v>1398.0</v>
      </c>
      <c r="T111" s="265">
        <v>15.0</v>
      </c>
      <c r="U111" s="266" t="s">
        <v>107</v>
      </c>
      <c r="V111" s="266" t="s">
        <v>1318</v>
      </c>
      <c r="W111" s="320">
        <v>0.76</v>
      </c>
      <c r="X111" s="320">
        <v>0.205434</v>
      </c>
      <c r="Y111" s="320">
        <v>0.554566</v>
      </c>
      <c r="Z111" s="321">
        <f>Z109</f>
        <v>809</v>
      </c>
      <c r="AA111" s="426"/>
      <c r="AB111" s="428"/>
      <c r="AC111" s="323">
        <f>IFERROR(ROUND(Z111*X111,2),0)</f>
        <v>166.2</v>
      </c>
      <c r="AD111" s="318">
        <f t="shared" si="366"/>
        <v>232348</v>
      </c>
      <c r="AE111" s="429"/>
      <c r="AF111" s="429"/>
      <c r="AG111" s="324">
        <f t="shared" si="367"/>
        <v>448.64</v>
      </c>
      <c r="AH111" s="261">
        <f t="shared" si="368"/>
        <v>627199</v>
      </c>
      <c r="AI111" s="426"/>
      <c r="AJ111" s="426"/>
      <c r="AK111" s="325">
        <f>ROUND(AC111*0.15,2)</f>
        <v>24.93</v>
      </c>
      <c r="AL111" s="261">
        <f>ROUND(AD111*0.15,0)</f>
        <v>34852</v>
      </c>
      <c r="AM111" s="325"/>
      <c r="AN111" s="325"/>
      <c r="AO111" s="325">
        <f>ROUND(AG111*0.15,2)</f>
        <v>67.3</v>
      </c>
      <c r="AP111" s="261">
        <f>ROUND(AH111*0.15,0)</f>
        <v>94080</v>
      </c>
      <c r="AQ111" s="326"/>
      <c r="AR111" s="326"/>
      <c r="AS111" s="326">
        <f>IFERROR(AC111/K111,IFERROR(AO111/O111,""))</f>
        <v>1</v>
      </c>
      <c r="AT111" s="426"/>
      <c r="AU111" s="410"/>
      <c r="AV111" s="410"/>
      <c r="AW111" s="410"/>
      <c r="AX111" s="410"/>
      <c r="AY111" s="410"/>
      <c r="AZ111" s="410"/>
      <c r="BA111" s="410"/>
      <c r="BB111" s="410"/>
      <c r="BC111" s="410"/>
      <c r="BD111" s="410"/>
      <c r="BE111" s="410"/>
    </row>
    <row r="112" ht="12.75" customHeight="1">
      <c r="A112" s="245" t="s">
        <v>567</v>
      </c>
      <c r="B112" s="246" t="s">
        <v>118</v>
      </c>
      <c r="C112" s="247" t="s">
        <v>119</v>
      </c>
      <c r="D112" s="247" t="s">
        <v>197</v>
      </c>
      <c r="E112" s="247" t="s">
        <v>197</v>
      </c>
      <c r="F112" s="248"/>
      <c r="G112" s="247" t="s">
        <v>143</v>
      </c>
      <c r="H112" s="247" t="s">
        <v>160</v>
      </c>
      <c r="I112" s="248" t="s">
        <v>105</v>
      </c>
      <c r="J112" s="300" t="s">
        <v>106</v>
      </c>
      <c r="K112" s="301">
        <v>26.75</v>
      </c>
      <c r="L112" s="302">
        <v>36872.0</v>
      </c>
      <c r="M112" s="303">
        <v>4.01</v>
      </c>
      <c r="N112" s="250">
        <v>5527.0</v>
      </c>
      <c r="O112" s="249">
        <v>0.0</v>
      </c>
      <c r="P112" s="250">
        <v>0.0</v>
      </c>
      <c r="Q112" s="251">
        <f t="shared" ref="Q112:R112" si="373">M112-O112</f>
        <v>4.01</v>
      </c>
      <c r="R112" s="252">
        <f t="shared" si="373"/>
        <v>5527</v>
      </c>
      <c r="S112" s="253">
        <v>1378.4</v>
      </c>
      <c r="T112" s="254">
        <v>15.0</v>
      </c>
      <c r="U112" s="255" t="s">
        <v>107</v>
      </c>
      <c r="V112" s="255"/>
      <c r="W112" s="304">
        <v>0.6369</v>
      </c>
      <c r="X112" s="304">
        <v>0.234698</v>
      </c>
      <c r="Y112" s="304">
        <v>0.402202</v>
      </c>
      <c r="Z112" s="305">
        <f>IFERROR(ROUND(K112/W112,0),0)</f>
        <v>42</v>
      </c>
      <c r="AA112" s="306">
        <f t="shared" ref="AA112:AA113" si="375">Z112*W112</f>
        <v>26.7498</v>
      </c>
      <c r="AB112" s="307">
        <f t="shared" ref="AB112:AB113" si="376">ROUND(AA112*S112,0)</f>
        <v>36872</v>
      </c>
      <c r="AC112" s="308">
        <f t="shared" ref="AC112:AC113" si="377">AA112</f>
        <v>26.7498</v>
      </c>
      <c r="AD112" s="309">
        <f t="shared" si="366"/>
        <v>36872</v>
      </c>
      <c r="AE112" s="425"/>
      <c r="AF112" s="425"/>
      <c r="AG112" s="310">
        <f t="shared" si="367"/>
        <v>16.89</v>
      </c>
      <c r="AH112" s="252">
        <f t="shared" si="368"/>
        <v>23281</v>
      </c>
      <c r="AI112" s="306">
        <f t="shared" ref="AI112:AI113" si="378">ROUND(AC112*0.15,2)</f>
        <v>4.01</v>
      </c>
      <c r="AJ112" s="252">
        <f t="shared" ref="AJ112:AJ113" si="379">ROUND(AD112*0.15,0)</f>
        <v>5531</v>
      </c>
      <c r="AK112" s="426"/>
      <c r="AL112" s="426"/>
      <c r="AM112" s="426"/>
      <c r="AN112" s="426"/>
      <c r="AO112" s="426"/>
      <c r="AP112" s="426"/>
      <c r="AQ112" s="427"/>
      <c r="AR112" s="427"/>
      <c r="AS112" s="427"/>
      <c r="AT112" s="426"/>
      <c r="AU112" s="410"/>
      <c r="AV112" s="410"/>
      <c r="AW112" s="410"/>
      <c r="AX112" s="410"/>
      <c r="AY112" s="410"/>
      <c r="AZ112" s="410"/>
      <c r="BA112" s="410"/>
      <c r="BB112" s="410"/>
      <c r="BC112" s="410"/>
      <c r="BD112" s="410"/>
      <c r="BE112" s="410"/>
    </row>
    <row r="113" ht="12.75" customHeight="1">
      <c r="A113" s="245" t="s">
        <v>568</v>
      </c>
      <c r="B113" s="246" t="s">
        <v>118</v>
      </c>
      <c r="C113" s="247" t="s">
        <v>119</v>
      </c>
      <c r="D113" s="247" t="s">
        <v>197</v>
      </c>
      <c r="E113" s="247" t="s">
        <v>197</v>
      </c>
      <c r="F113" s="248"/>
      <c r="G113" s="247" t="s">
        <v>143</v>
      </c>
      <c r="H113" s="247" t="s">
        <v>160</v>
      </c>
      <c r="I113" s="248" t="s">
        <v>105</v>
      </c>
      <c r="J113" s="300" t="s">
        <v>106</v>
      </c>
      <c r="K113" s="314">
        <f t="shared" ref="K113:R113" si="374">-K112</f>
        <v>-26.75</v>
      </c>
      <c r="L113" s="309">
        <f t="shared" si="374"/>
        <v>-36872</v>
      </c>
      <c r="M113" s="315">
        <f t="shared" si="374"/>
        <v>-4.01</v>
      </c>
      <c r="N113" s="252">
        <f t="shared" si="374"/>
        <v>-5527</v>
      </c>
      <c r="O113" s="251">
        <f t="shared" si="374"/>
        <v>0</v>
      </c>
      <c r="P113" s="252">
        <f t="shared" si="374"/>
        <v>0</v>
      </c>
      <c r="Q113" s="251">
        <f t="shared" si="374"/>
        <v>-4.01</v>
      </c>
      <c r="R113" s="252">
        <f t="shared" si="374"/>
        <v>-5527</v>
      </c>
      <c r="S113" s="253">
        <v>1378.4</v>
      </c>
      <c r="T113" s="254">
        <v>15.0</v>
      </c>
      <c r="U113" s="255" t="s">
        <v>107</v>
      </c>
      <c r="V113" s="255"/>
      <c r="W113" s="304">
        <v>0.6369</v>
      </c>
      <c r="X113" s="304">
        <v>0.234698</v>
      </c>
      <c r="Y113" s="304">
        <v>0.402202</v>
      </c>
      <c r="Z113" s="305">
        <f>-Z112</f>
        <v>-42</v>
      </c>
      <c r="AA113" s="306">
        <f t="shared" si="375"/>
        <v>-26.7498</v>
      </c>
      <c r="AB113" s="307">
        <f t="shared" si="376"/>
        <v>-36872</v>
      </c>
      <c r="AC113" s="308">
        <f t="shared" si="377"/>
        <v>-26.7498</v>
      </c>
      <c r="AD113" s="309">
        <f t="shared" si="366"/>
        <v>-36872</v>
      </c>
      <c r="AE113" s="425"/>
      <c r="AF113" s="425"/>
      <c r="AG113" s="310">
        <f t="shared" si="367"/>
        <v>-16.89</v>
      </c>
      <c r="AH113" s="252">
        <f t="shared" si="368"/>
        <v>-23281</v>
      </c>
      <c r="AI113" s="306">
        <f t="shared" si="378"/>
        <v>-4.01</v>
      </c>
      <c r="AJ113" s="252">
        <f t="shared" si="379"/>
        <v>-5531</v>
      </c>
      <c r="AK113" s="426"/>
      <c r="AL113" s="426"/>
      <c r="AM113" s="426"/>
      <c r="AN113" s="426"/>
      <c r="AO113" s="426"/>
      <c r="AP113" s="426"/>
      <c r="AQ113" s="427"/>
      <c r="AR113" s="427"/>
      <c r="AS113" s="427"/>
      <c r="AT113" s="426"/>
      <c r="AU113" s="410"/>
      <c r="AV113" s="410"/>
      <c r="AW113" s="410"/>
      <c r="AX113" s="410"/>
      <c r="AY113" s="410"/>
      <c r="AZ113" s="410"/>
      <c r="BA113" s="410"/>
      <c r="BB113" s="410"/>
      <c r="BC113" s="410"/>
      <c r="BD113" s="410"/>
      <c r="BE113" s="410"/>
    </row>
    <row r="114" ht="12.75" customHeight="1">
      <c r="A114" s="256" t="s">
        <v>569</v>
      </c>
      <c r="B114" s="257" t="s">
        <v>118</v>
      </c>
      <c r="C114" s="258" t="s">
        <v>119</v>
      </c>
      <c r="D114" s="258" t="s">
        <v>197</v>
      </c>
      <c r="E114" s="258" t="s">
        <v>197</v>
      </c>
      <c r="F114" s="259"/>
      <c r="G114" s="258" t="s">
        <v>143</v>
      </c>
      <c r="H114" s="258" t="s">
        <v>160</v>
      </c>
      <c r="I114" s="259" t="s">
        <v>105</v>
      </c>
      <c r="J114" s="316" t="s">
        <v>106</v>
      </c>
      <c r="K114" s="317">
        <f>ROUND(M114/0.15,2)</f>
        <v>9.8</v>
      </c>
      <c r="L114" s="318">
        <f>ROUND(N114/0.15,0)</f>
        <v>13507</v>
      </c>
      <c r="M114" s="319">
        <f t="shared" ref="M114:N114" si="380">Q114</f>
        <v>1.47</v>
      </c>
      <c r="N114" s="261">
        <f t="shared" si="380"/>
        <v>2026</v>
      </c>
      <c r="O114" s="262">
        <v>2.54</v>
      </c>
      <c r="P114" s="263">
        <v>3501.0</v>
      </c>
      <c r="Q114" s="260">
        <f t="shared" ref="Q114:R114" si="381">M112-O114</f>
        <v>1.47</v>
      </c>
      <c r="R114" s="261">
        <f t="shared" si="381"/>
        <v>2026</v>
      </c>
      <c r="S114" s="264">
        <v>1378.4</v>
      </c>
      <c r="T114" s="265">
        <v>15.0</v>
      </c>
      <c r="U114" s="266" t="s">
        <v>107</v>
      </c>
      <c r="V114" s="266" t="s">
        <v>1319</v>
      </c>
      <c r="W114" s="320">
        <v>0.6369</v>
      </c>
      <c r="X114" s="320">
        <v>0.234698</v>
      </c>
      <c r="Y114" s="320">
        <v>0.402202</v>
      </c>
      <c r="Z114" s="321">
        <f>Z112</f>
        <v>42</v>
      </c>
      <c r="AA114" s="426"/>
      <c r="AB114" s="428"/>
      <c r="AC114" s="323">
        <f>IFERROR(ROUND(Z114*X114,2),0)</f>
        <v>9.86</v>
      </c>
      <c r="AD114" s="318">
        <f t="shared" si="366"/>
        <v>13591</v>
      </c>
      <c r="AE114" s="429"/>
      <c r="AF114" s="429"/>
      <c r="AG114" s="324">
        <f t="shared" si="367"/>
        <v>16.89</v>
      </c>
      <c r="AH114" s="261">
        <f t="shared" si="368"/>
        <v>23281</v>
      </c>
      <c r="AI114" s="426"/>
      <c r="AJ114" s="426"/>
      <c r="AK114" s="325">
        <f>ROUND(AC114*0.15,2)</f>
        <v>1.48</v>
      </c>
      <c r="AL114" s="261">
        <f>ROUND(AD114*0.15,0)</f>
        <v>2039</v>
      </c>
      <c r="AM114" s="325"/>
      <c r="AN114" s="325"/>
      <c r="AO114" s="325">
        <f>ROUND(AG114*0.15,2)</f>
        <v>2.53</v>
      </c>
      <c r="AP114" s="261">
        <f>ROUND(AH114*0.15,0)</f>
        <v>3492</v>
      </c>
      <c r="AQ114" s="326"/>
      <c r="AR114" s="326"/>
      <c r="AS114" s="326">
        <f>IFERROR(AC114/K114,IFERROR(AO114/O114,""))</f>
        <v>1.006122449</v>
      </c>
      <c r="AT114" s="426"/>
      <c r="AU114" s="410"/>
      <c r="AV114" s="410"/>
      <c r="AW114" s="410"/>
      <c r="AX114" s="410"/>
      <c r="AY114" s="410"/>
      <c r="AZ114" s="410"/>
      <c r="BA114" s="410"/>
      <c r="BB114" s="410"/>
      <c r="BC114" s="410"/>
      <c r="BD114" s="410"/>
      <c r="BE114" s="410"/>
    </row>
    <row r="115" ht="12.75" customHeight="1">
      <c r="A115" s="245" t="s">
        <v>571</v>
      </c>
      <c r="B115" s="246" t="s">
        <v>118</v>
      </c>
      <c r="C115" s="247" t="s">
        <v>119</v>
      </c>
      <c r="D115" s="247" t="s">
        <v>198</v>
      </c>
      <c r="E115" s="247" t="s">
        <v>197</v>
      </c>
      <c r="F115" s="248"/>
      <c r="G115" s="247" t="s">
        <v>127</v>
      </c>
      <c r="H115" s="247" t="s">
        <v>186</v>
      </c>
      <c r="I115" s="248" t="s">
        <v>105</v>
      </c>
      <c r="J115" s="300" t="s">
        <v>106</v>
      </c>
      <c r="K115" s="301">
        <v>78.13</v>
      </c>
      <c r="L115" s="302">
        <v>107577.0</v>
      </c>
      <c r="M115" s="303">
        <v>11.72</v>
      </c>
      <c r="N115" s="250">
        <v>16137.0</v>
      </c>
      <c r="O115" s="249">
        <v>0.0</v>
      </c>
      <c r="P115" s="250">
        <v>0.0</v>
      </c>
      <c r="Q115" s="251">
        <f t="shared" ref="Q115:R115" si="382">M115-O115</f>
        <v>11.72</v>
      </c>
      <c r="R115" s="252">
        <f t="shared" si="382"/>
        <v>16137</v>
      </c>
      <c r="S115" s="253">
        <v>1376.9</v>
      </c>
      <c r="T115" s="254">
        <v>15.0</v>
      </c>
      <c r="U115" s="255" t="s">
        <v>107</v>
      </c>
      <c r="V115" s="255"/>
      <c r="W115" s="304">
        <v>1.6276</v>
      </c>
      <c r="X115" s="304">
        <v>0.770708</v>
      </c>
      <c r="Y115" s="304">
        <v>0.856892</v>
      </c>
      <c r="Z115" s="305">
        <f>IFERROR(ROUND(K115/W115,0),0)</f>
        <v>48</v>
      </c>
      <c r="AA115" s="306">
        <f t="shared" ref="AA115:AA116" si="384">Z115*W115</f>
        <v>78.1248</v>
      </c>
      <c r="AB115" s="307">
        <f t="shared" ref="AB115:AB116" si="385">ROUND(AA115*S115,0)</f>
        <v>107570</v>
      </c>
      <c r="AC115" s="308">
        <f t="shared" ref="AC115:AC116" si="386">AA115</f>
        <v>78.1248</v>
      </c>
      <c r="AD115" s="309">
        <f t="shared" si="366"/>
        <v>107570</v>
      </c>
      <c r="AE115" s="425"/>
      <c r="AF115" s="425"/>
      <c r="AG115" s="310">
        <f t="shared" si="367"/>
        <v>41.13</v>
      </c>
      <c r="AH115" s="252">
        <f t="shared" si="368"/>
        <v>56632</v>
      </c>
      <c r="AI115" s="306">
        <f t="shared" ref="AI115:AI116" si="387">ROUND(AC115*0.15,2)</f>
        <v>11.72</v>
      </c>
      <c r="AJ115" s="252">
        <f t="shared" ref="AJ115:AJ116" si="388">ROUND(AD115*0.15,0)</f>
        <v>16136</v>
      </c>
      <c r="AK115" s="426"/>
      <c r="AL115" s="426"/>
      <c r="AM115" s="426"/>
      <c r="AN115" s="426"/>
      <c r="AO115" s="426"/>
      <c r="AP115" s="426"/>
      <c r="AQ115" s="427"/>
      <c r="AR115" s="427"/>
      <c r="AS115" s="427"/>
      <c r="AT115" s="426"/>
      <c r="AU115" s="410"/>
      <c r="AV115" s="410"/>
      <c r="AW115" s="410"/>
      <c r="AX115" s="410"/>
      <c r="AY115" s="410"/>
      <c r="AZ115" s="410"/>
      <c r="BA115" s="410"/>
      <c r="BB115" s="410"/>
      <c r="BC115" s="410"/>
      <c r="BD115" s="410"/>
      <c r="BE115" s="410"/>
    </row>
    <row r="116" ht="12.75" customHeight="1">
      <c r="A116" s="245" t="s">
        <v>572</v>
      </c>
      <c r="B116" s="246" t="s">
        <v>118</v>
      </c>
      <c r="C116" s="247" t="s">
        <v>119</v>
      </c>
      <c r="D116" s="247" t="s">
        <v>198</v>
      </c>
      <c r="E116" s="247" t="s">
        <v>197</v>
      </c>
      <c r="F116" s="248"/>
      <c r="G116" s="247" t="s">
        <v>127</v>
      </c>
      <c r="H116" s="247" t="s">
        <v>186</v>
      </c>
      <c r="I116" s="248" t="s">
        <v>105</v>
      </c>
      <c r="J116" s="300" t="s">
        <v>106</v>
      </c>
      <c r="K116" s="314">
        <f t="shared" ref="K116:R116" si="383">-K115</f>
        <v>-78.13</v>
      </c>
      <c r="L116" s="309">
        <f t="shared" si="383"/>
        <v>-107577</v>
      </c>
      <c r="M116" s="315">
        <f t="shared" si="383"/>
        <v>-11.72</v>
      </c>
      <c r="N116" s="252">
        <f t="shared" si="383"/>
        <v>-16137</v>
      </c>
      <c r="O116" s="251">
        <f t="shared" si="383"/>
        <v>0</v>
      </c>
      <c r="P116" s="252">
        <f t="shared" si="383"/>
        <v>0</v>
      </c>
      <c r="Q116" s="251">
        <f t="shared" si="383"/>
        <v>-11.72</v>
      </c>
      <c r="R116" s="252">
        <f t="shared" si="383"/>
        <v>-16137</v>
      </c>
      <c r="S116" s="253">
        <v>1376.9</v>
      </c>
      <c r="T116" s="254">
        <v>15.0</v>
      </c>
      <c r="U116" s="255" t="s">
        <v>107</v>
      </c>
      <c r="V116" s="255"/>
      <c r="W116" s="304">
        <v>1.6276</v>
      </c>
      <c r="X116" s="304">
        <v>0.770708</v>
      </c>
      <c r="Y116" s="304">
        <v>0.856892</v>
      </c>
      <c r="Z116" s="305">
        <f>-Z115</f>
        <v>-48</v>
      </c>
      <c r="AA116" s="306">
        <f t="shared" si="384"/>
        <v>-78.1248</v>
      </c>
      <c r="AB116" s="307">
        <f t="shared" si="385"/>
        <v>-107570</v>
      </c>
      <c r="AC116" s="308">
        <f t="shared" si="386"/>
        <v>-78.1248</v>
      </c>
      <c r="AD116" s="309">
        <f t="shared" si="366"/>
        <v>-107570</v>
      </c>
      <c r="AE116" s="425"/>
      <c r="AF116" s="425"/>
      <c r="AG116" s="310">
        <f t="shared" si="367"/>
        <v>-41.13</v>
      </c>
      <c r="AH116" s="252">
        <f t="shared" si="368"/>
        <v>-56632</v>
      </c>
      <c r="AI116" s="306">
        <f t="shared" si="387"/>
        <v>-11.72</v>
      </c>
      <c r="AJ116" s="252">
        <f t="shared" si="388"/>
        <v>-16136</v>
      </c>
      <c r="AK116" s="426"/>
      <c r="AL116" s="426"/>
      <c r="AM116" s="426"/>
      <c r="AN116" s="426"/>
      <c r="AO116" s="426"/>
      <c r="AP116" s="426"/>
      <c r="AQ116" s="427"/>
      <c r="AR116" s="427"/>
      <c r="AS116" s="427"/>
      <c r="AT116" s="426"/>
      <c r="AU116" s="410"/>
      <c r="AV116" s="410"/>
      <c r="AW116" s="410"/>
      <c r="AX116" s="410"/>
      <c r="AY116" s="410"/>
      <c r="AZ116" s="410"/>
      <c r="BA116" s="410"/>
      <c r="BB116" s="410"/>
      <c r="BC116" s="410"/>
      <c r="BD116" s="410"/>
      <c r="BE116" s="410"/>
    </row>
    <row r="117" ht="12.75" customHeight="1">
      <c r="A117" s="256" t="s">
        <v>573</v>
      </c>
      <c r="B117" s="257" t="s">
        <v>118</v>
      </c>
      <c r="C117" s="258" t="s">
        <v>119</v>
      </c>
      <c r="D117" s="258" t="s">
        <v>198</v>
      </c>
      <c r="E117" s="258" t="s">
        <v>197</v>
      </c>
      <c r="F117" s="259"/>
      <c r="G117" s="258" t="s">
        <v>127</v>
      </c>
      <c r="H117" s="258" t="s">
        <v>186</v>
      </c>
      <c r="I117" s="259" t="s">
        <v>105</v>
      </c>
      <c r="J117" s="316" t="s">
        <v>106</v>
      </c>
      <c r="K117" s="317">
        <f>ROUND(M117/0.15,2)</f>
        <v>37.07</v>
      </c>
      <c r="L117" s="318">
        <f>ROUND(N117/0.15,0)</f>
        <v>51033</v>
      </c>
      <c r="M117" s="319">
        <f t="shared" ref="M117:N117" si="389">Q117</f>
        <v>5.56</v>
      </c>
      <c r="N117" s="261">
        <f t="shared" si="389"/>
        <v>7655</v>
      </c>
      <c r="O117" s="262">
        <v>6.16</v>
      </c>
      <c r="P117" s="263">
        <v>8482.0</v>
      </c>
      <c r="Q117" s="260">
        <f t="shared" ref="Q117:R117" si="390">M115-O117</f>
        <v>5.56</v>
      </c>
      <c r="R117" s="261">
        <f t="shared" si="390"/>
        <v>7655</v>
      </c>
      <c r="S117" s="264">
        <v>1376.9</v>
      </c>
      <c r="T117" s="265">
        <v>15.0</v>
      </c>
      <c r="U117" s="266" t="s">
        <v>107</v>
      </c>
      <c r="V117" s="266" t="s">
        <v>1320</v>
      </c>
      <c r="W117" s="320">
        <v>1.6276</v>
      </c>
      <c r="X117" s="320">
        <v>0.770708</v>
      </c>
      <c r="Y117" s="320">
        <v>0.856892</v>
      </c>
      <c r="Z117" s="321">
        <f>Z115</f>
        <v>48</v>
      </c>
      <c r="AA117" s="426"/>
      <c r="AB117" s="428"/>
      <c r="AC117" s="323">
        <f>IFERROR(ROUND(Z117*X117,2),0)</f>
        <v>36.99</v>
      </c>
      <c r="AD117" s="318">
        <f t="shared" si="366"/>
        <v>50932</v>
      </c>
      <c r="AE117" s="429"/>
      <c r="AF117" s="429"/>
      <c r="AG117" s="324">
        <f t="shared" si="367"/>
        <v>41.13</v>
      </c>
      <c r="AH117" s="261">
        <f t="shared" si="368"/>
        <v>56632</v>
      </c>
      <c r="AI117" s="426"/>
      <c r="AJ117" s="426"/>
      <c r="AK117" s="325">
        <f>ROUND(AC117*0.15,2)</f>
        <v>5.55</v>
      </c>
      <c r="AL117" s="261">
        <f>ROUND(AD117*0.15,0)</f>
        <v>7640</v>
      </c>
      <c r="AM117" s="325"/>
      <c r="AN117" s="325"/>
      <c r="AO117" s="325">
        <f>ROUND(AG117*0.15,2)</f>
        <v>6.17</v>
      </c>
      <c r="AP117" s="261">
        <f>ROUND(AH117*0.15,0)</f>
        <v>8495</v>
      </c>
      <c r="AQ117" s="326"/>
      <c r="AR117" s="326"/>
      <c r="AS117" s="326">
        <f>IFERROR(AC117/K117,IFERROR(AO117/O117,""))</f>
        <v>0.9978419207</v>
      </c>
      <c r="AT117" s="426"/>
      <c r="AU117" s="410"/>
      <c r="AV117" s="410"/>
      <c r="AW117" s="410"/>
      <c r="AX117" s="410"/>
      <c r="AY117" s="410"/>
      <c r="AZ117" s="410"/>
      <c r="BA117" s="410"/>
      <c r="BB117" s="410"/>
      <c r="BC117" s="410"/>
      <c r="BD117" s="410"/>
      <c r="BE117" s="410"/>
    </row>
    <row r="118" ht="12.75" customHeight="1">
      <c r="A118" s="245" t="s">
        <v>575</v>
      </c>
      <c r="B118" s="246" t="s">
        <v>118</v>
      </c>
      <c r="C118" s="247" t="s">
        <v>119</v>
      </c>
      <c r="D118" s="247" t="s">
        <v>199</v>
      </c>
      <c r="E118" s="247" t="s">
        <v>200</v>
      </c>
      <c r="F118" s="248"/>
      <c r="G118" s="247" t="s">
        <v>131</v>
      </c>
      <c r="H118" s="247" t="s">
        <v>167</v>
      </c>
      <c r="I118" s="248" t="s">
        <v>105</v>
      </c>
      <c r="J118" s="300" t="s">
        <v>106</v>
      </c>
      <c r="K118" s="301">
        <v>585.14</v>
      </c>
      <c r="L118" s="302">
        <v>805679.0</v>
      </c>
      <c r="M118" s="303">
        <v>87.77</v>
      </c>
      <c r="N118" s="250">
        <v>120850.0</v>
      </c>
      <c r="O118" s="249">
        <v>0.0</v>
      </c>
      <c r="P118" s="250">
        <v>0.0</v>
      </c>
      <c r="Q118" s="251">
        <f t="shared" ref="Q118:R118" si="391">M118-O118</f>
        <v>87.77</v>
      </c>
      <c r="R118" s="252">
        <f t="shared" si="391"/>
        <v>120850</v>
      </c>
      <c r="S118" s="253">
        <v>1376.9</v>
      </c>
      <c r="T118" s="254">
        <v>15.0</v>
      </c>
      <c r="U118" s="255" t="s">
        <v>107</v>
      </c>
      <c r="V118" s="255"/>
      <c r="W118" s="304">
        <v>0.7351</v>
      </c>
      <c r="X118" s="304">
        <v>0.021711</v>
      </c>
      <c r="Y118" s="304">
        <v>0.713389</v>
      </c>
      <c r="Z118" s="305">
        <f>IFERROR(ROUND(K118/W118,0),0)</f>
        <v>796</v>
      </c>
      <c r="AA118" s="306">
        <f t="shared" ref="AA118:AA119" si="393">Z118*W118</f>
        <v>585.1396</v>
      </c>
      <c r="AB118" s="307">
        <f t="shared" ref="AB118:AB119" si="394">ROUND(AA118*S118,0)</f>
        <v>805679</v>
      </c>
      <c r="AC118" s="308">
        <f t="shared" ref="AC118:AC119" si="395">AA118</f>
        <v>585.1396</v>
      </c>
      <c r="AD118" s="309">
        <f t="shared" si="366"/>
        <v>805679</v>
      </c>
      <c r="AE118" s="425"/>
      <c r="AF118" s="425"/>
      <c r="AG118" s="310">
        <f t="shared" si="367"/>
        <v>567.86</v>
      </c>
      <c r="AH118" s="252">
        <f t="shared" si="368"/>
        <v>781886</v>
      </c>
      <c r="AI118" s="306">
        <f t="shared" ref="AI118:AI119" si="396">ROUND(AC118*0.15,2)</f>
        <v>87.77</v>
      </c>
      <c r="AJ118" s="252">
        <f t="shared" ref="AJ118:AJ119" si="397">ROUND(AD118*0.15,0)</f>
        <v>120852</v>
      </c>
      <c r="AK118" s="426"/>
      <c r="AL118" s="426"/>
      <c r="AM118" s="426"/>
      <c r="AN118" s="426"/>
      <c r="AO118" s="426"/>
      <c r="AP118" s="426"/>
      <c r="AQ118" s="427"/>
      <c r="AR118" s="427"/>
      <c r="AS118" s="427"/>
      <c r="AT118" s="426"/>
      <c r="AU118" s="410"/>
      <c r="AV118" s="410"/>
      <c r="AW118" s="410"/>
      <c r="AX118" s="410"/>
      <c r="AY118" s="410"/>
      <c r="AZ118" s="410"/>
      <c r="BA118" s="410"/>
      <c r="BB118" s="410"/>
      <c r="BC118" s="410"/>
      <c r="BD118" s="410"/>
      <c r="BE118" s="410"/>
    </row>
    <row r="119" ht="12.75" customHeight="1">
      <c r="A119" s="245" t="s">
        <v>576</v>
      </c>
      <c r="B119" s="246" t="s">
        <v>118</v>
      </c>
      <c r="C119" s="247" t="s">
        <v>119</v>
      </c>
      <c r="D119" s="247" t="s">
        <v>199</v>
      </c>
      <c r="E119" s="247" t="s">
        <v>200</v>
      </c>
      <c r="F119" s="248"/>
      <c r="G119" s="247" t="s">
        <v>131</v>
      </c>
      <c r="H119" s="247" t="s">
        <v>167</v>
      </c>
      <c r="I119" s="248" t="s">
        <v>105</v>
      </c>
      <c r="J119" s="300" t="s">
        <v>106</v>
      </c>
      <c r="K119" s="314">
        <f t="shared" ref="K119:R119" si="392">-K118</f>
        <v>-585.14</v>
      </c>
      <c r="L119" s="309">
        <f t="shared" si="392"/>
        <v>-805679</v>
      </c>
      <c r="M119" s="315">
        <f t="shared" si="392"/>
        <v>-87.77</v>
      </c>
      <c r="N119" s="252">
        <f t="shared" si="392"/>
        <v>-120850</v>
      </c>
      <c r="O119" s="251">
        <f t="shared" si="392"/>
        <v>0</v>
      </c>
      <c r="P119" s="252">
        <f t="shared" si="392"/>
        <v>0</v>
      </c>
      <c r="Q119" s="251">
        <f t="shared" si="392"/>
        <v>-87.77</v>
      </c>
      <c r="R119" s="252">
        <f t="shared" si="392"/>
        <v>-120850</v>
      </c>
      <c r="S119" s="253">
        <v>1376.9</v>
      </c>
      <c r="T119" s="254">
        <v>15.0</v>
      </c>
      <c r="U119" s="255" t="s">
        <v>107</v>
      </c>
      <c r="V119" s="255"/>
      <c r="W119" s="304">
        <v>0.7351</v>
      </c>
      <c r="X119" s="304">
        <v>0.021711</v>
      </c>
      <c r="Y119" s="304">
        <v>0.713389</v>
      </c>
      <c r="Z119" s="305">
        <f>-Z118</f>
        <v>-796</v>
      </c>
      <c r="AA119" s="306">
        <f t="shared" si="393"/>
        <v>-585.1396</v>
      </c>
      <c r="AB119" s="307">
        <f t="shared" si="394"/>
        <v>-805679</v>
      </c>
      <c r="AC119" s="308">
        <f t="shared" si="395"/>
        <v>-585.1396</v>
      </c>
      <c r="AD119" s="309">
        <f t="shared" si="366"/>
        <v>-805679</v>
      </c>
      <c r="AE119" s="425"/>
      <c r="AF119" s="425"/>
      <c r="AG119" s="310">
        <f t="shared" si="367"/>
        <v>-567.86</v>
      </c>
      <c r="AH119" s="252">
        <f t="shared" si="368"/>
        <v>-781886</v>
      </c>
      <c r="AI119" s="306">
        <f t="shared" si="396"/>
        <v>-87.77</v>
      </c>
      <c r="AJ119" s="252">
        <f t="shared" si="397"/>
        <v>-120852</v>
      </c>
      <c r="AK119" s="426"/>
      <c r="AL119" s="426"/>
      <c r="AM119" s="426"/>
      <c r="AN119" s="426"/>
      <c r="AO119" s="426"/>
      <c r="AP119" s="426"/>
      <c r="AQ119" s="427"/>
      <c r="AR119" s="427"/>
      <c r="AS119" s="427"/>
      <c r="AT119" s="426"/>
      <c r="AU119" s="410"/>
      <c r="AV119" s="410"/>
      <c r="AW119" s="410"/>
      <c r="AX119" s="410"/>
      <c r="AY119" s="410"/>
      <c r="AZ119" s="410"/>
      <c r="BA119" s="410"/>
      <c r="BB119" s="410"/>
      <c r="BC119" s="410"/>
      <c r="BD119" s="410"/>
      <c r="BE119" s="410"/>
    </row>
    <row r="120" ht="12.75" customHeight="1">
      <c r="A120" s="256" t="s">
        <v>577</v>
      </c>
      <c r="B120" s="257" t="s">
        <v>118</v>
      </c>
      <c r="C120" s="258" t="s">
        <v>119</v>
      </c>
      <c r="D120" s="258" t="s">
        <v>199</v>
      </c>
      <c r="E120" s="258" t="s">
        <v>200</v>
      </c>
      <c r="F120" s="259"/>
      <c r="G120" s="258" t="s">
        <v>131</v>
      </c>
      <c r="H120" s="258" t="s">
        <v>167</v>
      </c>
      <c r="I120" s="259" t="s">
        <v>105</v>
      </c>
      <c r="J120" s="316" t="s">
        <v>106</v>
      </c>
      <c r="K120" s="317">
        <f>ROUND(M120/0.15,2)</f>
        <v>17.27</v>
      </c>
      <c r="L120" s="318">
        <f>ROUND(N120/0.15,0)</f>
        <v>23773</v>
      </c>
      <c r="M120" s="319">
        <f t="shared" ref="M120:N120" si="398">Q120</f>
        <v>2.59</v>
      </c>
      <c r="N120" s="261">
        <f t="shared" si="398"/>
        <v>3566</v>
      </c>
      <c r="O120" s="262">
        <v>85.18</v>
      </c>
      <c r="P120" s="263">
        <v>117284.0</v>
      </c>
      <c r="Q120" s="260">
        <f t="shared" ref="Q120:R120" si="399">M118-O120</f>
        <v>2.59</v>
      </c>
      <c r="R120" s="261">
        <f t="shared" si="399"/>
        <v>3566</v>
      </c>
      <c r="S120" s="264">
        <v>1376.9</v>
      </c>
      <c r="T120" s="265">
        <v>15.0</v>
      </c>
      <c r="U120" s="266" t="s">
        <v>107</v>
      </c>
      <c r="V120" s="266" t="s">
        <v>1321</v>
      </c>
      <c r="W120" s="320">
        <v>0.7351</v>
      </c>
      <c r="X120" s="320">
        <v>0.021711</v>
      </c>
      <c r="Y120" s="320">
        <v>0.713389</v>
      </c>
      <c r="Z120" s="321">
        <f>Z118</f>
        <v>796</v>
      </c>
      <c r="AA120" s="426"/>
      <c r="AB120" s="428"/>
      <c r="AC120" s="323">
        <f>IFERROR(ROUND(Z120*X120,2),0)</f>
        <v>17.28</v>
      </c>
      <c r="AD120" s="318">
        <f t="shared" si="366"/>
        <v>23793</v>
      </c>
      <c r="AE120" s="429"/>
      <c r="AF120" s="429"/>
      <c r="AG120" s="324">
        <f t="shared" si="367"/>
        <v>567.86</v>
      </c>
      <c r="AH120" s="261">
        <f t="shared" si="368"/>
        <v>781886</v>
      </c>
      <c r="AI120" s="426"/>
      <c r="AJ120" s="426"/>
      <c r="AK120" s="325">
        <f>ROUND(AC120*0.15,2)</f>
        <v>2.59</v>
      </c>
      <c r="AL120" s="261">
        <f>ROUND(AD120*0.15,0)</f>
        <v>3569</v>
      </c>
      <c r="AM120" s="325"/>
      <c r="AN120" s="325"/>
      <c r="AO120" s="325">
        <f>ROUND(AG120*0.15,2)</f>
        <v>85.18</v>
      </c>
      <c r="AP120" s="261">
        <f>ROUND(AH120*0.15,0)</f>
        <v>117283</v>
      </c>
      <c r="AQ120" s="326"/>
      <c r="AR120" s="326"/>
      <c r="AS120" s="326">
        <f>IFERROR(AC120/K120,IFERROR(AO120/O120,""))</f>
        <v>1.000579039</v>
      </c>
      <c r="AT120" s="426"/>
      <c r="AU120" s="410"/>
      <c r="AV120" s="410"/>
      <c r="AW120" s="410"/>
      <c r="AX120" s="410"/>
      <c r="AY120" s="410"/>
      <c r="AZ120" s="410"/>
      <c r="BA120" s="410"/>
      <c r="BB120" s="410"/>
      <c r="BC120" s="410"/>
      <c r="BD120" s="410"/>
      <c r="BE120" s="410"/>
    </row>
    <row r="121" ht="12.75" customHeight="1">
      <c r="A121" s="245" t="s">
        <v>579</v>
      </c>
      <c r="B121" s="246" t="s">
        <v>118</v>
      </c>
      <c r="C121" s="247" t="s">
        <v>119</v>
      </c>
      <c r="D121" s="247" t="s">
        <v>201</v>
      </c>
      <c r="E121" s="247" t="s">
        <v>202</v>
      </c>
      <c r="F121" s="248"/>
      <c r="G121" s="247" t="s">
        <v>135</v>
      </c>
      <c r="H121" s="247" t="s">
        <v>172</v>
      </c>
      <c r="I121" s="248" t="s">
        <v>105</v>
      </c>
      <c r="J121" s="300" t="s">
        <v>106</v>
      </c>
      <c r="K121" s="301">
        <v>870.66</v>
      </c>
      <c r="L121" s="302">
        <v>1183139.0</v>
      </c>
      <c r="M121" s="303">
        <v>130.6</v>
      </c>
      <c r="N121" s="250">
        <v>177472.0</v>
      </c>
      <c r="O121" s="249">
        <v>0.0</v>
      </c>
      <c r="P121" s="250">
        <v>0.0</v>
      </c>
      <c r="Q121" s="251">
        <f t="shared" ref="Q121:R121" si="400">M121-O121</f>
        <v>130.6</v>
      </c>
      <c r="R121" s="252">
        <f t="shared" si="400"/>
        <v>177472</v>
      </c>
      <c r="S121" s="253">
        <v>1358.9</v>
      </c>
      <c r="T121" s="254">
        <v>15.0</v>
      </c>
      <c r="U121" s="255" t="s">
        <v>107</v>
      </c>
      <c r="V121" s="255"/>
      <c r="W121" s="304">
        <v>1.4707</v>
      </c>
      <c r="X121" s="304">
        <v>0.0</v>
      </c>
      <c r="Y121" s="304">
        <v>1.4707</v>
      </c>
      <c r="Z121" s="305">
        <f>IFERROR(ROUND(K121/W121,0),0)</f>
        <v>592</v>
      </c>
      <c r="AA121" s="306">
        <f t="shared" ref="AA121:AA122" si="402">Z121*W121</f>
        <v>870.6544</v>
      </c>
      <c r="AB121" s="307">
        <f t="shared" ref="AB121:AB122" si="403">ROUND(AA121*S121,0)</f>
        <v>1183132</v>
      </c>
      <c r="AC121" s="308">
        <f t="shared" ref="AC121:AC122" si="404">AA121</f>
        <v>870.6544</v>
      </c>
      <c r="AD121" s="309">
        <f t="shared" si="366"/>
        <v>1183132</v>
      </c>
      <c r="AE121" s="425"/>
      <c r="AF121" s="425"/>
      <c r="AG121" s="310">
        <f t="shared" si="367"/>
        <v>870.65</v>
      </c>
      <c r="AH121" s="252">
        <f t="shared" si="368"/>
        <v>1183126</v>
      </c>
      <c r="AI121" s="306">
        <f t="shared" ref="AI121:AI122" si="405">ROUND(AC121*0.15,2)</f>
        <v>130.6</v>
      </c>
      <c r="AJ121" s="252">
        <f t="shared" ref="AJ121:AJ122" si="406">ROUND(AD121*0.15,0)</f>
        <v>177470</v>
      </c>
      <c r="AK121" s="426"/>
      <c r="AL121" s="426"/>
      <c r="AM121" s="426"/>
      <c r="AN121" s="426"/>
      <c r="AO121" s="426"/>
      <c r="AP121" s="426"/>
      <c r="AQ121" s="427"/>
      <c r="AR121" s="427"/>
      <c r="AS121" s="427"/>
      <c r="AT121" s="426"/>
      <c r="AU121" s="410"/>
      <c r="AV121" s="410"/>
      <c r="AW121" s="410"/>
      <c r="AX121" s="410"/>
      <c r="AY121" s="410"/>
      <c r="AZ121" s="410"/>
      <c r="BA121" s="410"/>
      <c r="BB121" s="410"/>
      <c r="BC121" s="410"/>
      <c r="BD121" s="410"/>
      <c r="BE121" s="410"/>
    </row>
    <row r="122" ht="12.75" customHeight="1">
      <c r="A122" s="245" t="s">
        <v>580</v>
      </c>
      <c r="B122" s="246" t="s">
        <v>118</v>
      </c>
      <c r="C122" s="247" t="s">
        <v>119</v>
      </c>
      <c r="D122" s="247" t="s">
        <v>201</v>
      </c>
      <c r="E122" s="247" t="s">
        <v>202</v>
      </c>
      <c r="F122" s="248"/>
      <c r="G122" s="247" t="s">
        <v>135</v>
      </c>
      <c r="H122" s="247" t="s">
        <v>172</v>
      </c>
      <c r="I122" s="248" t="s">
        <v>105</v>
      </c>
      <c r="J122" s="300" t="s">
        <v>106</v>
      </c>
      <c r="K122" s="314">
        <f t="shared" ref="K122:R122" si="401">-K121</f>
        <v>-870.66</v>
      </c>
      <c r="L122" s="309">
        <f t="shared" si="401"/>
        <v>-1183139</v>
      </c>
      <c r="M122" s="315">
        <f t="shared" si="401"/>
        <v>-130.6</v>
      </c>
      <c r="N122" s="252">
        <f t="shared" si="401"/>
        <v>-177472</v>
      </c>
      <c r="O122" s="251">
        <f t="shared" si="401"/>
        <v>0</v>
      </c>
      <c r="P122" s="252">
        <f t="shared" si="401"/>
        <v>0</v>
      </c>
      <c r="Q122" s="251">
        <f t="shared" si="401"/>
        <v>-130.6</v>
      </c>
      <c r="R122" s="252">
        <f t="shared" si="401"/>
        <v>-177472</v>
      </c>
      <c r="S122" s="253">
        <v>1358.9</v>
      </c>
      <c r="T122" s="254">
        <v>15.0</v>
      </c>
      <c r="U122" s="255" t="s">
        <v>107</v>
      </c>
      <c r="V122" s="255"/>
      <c r="W122" s="304">
        <v>1.4707</v>
      </c>
      <c r="X122" s="304">
        <v>0.0</v>
      </c>
      <c r="Y122" s="304">
        <v>1.4707</v>
      </c>
      <c r="Z122" s="305">
        <f>-Z121</f>
        <v>-592</v>
      </c>
      <c r="AA122" s="306">
        <f t="shared" si="402"/>
        <v>-870.6544</v>
      </c>
      <c r="AB122" s="307">
        <f t="shared" si="403"/>
        <v>-1183132</v>
      </c>
      <c r="AC122" s="308">
        <f t="shared" si="404"/>
        <v>-870.6544</v>
      </c>
      <c r="AD122" s="309">
        <f t="shared" si="366"/>
        <v>-1183132</v>
      </c>
      <c r="AE122" s="425"/>
      <c r="AF122" s="425"/>
      <c r="AG122" s="310">
        <f t="shared" si="367"/>
        <v>-870.65</v>
      </c>
      <c r="AH122" s="252">
        <f t="shared" si="368"/>
        <v>-1183126</v>
      </c>
      <c r="AI122" s="306">
        <f t="shared" si="405"/>
        <v>-130.6</v>
      </c>
      <c r="AJ122" s="252">
        <f t="shared" si="406"/>
        <v>-177470</v>
      </c>
      <c r="AK122" s="426"/>
      <c r="AL122" s="426"/>
      <c r="AM122" s="426"/>
      <c r="AN122" s="426"/>
      <c r="AO122" s="426"/>
      <c r="AP122" s="426"/>
      <c r="AQ122" s="427"/>
      <c r="AR122" s="427"/>
      <c r="AS122" s="427"/>
      <c r="AT122" s="426"/>
      <c r="AU122" s="410"/>
      <c r="AV122" s="410"/>
      <c r="AW122" s="410"/>
      <c r="AX122" s="410"/>
      <c r="AY122" s="410"/>
      <c r="AZ122" s="410"/>
      <c r="BA122" s="410"/>
      <c r="BB122" s="410"/>
      <c r="BC122" s="410"/>
      <c r="BD122" s="410"/>
      <c r="BE122" s="410"/>
    </row>
    <row r="123" ht="12.75" customHeight="1">
      <c r="A123" s="256" t="s">
        <v>581</v>
      </c>
      <c r="B123" s="257" t="s">
        <v>118</v>
      </c>
      <c r="C123" s="258" t="s">
        <v>119</v>
      </c>
      <c r="D123" s="258" t="s">
        <v>201</v>
      </c>
      <c r="E123" s="258" t="s">
        <v>202</v>
      </c>
      <c r="F123" s="259"/>
      <c r="G123" s="258" t="s">
        <v>135</v>
      </c>
      <c r="H123" s="258" t="s">
        <v>172</v>
      </c>
      <c r="I123" s="259" t="s">
        <v>105</v>
      </c>
      <c r="J123" s="316" t="s">
        <v>106</v>
      </c>
      <c r="K123" s="317">
        <f>ROUND(M123/0.15,2)</f>
        <v>0</v>
      </c>
      <c r="L123" s="318">
        <f>ROUND(N123/0.15,0)</f>
        <v>0</v>
      </c>
      <c r="M123" s="319">
        <f t="shared" ref="M123:N123" si="407">Q123</f>
        <v>0</v>
      </c>
      <c r="N123" s="261">
        <f t="shared" si="407"/>
        <v>0</v>
      </c>
      <c r="O123" s="262">
        <v>130.6</v>
      </c>
      <c r="P123" s="263">
        <v>177472.0</v>
      </c>
      <c r="Q123" s="260">
        <f t="shared" ref="Q123:R123" si="408">M121-O123</f>
        <v>0</v>
      </c>
      <c r="R123" s="261">
        <f t="shared" si="408"/>
        <v>0</v>
      </c>
      <c r="S123" s="264">
        <v>1358.9</v>
      </c>
      <c r="T123" s="265">
        <v>15.0</v>
      </c>
      <c r="U123" s="266" t="s">
        <v>107</v>
      </c>
      <c r="V123" s="266" t="s">
        <v>1322</v>
      </c>
      <c r="W123" s="320">
        <v>1.4707</v>
      </c>
      <c r="X123" s="320">
        <v>0.0</v>
      </c>
      <c r="Y123" s="320">
        <v>1.4707</v>
      </c>
      <c r="Z123" s="321">
        <f>Z121</f>
        <v>592</v>
      </c>
      <c r="AA123" s="426"/>
      <c r="AB123" s="428"/>
      <c r="AC123" s="323">
        <f>IFERROR(ROUND(Z123*X123,2),0)</f>
        <v>0</v>
      </c>
      <c r="AD123" s="318">
        <f t="shared" si="366"/>
        <v>0</v>
      </c>
      <c r="AE123" s="429"/>
      <c r="AF123" s="429"/>
      <c r="AG123" s="324">
        <f t="shared" si="367"/>
        <v>870.65</v>
      </c>
      <c r="AH123" s="261">
        <f t="shared" si="368"/>
        <v>1183126</v>
      </c>
      <c r="AI123" s="426"/>
      <c r="AJ123" s="426"/>
      <c r="AK123" s="325">
        <f>ROUND(AC123*0.15,2)</f>
        <v>0</v>
      </c>
      <c r="AL123" s="261">
        <f>ROUND(AD123*0.15,0)</f>
        <v>0</v>
      </c>
      <c r="AM123" s="325"/>
      <c r="AN123" s="325"/>
      <c r="AO123" s="325">
        <f>ROUND(AG123*0.15,2)</f>
        <v>130.6</v>
      </c>
      <c r="AP123" s="261">
        <f>ROUND(AH123*0.15,0)</f>
        <v>177469</v>
      </c>
      <c r="AQ123" s="326"/>
      <c r="AR123" s="326"/>
      <c r="AS123" s="326">
        <f>IFERROR(AC123/K123,IFERROR(AO123/O123,""))</f>
        <v>1</v>
      </c>
      <c r="AT123" s="426"/>
      <c r="AU123" s="410"/>
      <c r="AV123" s="410"/>
      <c r="AW123" s="410"/>
      <c r="AX123" s="410"/>
      <c r="AY123" s="410"/>
      <c r="AZ123" s="410"/>
      <c r="BA123" s="410"/>
      <c r="BB123" s="410"/>
      <c r="BC123" s="410"/>
      <c r="BD123" s="410"/>
      <c r="BE123" s="410"/>
    </row>
    <row r="124" ht="12.75" customHeight="1">
      <c r="A124" s="245" t="s">
        <v>583</v>
      </c>
      <c r="B124" s="246" t="s">
        <v>118</v>
      </c>
      <c r="C124" s="247" t="s">
        <v>119</v>
      </c>
      <c r="D124" s="247" t="s">
        <v>201</v>
      </c>
      <c r="E124" s="247" t="s">
        <v>202</v>
      </c>
      <c r="F124" s="248"/>
      <c r="G124" s="247" t="s">
        <v>116</v>
      </c>
      <c r="H124" s="247" t="s">
        <v>117</v>
      </c>
      <c r="I124" s="248" t="s">
        <v>105</v>
      </c>
      <c r="J124" s="300" t="s">
        <v>106</v>
      </c>
      <c r="K124" s="301">
        <v>674.13</v>
      </c>
      <c r="L124" s="302">
        <v>916075.0</v>
      </c>
      <c r="M124" s="303">
        <v>101.12</v>
      </c>
      <c r="N124" s="250">
        <v>137411.0</v>
      </c>
      <c r="O124" s="249">
        <v>0.0</v>
      </c>
      <c r="P124" s="250">
        <v>0.0</v>
      </c>
      <c r="Q124" s="251">
        <f t="shared" ref="Q124:R124" si="409">M124-O124</f>
        <v>101.12</v>
      </c>
      <c r="R124" s="252">
        <f t="shared" si="409"/>
        <v>137411</v>
      </c>
      <c r="S124" s="253">
        <v>1358.9</v>
      </c>
      <c r="T124" s="254">
        <v>15.0</v>
      </c>
      <c r="U124" s="255" t="s">
        <v>107</v>
      </c>
      <c r="V124" s="255"/>
      <c r="W124" s="304">
        <v>0.544737</v>
      </c>
      <c r="X124" s="304">
        <v>0.544737</v>
      </c>
      <c r="Y124" s="304">
        <v>0.0</v>
      </c>
      <c r="Z124" s="305">
        <f>IFERROR(ROUND(K124/W124,0),0)</f>
        <v>1238</v>
      </c>
      <c r="AA124" s="306">
        <f t="shared" ref="AA124:AA125" si="411">Z124*W124</f>
        <v>674.384406</v>
      </c>
      <c r="AB124" s="307">
        <f t="shared" ref="AB124:AB125" si="412">ROUND(AA124*S124,0)</f>
        <v>916421</v>
      </c>
      <c r="AC124" s="308">
        <f t="shared" ref="AC124:AC125" si="413">AA124</f>
        <v>674.384406</v>
      </c>
      <c r="AD124" s="309">
        <f t="shared" si="366"/>
        <v>916421</v>
      </c>
      <c r="AE124" s="425"/>
      <c r="AF124" s="425"/>
      <c r="AG124" s="310">
        <f t="shared" si="367"/>
        <v>0</v>
      </c>
      <c r="AH124" s="252">
        <f t="shared" si="368"/>
        <v>0</v>
      </c>
      <c r="AI124" s="306">
        <f t="shared" ref="AI124:AI125" si="414">ROUND(AC124*0.15,2)</f>
        <v>101.16</v>
      </c>
      <c r="AJ124" s="252">
        <f t="shared" ref="AJ124:AJ125" si="415">ROUND(AD124*0.15,0)</f>
        <v>137463</v>
      </c>
      <c r="AK124" s="426"/>
      <c r="AL124" s="426"/>
      <c r="AM124" s="426"/>
      <c r="AN124" s="426"/>
      <c r="AO124" s="426"/>
      <c r="AP124" s="426"/>
      <c r="AQ124" s="427"/>
      <c r="AR124" s="427"/>
      <c r="AS124" s="427"/>
      <c r="AT124" s="430" t="s">
        <v>1274</v>
      </c>
      <c r="AU124" s="431"/>
      <c r="AV124" s="431"/>
      <c r="AW124" s="431"/>
      <c r="AX124" s="431"/>
      <c r="AY124" s="431"/>
      <c r="AZ124" s="431"/>
      <c r="BA124" s="431"/>
      <c r="BB124" s="431"/>
      <c r="BC124" s="431"/>
      <c r="BD124" s="431"/>
      <c r="BE124" s="431"/>
    </row>
    <row r="125" ht="12.75" customHeight="1">
      <c r="A125" s="245" t="s">
        <v>584</v>
      </c>
      <c r="B125" s="246" t="s">
        <v>118</v>
      </c>
      <c r="C125" s="247" t="s">
        <v>119</v>
      </c>
      <c r="D125" s="247" t="s">
        <v>201</v>
      </c>
      <c r="E125" s="247" t="s">
        <v>202</v>
      </c>
      <c r="F125" s="248"/>
      <c r="G125" s="247" t="s">
        <v>116</v>
      </c>
      <c r="H125" s="247" t="s">
        <v>117</v>
      </c>
      <c r="I125" s="248" t="s">
        <v>105</v>
      </c>
      <c r="J125" s="300" t="s">
        <v>106</v>
      </c>
      <c r="K125" s="314">
        <f t="shared" ref="K125:R125" si="410">-K124</f>
        <v>-674.13</v>
      </c>
      <c r="L125" s="309">
        <f t="shared" si="410"/>
        <v>-916075</v>
      </c>
      <c r="M125" s="315">
        <f t="shared" si="410"/>
        <v>-101.12</v>
      </c>
      <c r="N125" s="252">
        <f t="shared" si="410"/>
        <v>-137411</v>
      </c>
      <c r="O125" s="251">
        <f t="shared" si="410"/>
        <v>0</v>
      </c>
      <c r="P125" s="252">
        <f t="shared" si="410"/>
        <v>0</v>
      </c>
      <c r="Q125" s="251">
        <f t="shared" si="410"/>
        <v>-101.12</v>
      </c>
      <c r="R125" s="252">
        <f t="shared" si="410"/>
        <v>-137411</v>
      </c>
      <c r="S125" s="253">
        <v>1358.9</v>
      </c>
      <c r="T125" s="254">
        <v>15.0</v>
      </c>
      <c r="U125" s="255" t="s">
        <v>107</v>
      </c>
      <c r="V125" s="255"/>
      <c r="W125" s="304">
        <v>0.544737</v>
      </c>
      <c r="X125" s="304">
        <v>0.544737</v>
      </c>
      <c r="Y125" s="304">
        <v>0.0</v>
      </c>
      <c r="Z125" s="305">
        <f>-Z124</f>
        <v>-1238</v>
      </c>
      <c r="AA125" s="306">
        <f t="shared" si="411"/>
        <v>-674.384406</v>
      </c>
      <c r="AB125" s="307">
        <f t="shared" si="412"/>
        <v>-916421</v>
      </c>
      <c r="AC125" s="308">
        <f t="shared" si="413"/>
        <v>-674.384406</v>
      </c>
      <c r="AD125" s="309">
        <f t="shared" si="366"/>
        <v>-916421</v>
      </c>
      <c r="AE125" s="425"/>
      <c r="AF125" s="425"/>
      <c r="AG125" s="310">
        <f t="shared" si="367"/>
        <v>0</v>
      </c>
      <c r="AH125" s="252">
        <f t="shared" si="368"/>
        <v>0</v>
      </c>
      <c r="AI125" s="306">
        <f t="shared" si="414"/>
        <v>-101.16</v>
      </c>
      <c r="AJ125" s="252">
        <f t="shared" si="415"/>
        <v>-137463</v>
      </c>
      <c r="AK125" s="426"/>
      <c r="AL125" s="426"/>
      <c r="AM125" s="426"/>
      <c r="AN125" s="426"/>
      <c r="AO125" s="426"/>
      <c r="AP125" s="426"/>
      <c r="AQ125" s="427"/>
      <c r="AR125" s="427"/>
      <c r="AS125" s="427"/>
      <c r="AT125" s="430" t="s">
        <v>1274</v>
      </c>
      <c r="AU125" s="431"/>
      <c r="AV125" s="431"/>
      <c r="AW125" s="431"/>
      <c r="AX125" s="431"/>
      <c r="AY125" s="431"/>
      <c r="AZ125" s="431"/>
      <c r="BA125" s="431"/>
      <c r="BB125" s="431"/>
      <c r="BC125" s="431"/>
      <c r="BD125" s="431"/>
      <c r="BE125" s="431"/>
    </row>
    <row r="126" ht="12.75" customHeight="1">
      <c r="A126" s="256" t="s">
        <v>585</v>
      </c>
      <c r="B126" s="257" t="s">
        <v>118</v>
      </c>
      <c r="C126" s="258" t="s">
        <v>119</v>
      </c>
      <c r="D126" s="258" t="s">
        <v>201</v>
      </c>
      <c r="E126" s="258" t="s">
        <v>202</v>
      </c>
      <c r="F126" s="259"/>
      <c r="G126" s="258" t="s">
        <v>116</v>
      </c>
      <c r="H126" s="258" t="s">
        <v>117</v>
      </c>
      <c r="I126" s="259" t="s">
        <v>105</v>
      </c>
      <c r="J126" s="316" t="s">
        <v>106</v>
      </c>
      <c r="K126" s="317">
        <f>ROUND(M126/0.15,2)</f>
        <v>650.47</v>
      </c>
      <c r="L126" s="318">
        <f>ROUND(N126/0.15,0)</f>
        <v>883913</v>
      </c>
      <c r="M126" s="319">
        <f t="shared" ref="M126:N126" si="416">Q126</f>
        <v>97.57</v>
      </c>
      <c r="N126" s="261">
        <f t="shared" si="416"/>
        <v>132587</v>
      </c>
      <c r="O126" s="262">
        <v>3.55</v>
      </c>
      <c r="P126" s="263">
        <v>4824.0</v>
      </c>
      <c r="Q126" s="260">
        <f t="shared" ref="Q126:R126" si="417">M124-O126</f>
        <v>97.57</v>
      </c>
      <c r="R126" s="261">
        <f t="shared" si="417"/>
        <v>132587</v>
      </c>
      <c r="S126" s="264">
        <v>1358.9</v>
      </c>
      <c r="T126" s="265">
        <v>15.0</v>
      </c>
      <c r="U126" s="266" t="s">
        <v>107</v>
      </c>
      <c r="V126" s="266" t="s">
        <v>1323</v>
      </c>
      <c r="W126" s="320">
        <v>0.544737</v>
      </c>
      <c r="X126" s="320">
        <v>0.544737</v>
      </c>
      <c r="Y126" s="320">
        <v>0.0</v>
      </c>
      <c r="Z126" s="321">
        <f>Z124</f>
        <v>1238</v>
      </c>
      <c r="AA126" s="426"/>
      <c r="AB126" s="428"/>
      <c r="AC126" s="432">
        <f t="shared" ref="AC126:AD126" si="418">K126</f>
        <v>650.47</v>
      </c>
      <c r="AD126" s="433">
        <f t="shared" si="418"/>
        <v>883913</v>
      </c>
      <c r="AE126" s="434"/>
      <c r="AF126" s="434"/>
      <c r="AG126" s="348">
        <f t="shared" ref="AG126:AH126" si="419">round(AO126/0.15,2)</f>
        <v>23.67</v>
      </c>
      <c r="AH126" s="348">
        <f t="shared" si="419"/>
        <v>32160</v>
      </c>
      <c r="AI126" s="435"/>
      <c r="AJ126" s="435"/>
      <c r="AK126" s="436">
        <f>ROUND(AC126*0.15,2)</f>
        <v>97.57</v>
      </c>
      <c r="AL126" s="437">
        <f>ROUND(AD126*0.15,0)</f>
        <v>132587</v>
      </c>
      <c r="AM126" s="436"/>
      <c r="AN126" s="436"/>
      <c r="AO126" s="436">
        <f t="shared" ref="AO126:AP126" si="420">O126</f>
        <v>3.55</v>
      </c>
      <c r="AP126" s="436">
        <f t="shared" si="420"/>
        <v>4824</v>
      </c>
      <c r="AQ126" s="438"/>
      <c r="AR126" s="438"/>
      <c r="AS126" s="438">
        <f>IFERROR(AC126/K126,IFERROR(AO126/O126,""))</f>
        <v>1</v>
      </c>
      <c r="AT126" s="430" t="s">
        <v>1274</v>
      </c>
      <c r="AU126" s="431"/>
      <c r="AV126" s="431"/>
      <c r="AW126" s="431"/>
      <c r="AX126" s="431"/>
      <c r="AY126" s="431"/>
      <c r="AZ126" s="431"/>
      <c r="BA126" s="431"/>
      <c r="BB126" s="431"/>
      <c r="BC126" s="431"/>
      <c r="BD126" s="431"/>
      <c r="BE126" s="431"/>
    </row>
    <row r="127" ht="12.75" customHeight="1">
      <c r="A127" s="439" t="s">
        <v>1324</v>
      </c>
      <c r="B127" s="440" t="str">
        <f t="shared" ref="B127:J127" si="421">B126</f>
        <v>미래에셋증권</v>
      </c>
      <c r="C127" s="441" t="str">
        <f t="shared" si="421"/>
        <v>584-2176-0816-0</v>
      </c>
      <c r="D127" s="441" t="str">
        <f t="shared" si="421"/>
        <v>2025-06-10</v>
      </c>
      <c r="E127" s="441" t="str">
        <f t="shared" si="421"/>
        <v>2025-06-06</v>
      </c>
      <c r="F127" s="441" t="str">
        <f t="shared" si="421"/>
        <v/>
      </c>
      <c r="G127" s="441" t="str">
        <f t="shared" si="421"/>
        <v>BITO</v>
      </c>
      <c r="H127" s="441" t="str">
        <f t="shared" si="421"/>
        <v>PROSHARES BITCOIN ETF</v>
      </c>
      <c r="I127" s="441" t="str">
        <f t="shared" si="421"/>
        <v>배당소득</v>
      </c>
      <c r="J127" s="440" t="str">
        <f t="shared" si="421"/>
        <v>USD</v>
      </c>
      <c r="K127" s="442"/>
      <c r="L127" s="443"/>
      <c r="M127" s="444"/>
      <c r="N127" s="445"/>
      <c r="O127" s="446"/>
      <c r="P127" s="447"/>
      <c r="Q127" s="446"/>
      <c r="R127" s="448"/>
      <c r="S127" s="449"/>
      <c r="T127" s="450"/>
      <c r="U127" s="451"/>
      <c r="V127" s="451"/>
      <c r="W127" s="452"/>
      <c r="X127" s="452"/>
      <c r="Y127" s="452"/>
      <c r="Z127" s="448"/>
      <c r="AA127" s="446"/>
      <c r="AB127" s="453"/>
      <c r="AC127" s="454"/>
      <c r="AD127" s="455"/>
      <c r="AE127" s="456"/>
      <c r="AF127" s="457"/>
      <c r="AG127" s="458">
        <f>IFERROR(ROUND(AO127/0.15,2),0)</f>
        <v>-23.67</v>
      </c>
      <c r="AH127" s="458">
        <f>IFERROR(ROUND(AP127/0.15,0),0)</f>
        <v>-32160</v>
      </c>
      <c r="AI127" s="457"/>
      <c r="AJ127" s="459"/>
      <c r="AK127" s="457"/>
      <c r="AL127" s="459"/>
      <c r="AM127" s="457"/>
      <c r="AN127" s="457"/>
      <c r="AO127" s="460">
        <f t="shared" ref="AO127:AP127" si="422">-AO126</f>
        <v>-3.55</v>
      </c>
      <c r="AP127" s="460">
        <f t="shared" si="422"/>
        <v>-4824</v>
      </c>
      <c r="AQ127" s="459"/>
      <c r="AR127" s="459"/>
      <c r="AS127" s="459"/>
      <c r="AT127" s="430" t="s">
        <v>1274</v>
      </c>
      <c r="AU127" s="431"/>
      <c r="AV127" s="431"/>
      <c r="AW127" s="431"/>
      <c r="AX127" s="431"/>
      <c r="AY127" s="431"/>
      <c r="AZ127" s="431"/>
      <c r="BA127" s="431"/>
      <c r="BB127" s="431"/>
      <c r="BC127" s="431"/>
      <c r="BD127" s="431"/>
      <c r="BE127" s="431"/>
    </row>
    <row r="128" ht="12.75" customHeight="1">
      <c r="A128" s="439" t="s">
        <v>1325</v>
      </c>
      <c r="B128" s="440" t="str">
        <f t="shared" ref="B128:J128" si="423">B127</f>
        <v>미래에셋증권</v>
      </c>
      <c r="C128" s="441" t="str">
        <f t="shared" si="423"/>
        <v>584-2176-0816-0</v>
      </c>
      <c r="D128" s="441" t="str">
        <f t="shared" si="423"/>
        <v>2025-06-10</v>
      </c>
      <c r="E128" s="441" t="str">
        <f t="shared" si="423"/>
        <v>2025-06-06</v>
      </c>
      <c r="F128" s="441" t="str">
        <f t="shared" si="423"/>
        <v/>
      </c>
      <c r="G128" s="441" t="str">
        <f t="shared" si="423"/>
        <v>BITO</v>
      </c>
      <c r="H128" s="441" t="str">
        <f t="shared" si="423"/>
        <v>PROSHARES BITCOIN ETF</v>
      </c>
      <c r="I128" s="441" t="str">
        <f t="shared" si="423"/>
        <v>배당소득</v>
      </c>
      <c r="J128" s="440" t="str">
        <f t="shared" si="423"/>
        <v>USD</v>
      </c>
      <c r="K128" s="442"/>
      <c r="L128" s="443"/>
      <c r="M128" s="444"/>
      <c r="N128" s="445"/>
      <c r="O128" s="446"/>
      <c r="P128" s="447"/>
      <c r="Q128" s="446"/>
      <c r="R128" s="448"/>
      <c r="S128" s="449"/>
      <c r="T128" s="450"/>
      <c r="U128" s="451"/>
      <c r="V128" s="451"/>
      <c r="W128" s="452"/>
      <c r="X128" s="452"/>
      <c r="Y128" s="452"/>
      <c r="Z128" s="448"/>
      <c r="AA128" s="446"/>
      <c r="AB128" s="453"/>
      <c r="AC128" s="454"/>
      <c r="AD128" s="461"/>
      <c r="AE128" s="462">
        <f>IFERROR(ROUND(AM128/0.15,2),0)</f>
        <v>23.67</v>
      </c>
      <c r="AF128" s="458">
        <f>IFERROR(ROUND(AN128/0.15,0),0)</f>
        <v>32160</v>
      </c>
      <c r="AG128" s="467"/>
      <c r="AH128" s="467"/>
      <c r="AI128" s="457"/>
      <c r="AJ128" s="459"/>
      <c r="AK128" s="457"/>
      <c r="AL128" s="459"/>
      <c r="AM128" s="460">
        <f t="shared" ref="AM128:AN128" si="424">AO126</f>
        <v>3.55</v>
      </c>
      <c r="AN128" s="460">
        <f t="shared" si="424"/>
        <v>4824</v>
      </c>
      <c r="AO128" s="457"/>
      <c r="AP128" s="465"/>
      <c r="AQ128" s="466">
        <f>AF128</f>
        <v>32160</v>
      </c>
      <c r="AR128" s="466">
        <f>ROUND(AQ128*0.14,0)</f>
        <v>4502</v>
      </c>
      <c r="AS128" s="459"/>
      <c r="AT128" s="430" t="s">
        <v>1274</v>
      </c>
      <c r="AU128" s="431"/>
      <c r="AV128" s="431"/>
      <c r="AW128" s="431"/>
      <c r="AX128" s="431"/>
      <c r="AY128" s="431"/>
      <c r="AZ128" s="431"/>
      <c r="BA128" s="431"/>
      <c r="BB128" s="431"/>
      <c r="BC128" s="431"/>
      <c r="BD128" s="431"/>
      <c r="BE128" s="431"/>
    </row>
    <row r="129" ht="12.75" customHeight="1">
      <c r="A129" s="267" t="s">
        <v>587</v>
      </c>
      <c r="B129" s="268" t="s">
        <v>118</v>
      </c>
      <c r="C129" s="269" t="s">
        <v>119</v>
      </c>
      <c r="D129" s="269" t="s">
        <v>201</v>
      </c>
      <c r="E129" s="270"/>
      <c r="F129" s="270"/>
      <c r="G129" s="269" t="s">
        <v>148</v>
      </c>
      <c r="H129" s="269" t="s">
        <v>1326</v>
      </c>
      <c r="I129" s="270" t="s">
        <v>105</v>
      </c>
      <c r="J129" s="354" t="s">
        <v>150</v>
      </c>
      <c r="K129" s="355">
        <v>0.0</v>
      </c>
      <c r="L129" s="356">
        <v>0.0</v>
      </c>
      <c r="M129" s="357">
        <v>0.0</v>
      </c>
      <c r="N129" s="272">
        <v>6.0</v>
      </c>
      <c r="O129" s="271">
        <v>0.0</v>
      </c>
      <c r="P129" s="272">
        <v>0.0</v>
      </c>
      <c r="Q129" s="273">
        <f t="shared" ref="Q129:R129" si="425">M129-O129</f>
        <v>0</v>
      </c>
      <c r="R129" s="274">
        <f t="shared" si="425"/>
        <v>6</v>
      </c>
      <c r="S129" s="275">
        <v>1.0</v>
      </c>
      <c r="T129" s="276">
        <v>0.0</v>
      </c>
      <c r="U129" s="277" t="s">
        <v>151</v>
      </c>
      <c r="V129" s="277"/>
      <c r="W129" s="468"/>
      <c r="X129" s="468"/>
      <c r="Y129" s="468"/>
      <c r="Z129" s="468"/>
      <c r="AA129" s="468"/>
      <c r="AB129" s="469"/>
      <c r="AC129" s="470">
        <f t="shared" ref="AC129:AD129" si="426">K129</f>
        <v>0</v>
      </c>
      <c r="AD129" s="471">
        <f t="shared" si="426"/>
        <v>0</v>
      </c>
      <c r="AE129" s="472"/>
      <c r="AF129" s="472"/>
      <c r="AG129" s="473"/>
      <c r="AH129" s="468"/>
      <c r="AI129" s="468"/>
      <c r="AJ129" s="468"/>
      <c r="AK129" s="474">
        <f t="shared" ref="AK129:AL129" si="427">Q129</f>
        <v>0</v>
      </c>
      <c r="AL129" s="475">
        <f t="shared" si="427"/>
        <v>6</v>
      </c>
      <c r="AM129" s="468"/>
      <c r="AN129" s="468"/>
      <c r="AO129" s="468"/>
      <c r="AP129" s="468"/>
      <c r="AQ129" s="476"/>
      <c r="AR129" s="476"/>
      <c r="AS129" s="476"/>
      <c r="AT129" s="468"/>
      <c r="AU129" s="477"/>
      <c r="AV129" s="477"/>
      <c r="AW129" s="477"/>
      <c r="AX129" s="477"/>
      <c r="AY129" s="477"/>
      <c r="AZ129" s="477"/>
      <c r="BA129" s="477"/>
      <c r="BB129" s="477"/>
      <c r="BC129" s="477"/>
      <c r="BD129" s="477"/>
      <c r="BE129" s="477"/>
    </row>
    <row r="130" ht="12.75" customHeight="1">
      <c r="A130" s="267" t="s">
        <v>589</v>
      </c>
      <c r="B130" s="268" t="s">
        <v>118</v>
      </c>
      <c r="C130" s="269" t="s">
        <v>119</v>
      </c>
      <c r="D130" s="269" t="s">
        <v>204</v>
      </c>
      <c r="E130" s="270"/>
      <c r="F130" s="270"/>
      <c r="G130" s="269" t="s">
        <v>148</v>
      </c>
      <c r="H130" s="269" t="s">
        <v>1327</v>
      </c>
      <c r="I130" s="270" t="s">
        <v>105</v>
      </c>
      <c r="J130" s="354" t="s">
        <v>150</v>
      </c>
      <c r="K130" s="355">
        <v>0.0</v>
      </c>
      <c r="L130" s="356">
        <v>0.0</v>
      </c>
      <c r="M130" s="357">
        <v>0.0</v>
      </c>
      <c r="N130" s="272">
        <v>60.0</v>
      </c>
      <c r="O130" s="271">
        <v>0.0</v>
      </c>
      <c r="P130" s="272">
        <v>0.0</v>
      </c>
      <c r="Q130" s="273">
        <f t="shared" ref="Q130:R130" si="428">M130-O130</f>
        <v>0</v>
      </c>
      <c r="R130" s="274">
        <f t="shared" si="428"/>
        <v>60</v>
      </c>
      <c r="S130" s="275">
        <v>1.0</v>
      </c>
      <c r="T130" s="276">
        <v>0.0</v>
      </c>
      <c r="U130" s="277" t="s">
        <v>151</v>
      </c>
      <c r="V130" s="277"/>
      <c r="W130" s="468"/>
      <c r="X130" s="468"/>
      <c r="Y130" s="468"/>
      <c r="Z130" s="468"/>
      <c r="AA130" s="468"/>
      <c r="AB130" s="469"/>
      <c r="AC130" s="470">
        <f t="shared" ref="AC130:AD130" si="429">K130</f>
        <v>0</v>
      </c>
      <c r="AD130" s="471">
        <f t="shared" si="429"/>
        <v>0</v>
      </c>
      <c r="AE130" s="472"/>
      <c r="AF130" s="472"/>
      <c r="AG130" s="473"/>
      <c r="AH130" s="468"/>
      <c r="AI130" s="468"/>
      <c r="AJ130" s="468"/>
      <c r="AK130" s="474">
        <f t="shared" ref="AK130:AL130" si="430">Q130</f>
        <v>0</v>
      </c>
      <c r="AL130" s="475">
        <f t="shared" si="430"/>
        <v>60</v>
      </c>
      <c r="AM130" s="468"/>
      <c r="AN130" s="468"/>
      <c r="AO130" s="468"/>
      <c r="AP130" s="468"/>
      <c r="AQ130" s="476"/>
      <c r="AR130" s="476"/>
      <c r="AS130" s="476"/>
      <c r="AT130" s="468"/>
      <c r="AU130" s="477"/>
      <c r="AV130" s="477"/>
      <c r="AW130" s="477"/>
      <c r="AX130" s="477"/>
      <c r="AY130" s="477"/>
      <c r="AZ130" s="477"/>
      <c r="BA130" s="477"/>
      <c r="BB130" s="477"/>
      <c r="BC130" s="477"/>
      <c r="BD130" s="477"/>
      <c r="BE130" s="477"/>
    </row>
    <row r="131" ht="12.75" customHeight="1">
      <c r="A131" s="267" t="s">
        <v>591</v>
      </c>
      <c r="B131" s="268" t="s">
        <v>118</v>
      </c>
      <c r="C131" s="269" t="s">
        <v>119</v>
      </c>
      <c r="D131" s="269" t="s">
        <v>206</v>
      </c>
      <c r="E131" s="269" t="s">
        <v>207</v>
      </c>
      <c r="F131" s="270"/>
      <c r="G131" s="269" t="s">
        <v>208</v>
      </c>
      <c r="H131" s="270" t="s">
        <v>209</v>
      </c>
      <c r="I131" s="270" t="s">
        <v>105</v>
      </c>
      <c r="J131" s="354" t="s">
        <v>106</v>
      </c>
      <c r="K131" s="355">
        <v>2.58</v>
      </c>
      <c r="L131" s="356">
        <v>3526.0</v>
      </c>
      <c r="M131" s="357">
        <v>0.39</v>
      </c>
      <c r="N131" s="272">
        <v>533.0</v>
      </c>
      <c r="O131" s="271">
        <v>0.0</v>
      </c>
      <c r="P131" s="272">
        <v>0.0</v>
      </c>
      <c r="Q131" s="273">
        <f t="shared" ref="Q131:R131" si="431">M131-O131</f>
        <v>0.39</v>
      </c>
      <c r="R131" s="274">
        <f t="shared" si="431"/>
        <v>533</v>
      </c>
      <c r="S131" s="275">
        <v>1366.8</v>
      </c>
      <c r="T131" s="276">
        <v>15.0</v>
      </c>
      <c r="U131" s="277" t="s">
        <v>107</v>
      </c>
      <c r="V131" s="277"/>
      <c r="W131" s="468"/>
      <c r="X131" s="468"/>
      <c r="Y131" s="468"/>
      <c r="Z131" s="468"/>
      <c r="AA131" s="468"/>
      <c r="AB131" s="469"/>
      <c r="AC131" s="470">
        <f t="shared" ref="AC131:AD131" si="432">K131</f>
        <v>2.58</v>
      </c>
      <c r="AD131" s="471">
        <f t="shared" si="432"/>
        <v>3526</v>
      </c>
      <c r="AE131" s="472"/>
      <c r="AF131" s="472"/>
      <c r="AG131" s="473"/>
      <c r="AH131" s="468"/>
      <c r="AI131" s="468"/>
      <c r="AJ131" s="468"/>
      <c r="AK131" s="474">
        <f t="shared" ref="AK131:AL131" si="433">Q131</f>
        <v>0.39</v>
      </c>
      <c r="AL131" s="475">
        <f t="shared" si="433"/>
        <v>533</v>
      </c>
      <c r="AM131" s="468"/>
      <c r="AN131" s="468"/>
      <c r="AO131" s="468"/>
      <c r="AP131" s="468"/>
      <c r="AQ131" s="476"/>
      <c r="AR131" s="476"/>
      <c r="AS131" s="476"/>
      <c r="AT131" s="468"/>
      <c r="AU131" s="477"/>
      <c r="AV131" s="477"/>
      <c r="AW131" s="477"/>
      <c r="AX131" s="477"/>
      <c r="AY131" s="477"/>
      <c r="AZ131" s="477"/>
      <c r="BA131" s="477"/>
      <c r="BB131" s="477"/>
      <c r="BC131" s="477"/>
      <c r="BD131" s="477"/>
      <c r="BE131" s="477"/>
    </row>
    <row r="132" ht="12.75" customHeight="1">
      <c r="A132" s="267" t="s">
        <v>592</v>
      </c>
      <c r="B132" s="268" t="s">
        <v>118</v>
      </c>
      <c r="C132" s="269" t="s">
        <v>119</v>
      </c>
      <c r="D132" s="269" t="s">
        <v>206</v>
      </c>
      <c r="E132" s="269" t="s">
        <v>206</v>
      </c>
      <c r="F132" s="270"/>
      <c r="G132" s="269" t="s">
        <v>210</v>
      </c>
      <c r="H132" s="270" t="s">
        <v>211</v>
      </c>
      <c r="I132" s="270" t="s">
        <v>105</v>
      </c>
      <c r="J132" s="354" t="s">
        <v>106</v>
      </c>
      <c r="K132" s="355">
        <v>0.2</v>
      </c>
      <c r="L132" s="356">
        <v>273.0</v>
      </c>
      <c r="M132" s="357">
        <v>0.03</v>
      </c>
      <c r="N132" s="272">
        <v>41.0</v>
      </c>
      <c r="O132" s="271">
        <v>0.0</v>
      </c>
      <c r="P132" s="272">
        <v>0.0</v>
      </c>
      <c r="Q132" s="273">
        <f t="shared" ref="Q132:R132" si="434">M132-O132</f>
        <v>0.03</v>
      </c>
      <c r="R132" s="274">
        <f t="shared" si="434"/>
        <v>41</v>
      </c>
      <c r="S132" s="275">
        <v>1366.8</v>
      </c>
      <c r="T132" s="276">
        <v>15.0</v>
      </c>
      <c r="U132" s="277" t="s">
        <v>107</v>
      </c>
      <c r="V132" s="277"/>
      <c r="W132" s="468"/>
      <c r="X132" s="468"/>
      <c r="Y132" s="468"/>
      <c r="Z132" s="468"/>
      <c r="AA132" s="468"/>
      <c r="AB132" s="469"/>
      <c r="AC132" s="470">
        <f t="shared" ref="AC132:AD132" si="435">K132</f>
        <v>0.2</v>
      </c>
      <c r="AD132" s="471">
        <f t="shared" si="435"/>
        <v>273</v>
      </c>
      <c r="AE132" s="472"/>
      <c r="AF132" s="472"/>
      <c r="AG132" s="473"/>
      <c r="AH132" s="468"/>
      <c r="AI132" s="468"/>
      <c r="AJ132" s="468"/>
      <c r="AK132" s="474">
        <f t="shared" ref="AK132:AL132" si="436">Q132</f>
        <v>0.03</v>
      </c>
      <c r="AL132" s="475">
        <f t="shared" si="436"/>
        <v>41</v>
      </c>
      <c r="AM132" s="468"/>
      <c r="AN132" s="468"/>
      <c r="AO132" s="468"/>
      <c r="AP132" s="468"/>
      <c r="AQ132" s="476"/>
      <c r="AR132" s="476"/>
      <c r="AS132" s="476"/>
      <c r="AT132" s="468"/>
      <c r="AU132" s="477"/>
      <c r="AV132" s="477"/>
      <c r="AW132" s="477"/>
      <c r="AX132" s="477"/>
      <c r="AY132" s="477"/>
      <c r="AZ132" s="477"/>
      <c r="BA132" s="477"/>
      <c r="BB132" s="477"/>
      <c r="BC132" s="477"/>
      <c r="BD132" s="477"/>
      <c r="BE132" s="477"/>
    </row>
    <row r="133" ht="12.75" customHeight="1">
      <c r="A133" s="245" t="s">
        <v>593</v>
      </c>
      <c r="B133" s="246" t="s">
        <v>118</v>
      </c>
      <c r="C133" s="247" t="s">
        <v>119</v>
      </c>
      <c r="D133" s="247" t="s">
        <v>212</v>
      </c>
      <c r="E133" s="247" t="s">
        <v>207</v>
      </c>
      <c r="F133" s="248"/>
      <c r="G133" s="247" t="s">
        <v>139</v>
      </c>
      <c r="H133" s="247" t="s">
        <v>180</v>
      </c>
      <c r="I133" s="248" t="s">
        <v>105</v>
      </c>
      <c r="J133" s="300" t="s">
        <v>106</v>
      </c>
      <c r="K133" s="301">
        <v>325.87</v>
      </c>
      <c r="L133" s="302">
        <v>444356.0</v>
      </c>
      <c r="M133" s="303">
        <v>48.88</v>
      </c>
      <c r="N133" s="250">
        <v>66652.0</v>
      </c>
      <c r="O133" s="249">
        <v>0.0</v>
      </c>
      <c r="P133" s="250">
        <v>0.0</v>
      </c>
      <c r="Q133" s="251">
        <f t="shared" ref="Q133:R133" si="437">M133-O133</f>
        <v>48.88</v>
      </c>
      <c r="R133" s="252">
        <f t="shared" si="437"/>
        <v>66652</v>
      </c>
      <c r="S133" s="253">
        <v>1363.6</v>
      </c>
      <c r="T133" s="254">
        <v>15.0</v>
      </c>
      <c r="U133" s="255" t="s">
        <v>107</v>
      </c>
      <c r="V133" s="255"/>
      <c r="W133" s="304">
        <v>0.4028</v>
      </c>
      <c r="X133" s="304">
        <v>0.10888</v>
      </c>
      <c r="Y133" s="304">
        <v>0.29392</v>
      </c>
      <c r="Z133" s="305">
        <f>IFERROR(ROUND(K133/W133,0),0)</f>
        <v>809</v>
      </c>
      <c r="AA133" s="306">
        <f t="shared" ref="AA133:AA134" si="439">Z133*W133</f>
        <v>325.8652</v>
      </c>
      <c r="AB133" s="307">
        <f t="shared" ref="AB133:AB134" si="440">ROUND(AA133*S133,0)</f>
        <v>444350</v>
      </c>
      <c r="AC133" s="308">
        <f t="shared" ref="AC133:AC134" si="441">AA133</f>
        <v>325.8652</v>
      </c>
      <c r="AD133" s="309">
        <f t="shared" ref="AD133:AD141" si="442">ROUND(AC133*S133,0)</f>
        <v>444350</v>
      </c>
      <c r="AE133" s="425"/>
      <c r="AF133" s="425"/>
      <c r="AG133" s="310">
        <f t="shared" ref="AG133:AG141" si="443">IFERROR(ROUND(Z133*Y133,2),0)</f>
        <v>237.78</v>
      </c>
      <c r="AH133" s="252">
        <f t="shared" ref="AH133:AH141" si="444">ROUND(AG133*S133,0)</f>
        <v>324237</v>
      </c>
      <c r="AI133" s="306">
        <f t="shared" ref="AI133:AI134" si="445">ROUND(AC133*0.15,2)</f>
        <v>48.88</v>
      </c>
      <c r="AJ133" s="252">
        <f t="shared" ref="AJ133:AJ134" si="446">ROUND(AD133*0.15,0)</f>
        <v>66653</v>
      </c>
      <c r="AK133" s="426"/>
      <c r="AL133" s="426"/>
      <c r="AM133" s="426"/>
      <c r="AN133" s="426"/>
      <c r="AO133" s="426"/>
      <c r="AP133" s="426"/>
      <c r="AQ133" s="427"/>
      <c r="AR133" s="427"/>
      <c r="AS133" s="427"/>
      <c r="AT133" s="426"/>
      <c r="AU133" s="410"/>
      <c r="AV133" s="410"/>
      <c r="AW133" s="410"/>
      <c r="AX133" s="410"/>
      <c r="AY133" s="410"/>
      <c r="AZ133" s="410"/>
      <c r="BA133" s="410"/>
      <c r="BB133" s="410"/>
      <c r="BC133" s="410"/>
      <c r="BD133" s="410"/>
      <c r="BE133" s="410"/>
    </row>
    <row r="134" ht="12.75" customHeight="1">
      <c r="A134" s="245" t="s">
        <v>594</v>
      </c>
      <c r="B134" s="246" t="s">
        <v>118</v>
      </c>
      <c r="C134" s="247" t="s">
        <v>119</v>
      </c>
      <c r="D134" s="247" t="s">
        <v>212</v>
      </c>
      <c r="E134" s="247" t="s">
        <v>207</v>
      </c>
      <c r="F134" s="248"/>
      <c r="G134" s="247" t="s">
        <v>139</v>
      </c>
      <c r="H134" s="247" t="s">
        <v>180</v>
      </c>
      <c r="I134" s="248" t="s">
        <v>105</v>
      </c>
      <c r="J134" s="300" t="s">
        <v>106</v>
      </c>
      <c r="K134" s="314">
        <f t="shared" ref="K134:R134" si="438">-K133</f>
        <v>-325.87</v>
      </c>
      <c r="L134" s="309">
        <f t="shared" si="438"/>
        <v>-444356</v>
      </c>
      <c r="M134" s="315">
        <f t="shared" si="438"/>
        <v>-48.88</v>
      </c>
      <c r="N134" s="252">
        <f t="shared" si="438"/>
        <v>-66652</v>
      </c>
      <c r="O134" s="251">
        <f t="shared" si="438"/>
        <v>0</v>
      </c>
      <c r="P134" s="252">
        <f t="shared" si="438"/>
        <v>0</v>
      </c>
      <c r="Q134" s="251">
        <f t="shared" si="438"/>
        <v>-48.88</v>
      </c>
      <c r="R134" s="252">
        <f t="shared" si="438"/>
        <v>-66652</v>
      </c>
      <c r="S134" s="253">
        <v>1363.6</v>
      </c>
      <c r="T134" s="254">
        <v>15.0</v>
      </c>
      <c r="U134" s="255" t="s">
        <v>107</v>
      </c>
      <c r="V134" s="255"/>
      <c r="W134" s="304">
        <v>0.4028</v>
      </c>
      <c r="X134" s="304">
        <v>0.10888</v>
      </c>
      <c r="Y134" s="304">
        <v>0.29392</v>
      </c>
      <c r="Z134" s="305">
        <f>-Z133</f>
        <v>-809</v>
      </c>
      <c r="AA134" s="306">
        <f t="shared" si="439"/>
        <v>-325.8652</v>
      </c>
      <c r="AB134" s="307">
        <f t="shared" si="440"/>
        <v>-444350</v>
      </c>
      <c r="AC134" s="308">
        <f t="shared" si="441"/>
        <v>-325.8652</v>
      </c>
      <c r="AD134" s="309">
        <f t="shared" si="442"/>
        <v>-444350</v>
      </c>
      <c r="AE134" s="425"/>
      <c r="AF134" s="425"/>
      <c r="AG134" s="310">
        <f t="shared" si="443"/>
        <v>-237.78</v>
      </c>
      <c r="AH134" s="252">
        <f t="shared" si="444"/>
        <v>-324237</v>
      </c>
      <c r="AI134" s="306">
        <f t="shared" si="445"/>
        <v>-48.88</v>
      </c>
      <c r="AJ134" s="252">
        <f t="shared" si="446"/>
        <v>-66653</v>
      </c>
      <c r="AK134" s="426"/>
      <c r="AL134" s="426"/>
      <c r="AM134" s="426"/>
      <c r="AN134" s="426"/>
      <c r="AO134" s="426"/>
      <c r="AP134" s="426"/>
      <c r="AQ134" s="427"/>
      <c r="AR134" s="427"/>
      <c r="AS134" s="427"/>
      <c r="AT134" s="426"/>
      <c r="AU134" s="410"/>
      <c r="AV134" s="410"/>
      <c r="AW134" s="410"/>
      <c r="AX134" s="410"/>
      <c r="AY134" s="410"/>
      <c r="AZ134" s="410"/>
      <c r="BA134" s="410"/>
      <c r="BB134" s="410"/>
      <c r="BC134" s="410"/>
      <c r="BD134" s="410"/>
      <c r="BE134" s="410"/>
    </row>
    <row r="135" ht="12.75" customHeight="1">
      <c r="A135" s="256" t="s">
        <v>595</v>
      </c>
      <c r="B135" s="257" t="s">
        <v>118</v>
      </c>
      <c r="C135" s="258" t="s">
        <v>119</v>
      </c>
      <c r="D135" s="258" t="s">
        <v>212</v>
      </c>
      <c r="E135" s="258" t="s">
        <v>207</v>
      </c>
      <c r="F135" s="259"/>
      <c r="G135" s="258" t="s">
        <v>139</v>
      </c>
      <c r="H135" s="258" t="s">
        <v>180</v>
      </c>
      <c r="I135" s="259" t="s">
        <v>105</v>
      </c>
      <c r="J135" s="316" t="s">
        <v>106</v>
      </c>
      <c r="K135" s="317">
        <f>ROUND(M135/0.15,2)</f>
        <v>88.07</v>
      </c>
      <c r="L135" s="318">
        <f>ROUND(N135/0.15,0)</f>
        <v>120080</v>
      </c>
      <c r="M135" s="319">
        <f t="shared" ref="M135:N135" si="447">Q135</f>
        <v>13.21</v>
      </c>
      <c r="N135" s="261">
        <f t="shared" si="447"/>
        <v>18012</v>
      </c>
      <c r="O135" s="262">
        <v>35.67</v>
      </c>
      <c r="P135" s="263">
        <v>48640.0</v>
      </c>
      <c r="Q135" s="260">
        <f t="shared" ref="Q135:R135" si="448">M133-O135</f>
        <v>13.21</v>
      </c>
      <c r="R135" s="261">
        <f t="shared" si="448"/>
        <v>18012</v>
      </c>
      <c r="S135" s="264">
        <v>1363.6</v>
      </c>
      <c r="T135" s="265">
        <v>15.0</v>
      </c>
      <c r="U135" s="266" t="s">
        <v>107</v>
      </c>
      <c r="V135" s="266" t="s">
        <v>1328</v>
      </c>
      <c r="W135" s="320">
        <v>0.4028</v>
      </c>
      <c r="X135" s="320">
        <v>0.10888</v>
      </c>
      <c r="Y135" s="320">
        <v>0.29392</v>
      </c>
      <c r="Z135" s="321">
        <f>Z133</f>
        <v>809</v>
      </c>
      <c r="AA135" s="426"/>
      <c r="AB135" s="428"/>
      <c r="AC135" s="323">
        <f>IFERROR(ROUND(Z135*X135,2),0)</f>
        <v>88.08</v>
      </c>
      <c r="AD135" s="318">
        <f t="shared" si="442"/>
        <v>120106</v>
      </c>
      <c r="AE135" s="429"/>
      <c r="AF135" s="429"/>
      <c r="AG135" s="324">
        <f t="shared" si="443"/>
        <v>237.78</v>
      </c>
      <c r="AH135" s="261">
        <f t="shared" si="444"/>
        <v>324237</v>
      </c>
      <c r="AI135" s="426"/>
      <c r="AJ135" s="426"/>
      <c r="AK135" s="325">
        <f>ROUND(AC135*0.15,2)</f>
        <v>13.21</v>
      </c>
      <c r="AL135" s="261">
        <f>ROUND(AD135*0.15,0)</f>
        <v>18016</v>
      </c>
      <c r="AM135" s="325"/>
      <c r="AN135" s="325"/>
      <c r="AO135" s="325">
        <f>ROUND(AG135*0.15,2)</f>
        <v>35.67</v>
      </c>
      <c r="AP135" s="261">
        <f>ROUND(AH135*0.15,0)</f>
        <v>48636</v>
      </c>
      <c r="AQ135" s="326"/>
      <c r="AR135" s="326"/>
      <c r="AS135" s="326">
        <f>IFERROR(AC135/K135,IFERROR(AO135/O135,""))</f>
        <v>1.000113546</v>
      </c>
      <c r="AT135" s="426"/>
      <c r="AU135" s="410"/>
      <c r="AV135" s="410"/>
      <c r="AW135" s="410"/>
      <c r="AX135" s="410"/>
      <c r="AY135" s="410"/>
      <c r="AZ135" s="410"/>
      <c r="BA135" s="410"/>
      <c r="BB135" s="410"/>
      <c r="BC135" s="410"/>
      <c r="BD135" s="410"/>
      <c r="BE135" s="410"/>
    </row>
    <row r="136" ht="12.75" customHeight="1">
      <c r="A136" s="245" t="s">
        <v>597</v>
      </c>
      <c r="B136" s="246" t="s">
        <v>118</v>
      </c>
      <c r="C136" s="247" t="s">
        <v>119</v>
      </c>
      <c r="D136" s="247" t="s">
        <v>213</v>
      </c>
      <c r="E136" s="247" t="s">
        <v>213</v>
      </c>
      <c r="F136" s="248"/>
      <c r="G136" s="247" t="s">
        <v>127</v>
      </c>
      <c r="H136" s="247" t="s">
        <v>186</v>
      </c>
      <c r="I136" s="248" t="s">
        <v>105</v>
      </c>
      <c r="J136" s="300" t="s">
        <v>106</v>
      </c>
      <c r="K136" s="301">
        <v>32.26</v>
      </c>
      <c r="L136" s="302">
        <v>44176.0</v>
      </c>
      <c r="M136" s="303">
        <v>4.84</v>
      </c>
      <c r="N136" s="250">
        <v>6627.0</v>
      </c>
      <c r="O136" s="249">
        <v>0.0</v>
      </c>
      <c r="P136" s="250">
        <v>0.0</v>
      </c>
      <c r="Q136" s="251">
        <f t="shared" ref="Q136:R136" si="449">M136-O136</f>
        <v>4.84</v>
      </c>
      <c r="R136" s="252">
        <f t="shared" si="449"/>
        <v>6627</v>
      </c>
      <c r="S136" s="253">
        <v>1369.4</v>
      </c>
      <c r="T136" s="254">
        <v>15.0</v>
      </c>
      <c r="U136" s="255" t="s">
        <v>107</v>
      </c>
      <c r="V136" s="255"/>
      <c r="W136" s="304">
        <v>0.6721</v>
      </c>
      <c r="X136" s="304">
        <v>0.318256</v>
      </c>
      <c r="Y136" s="304">
        <v>0.353844</v>
      </c>
      <c r="Z136" s="305">
        <f>IFERROR(ROUND(K136/W136,0),0)</f>
        <v>48</v>
      </c>
      <c r="AA136" s="306">
        <f t="shared" ref="AA136:AA137" si="451">Z136*W136</f>
        <v>32.2608</v>
      </c>
      <c r="AB136" s="307">
        <f t="shared" ref="AB136:AB137" si="452">ROUND(AA136*S136,0)</f>
        <v>44178</v>
      </c>
      <c r="AC136" s="308">
        <f t="shared" ref="AC136:AC137" si="453">AA136</f>
        <v>32.2608</v>
      </c>
      <c r="AD136" s="309">
        <f t="shared" si="442"/>
        <v>44178</v>
      </c>
      <c r="AE136" s="425"/>
      <c r="AF136" s="425"/>
      <c r="AG136" s="310">
        <f t="shared" si="443"/>
        <v>16.98</v>
      </c>
      <c r="AH136" s="252">
        <f t="shared" si="444"/>
        <v>23252</v>
      </c>
      <c r="AI136" s="306">
        <f t="shared" ref="AI136:AI137" si="454">ROUND(AC136*0.15,2)</f>
        <v>4.84</v>
      </c>
      <c r="AJ136" s="252">
        <f t="shared" ref="AJ136:AJ137" si="455">ROUND(AD136*0.15,0)</f>
        <v>6627</v>
      </c>
      <c r="AK136" s="426"/>
      <c r="AL136" s="426"/>
      <c r="AM136" s="426"/>
      <c r="AN136" s="426"/>
      <c r="AO136" s="426"/>
      <c r="AP136" s="426"/>
      <c r="AQ136" s="427"/>
      <c r="AR136" s="427"/>
      <c r="AS136" s="427"/>
      <c r="AT136" s="426"/>
      <c r="AU136" s="410"/>
      <c r="AV136" s="410"/>
      <c r="AW136" s="410"/>
      <c r="AX136" s="410"/>
      <c r="AY136" s="410"/>
      <c r="AZ136" s="410"/>
      <c r="BA136" s="410"/>
      <c r="BB136" s="410"/>
      <c r="BC136" s="410"/>
      <c r="BD136" s="410"/>
      <c r="BE136" s="410"/>
    </row>
    <row r="137" ht="12.75" customHeight="1">
      <c r="A137" s="245" t="s">
        <v>598</v>
      </c>
      <c r="B137" s="246" t="s">
        <v>118</v>
      </c>
      <c r="C137" s="247" t="s">
        <v>119</v>
      </c>
      <c r="D137" s="247" t="s">
        <v>213</v>
      </c>
      <c r="E137" s="247" t="s">
        <v>213</v>
      </c>
      <c r="F137" s="248"/>
      <c r="G137" s="247" t="s">
        <v>127</v>
      </c>
      <c r="H137" s="247" t="s">
        <v>186</v>
      </c>
      <c r="I137" s="248" t="s">
        <v>105</v>
      </c>
      <c r="J137" s="300" t="s">
        <v>106</v>
      </c>
      <c r="K137" s="314">
        <f t="shared" ref="K137:R137" si="450">-K136</f>
        <v>-32.26</v>
      </c>
      <c r="L137" s="309">
        <f t="shared" si="450"/>
        <v>-44176</v>
      </c>
      <c r="M137" s="315">
        <f t="shared" si="450"/>
        <v>-4.84</v>
      </c>
      <c r="N137" s="252">
        <f t="shared" si="450"/>
        <v>-6627</v>
      </c>
      <c r="O137" s="251">
        <f t="shared" si="450"/>
        <v>0</v>
      </c>
      <c r="P137" s="252">
        <f t="shared" si="450"/>
        <v>0</v>
      </c>
      <c r="Q137" s="251">
        <f t="shared" si="450"/>
        <v>-4.84</v>
      </c>
      <c r="R137" s="252">
        <f t="shared" si="450"/>
        <v>-6627</v>
      </c>
      <c r="S137" s="253">
        <v>1369.4</v>
      </c>
      <c r="T137" s="254">
        <v>15.0</v>
      </c>
      <c r="U137" s="255" t="s">
        <v>107</v>
      </c>
      <c r="V137" s="255"/>
      <c r="W137" s="304">
        <v>0.6721</v>
      </c>
      <c r="X137" s="304">
        <v>0.318256</v>
      </c>
      <c r="Y137" s="304">
        <v>0.353844</v>
      </c>
      <c r="Z137" s="305">
        <f>-Z136</f>
        <v>-48</v>
      </c>
      <c r="AA137" s="306">
        <f t="shared" si="451"/>
        <v>-32.2608</v>
      </c>
      <c r="AB137" s="307">
        <f t="shared" si="452"/>
        <v>-44178</v>
      </c>
      <c r="AC137" s="308">
        <f t="shared" si="453"/>
        <v>-32.2608</v>
      </c>
      <c r="AD137" s="309">
        <f t="shared" si="442"/>
        <v>-44178</v>
      </c>
      <c r="AE137" s="425"/>
      <c r="AF137" s="425"/>
      <c r="AG137" s="310">
        <f t="shared" si="443"/>
        <v>-16.98</v>
      </c>
      <c r="AH137" s="252">
        <f t="shared" si="444"/>
        <v>-23252</v>
      </c>
      <c r="AI137" s="306">
        <f t="shared" si="454"/>
        <v>-4.84</v>
      </c>
      <c r="AJ137" s="252">
        <f t="shared" si="455"/>
        <v>-6627</v>
      </c>
      <c r="AK137" s="426"/>
      <c r="AL137" s="426"/>
      <c r="AM137" s="426"/>
      <c r="AN137" s="426"/>
      <c r="AO137" s="426"/>
      <c r="AP137" s="426"/>
      <c r="AQ137" s="427"/>
      <c r="AR137" s="427"/>
      <c r="AS137" s="427"/>
      <c r="AT137" s="426"/>
      <c r="AU137" s="410"/>
      <c r="AV137" s="410"/>
      <c r="AW137" s="410"/>
      <c r="AX137" s="410"/>
      <c r="AY137" s="410"/>
      <c r="AZ137" s="410"/>
      <c r="BA137" s="410"/>
      <c r="BB137" s="410"/>
      <c r="BC137" s="410"/>
      <c r="BD137" s="410"/>
      <c r="BE137" s="410"/>
    </row>
    <row r="138" ht="12.75" customHeight="1">
      <c r="A138" s="256" t="s">
        <v>599</v>
      </c>
      <c r="B138" s="257" t="s">
        <v>118</v>
      </c>
      <c r="C138" s="258" t="s">
        <v>119</v>
      </c>
      <c r="D138" s="258" t="s">
        <v>213</v>
      </c>
      <c r="E138" s="258" t="s">
        <v>213</v>
      </c>
      <c r="F138" s="259"/>
      <c r="G138" s="258" t="s">
        <v>127</v>
      </c>
      <c r="H138" s="258" t="s">
        <v>186</v>
      </c>
      <c r="I138" s="259" t="s">
        <v>105</v>
      </c>
      <c r="J138" s="316" t="s">
        <v>106</v>
      </c>
      <c r="K138" s="317">
        <f>ROUND(M138/0.15,2)</f>
        <v>15.33</v>
      </c>
      <c r="L138" s="318">
        <f>ROUND(N138/0.15,0)</f>
        <v>20993</v>
      </c>
      <c r="M138" s="319">
        <f t="shared" ref="M138:N138" si="456">Q138</f>
        <v>2.3</v>
      </c>
      <c r="N138" s="261">
        <f t="shared" si="456"/>
        <v>3149</v>
      </c>
      <c r="O138" s="262">
        <v>2.54</v>
      </c>
      <c r="P138" s="263">
        <v>3478.0</v>
      </c>
      <c r="Q138" s="260">
        <f t="shared" ref="Q138:R138" si="457">M136-O138</f>
        <v>2.3</v>
      </c>
      <c r="R138" s="261">
        <f t="shared" si="457"/>
        <v>3149</v>
      </c>
      <c r="S138" s="264">
        <v>1369.4</v>
      </c>
      <c r="T138" s="265">
        <v>15.0</v>
      </c>
      <c r="U138" s="266" t="s">
        <v>107</v>
      </c>
      <c r="V138" s="266" t="s">
        <v>1329</v>
      </c>
      <c r="W138" s="320">
        <v>0.6721</v>
      </c>
      <c r="X138" s="320">
        <v>0.318256</v>
      </c>
      <c r="Y138" s="320">
        <v>0.353844</v>
      </c>
      <c r="Z138" s="321">
        <f>Z136</f>
        <v>48</v>
      </c>
      <c r="AA138" s="426"/>
      <c r="AB138" s="428"/>
      <c r="AC138" s="323">
        <f>IFERROR(ROUND(Z138*X138,2),0)</f>
        <v>15.28</v>
      </c>
      <c r="AD138" s="318">
        <f t="shared" si="442"/>
        <v>20924</v>
      </c>
      <c r="AE138" s="429"/>
      <c r="AF138" s="429"/>
      <c r="AG138" s="324">
        <f t="shared" si="443"/>
        <v>16.98</v>
      </c>
      <c r="AH138" s="261">
        <f t="shared" si="444"/>
        <v>23252</v>
      </c>
      <c r="AI138" s="426"/>
      <c r="AJ138" s="426"/>
      <c r="AK138" s="325">
        <f>ROUND(AC138*0.15,2)</f>
        <v>2.29</v>
      </c>
      <c r="AL138" s="261">
        <f>ROUND(AD138*0.15,0)</f>
        <v>3139</v>
      </c>
      <c r="AM138" s="325"/>
      <c r="AN138" s="325"/>
      <c r="AO138" s="325">
        <f>ROUND(AG138*0.15,2)</f>
        <v>2.55</v>
      </c>
      <c r="AP138" s="261">
        <f>ROUND(AH138*0.15,0)</f>
        <v>3488</v>
      </c>
      <c r="AQ138" s="326"/>
      <c r="AR138" s="326"/>
      <c r="AS138" s="326">
        <f>IFERROR(AC138/K138,IFERROR(AO138/O138,""))</f>
        <v>0.9967384214</v>
      </c>
      <c r="AT138" s="426"/>
      <c r="AU138" s="410"/>
      <c r="AV138" s="410"/>
      <c r="AW138" s="410"/>
      <c r="AX138" s="410"/>
      <c r="AY138" s="410"/>
      <c r="AZ138" s="410"/>
      <c r="BA138" s="410"/>
      <c r="BB138" s="410"/>
      <c r="BC138" s="410"/>
      <c r="BD138" s="410"/>
      <c r="BE138" s="410"/>
    </row>
    <row r="139" ht="12.75" customHeight="1">
      <c r="A139" s="245" t="s">
        <v>601</v>
      </c>
      <c r="B139" s="246" t="s">
        <v>118</v>
      </c>
      <c r="C139" s="247" t="s">
        <v>119</v>
      </c>
      <c r="D139" s="247" t="s">
        <v>214</v>
      </c>
      <c r="E139" s="247" t="s">
        <v>213</v>
      </c>
      <c r="F139" s="248"/>
      <c r="G139" s="247" t="s">
        <v>143</v>
      </c>
      <c r="H139" s="247" t="s">
        <v>160</v>
      </c>
      <c r="I139" s="248" t="s">
        <v>105</v>
      </c>
      <c r="J139" s="300" t="s">
        <v>106</v>
      </c>
      <c r="K139" s="301">
        <v>22.53</v>
      </c>
      <c r="L139" s="302">
        <v>30753.0</v>
      </c>
      <c r="M139" s="303">
        <v>3.38</v>
      </c>
      <c r="N139" s="250">
        <v>4613.0</v>
      </c>
      <c r="O139" s="249">
        <v>0.0</v>
      </c>
      <c r="P139" s="250">
        <v>0.0</v>
      </c>
      <c r="Q139" s="251">
        <f t="shared" ref="Q139:R139" si="458">M139-O139</f>
        <v>3.38</v>
      </c>
      <c r="R139" s="252">
        <f t="shared" si="458"/>
        <v>4613</v>
      </c>
      <c r="S139" s="253">
        <v>1365.0</v>
      </c>
      <c r="T139" s="254">
        <v>15.0</v>
      </c>
      <c r="U139" s="255" t="s">
        <v>107</v>
      </c>
      <c r="V139" s="255"/>
      <c r="W139" s="304">
        <v>0.5363</v>
      </c>
      <c r="X139" s="304">
        <v>0.197626</v>
      </c>
      <c r="Y139" s="304">
        <v>0.338674</v>
      </c>
      <c r="Z139" s="305">
        <f>IFERROR(ROUND(K139/W139,0),0)</f>
        <v>42</v>
      </c>
      <c r="AA139" s="306">
        <f t="shared" ref="AA139:AA140" si="460">Z139*W139</f>
        <v>22.5246</v>
      </c>
      <c r="AB139" s="307">
        <f t="shared" ref="AB139:AB140" si="461">ROUND(AA139*S139,0)</f>
        <v>30746</v>
      </c>
      <c r="AC139" s="308">
        <f t="shared" ref="AC139:AC140" si="462">AA139</f>
        <v>22.5246</v>
      </c>
      <c r="AD139" s="309">
        <f t="shared" si="442"/>
        <v>30746</v>
      </c>
      <c r="AE139" s="425"/>
      <c r="AF139" s="425"/>
      <c r="AG139" s="310">
        <f t="shared" si="443"/>
        <v>14.22</v>
      </c>
      <c r="AH139" s="252">
        <f t="shared" si="444"/>
        <v>19410</v>
      </c>
      <c r="AI139" s="306">
        <f t="shared" ref="AI139:AI140" si="463">ROUND(AC139*0.15,2)</f>
        <v>3.38</v>
      </c>
      <c r="AJ139" s="252">
        <f t="shared" ref="AJ139:AJ140" si="464">ROUND(AD139*0.15,0)</f>
        <v>4612</v>
      </c>
      <c r="AK139" s="426"/>
      <c r="AL139" s="426"/>
      <c r="AM139" s="426"/>
      <c r="AN139" s="426"/>
      <c r="AO139" s="426"/>
      <c r="AP139" s="426"/>
      <c r="AQ139" s="427"/>
      <c r="AR139" s="427"/>
      <c r="AS139" s="427"/>
      <c r="AT139" s="426"/>
      <c r="AU139" s="410"/>
      <c r="AV139" s="410"/>
      <c r="AW139" s="410"/>
      <c r="AX139" s="410"/>
      <c r="AY139" s="410"/>
      <c r="AZ139" s="410"/>
      <c r="BA139" s="410"/>
      <c r="BB139" s="410"/>
      <c r="BC139" s="410"/>
      <c r="BD139" s="410"/>
      <c r="BE139" s="410"/>
    </row>
    <row r="140" ht="12.75" customHeight="1">
      <c r="A140" s="245" t="s">
        <v>602</v>
      </c>
      <c r="B140" s="246" t="s">
        <v>118</v>
      </c>
      <c r="C140" s="247" t="s">
        <v>119</v>
      </c>
      <c r="D140" s="247" t="s">
        <v>214</v>
      </c>
      <c r="E140" s="247" t="s">
        <v>213</v>
      </c>
      <c r="F140" s="248"/>
      <c r="G140" s="247" t="s">
        <v>143</v>
      </c>
      <c r="H140" s="247" t="s">
        <v>160</v>
      </c>
      <c r="I140" s="248" t="s">
        <v>105</v>
      </c>
      <c r="J140" s="300" t="s">
        <v>106</v>
      </c>
      <c r="K140" s="314">
        <f t="shared" ref="K140:R140" si="459">-K139</f>
        <v>-22.53</v>
      </c>
      <c r="L140" s="309">
        <f t="shared" si="459"/>
        <v>-30753</v>
      </c>
      <c r="M140" s="315">
        <f t="shared" si="459"/>
        <v>-3.38</v>
      </c>
      <c r="N140" s="252">
        <f t="shared" si="459"/>
        <v>-4613</v>
      </c>
      <c r="O140" s="251">
        <f t="shared" si="459"/>
        <v>0</v>
      </c>
      <c r="P140" s="252">
        <f t="shared" si="459"/>
        <v>0</v>
      </c>
      <c r="Q140" s="251">
        <f t="shared" si="459"/>
        <v>-3.38</v>
      </c>
      <c r="R140" s="252">
        <f t="shared" si="459"/>
        <v>-4613</v>
      </c>
      <c r="S140" s="253">
        <v>1365.0</v>
      </c>
      <c r="T140" s="254">
        <v>15.0</v>
      </c>
      <c r="U140" s="255" t="s">
        <v>107</v>
      </c>
      <c r="V140" s="255"/>
      <c r="W140" s="304">
        <v>0.5363</v>
      </c>
      <c r="X140" s="304">
        <v>0.197626</v>
      </c>
      <c r="Y140" s="304">
        <v>0.338674</v>
      </c>
      <c r="Z140" s="305">
        <f>-Z139</f>
        <v>-42</v>
      </c>
      <c r="AA140" s="306">
        <f t="shared" si="460"/>
        <v>-22.5246</v>
      </c>
      <c r="AB140" s="307">
        <f t="shared" si="461"/>
        <v>-30746</v>
      </c>
      <c r="AC140" s="308">
        <f t="shared" si="462"/>
        <v>-22.5246</v>
      </c>
      <c r="AD140" s="309">
        <f t="shared" si="442"/>
        <v>-30746</v>
      </c>
      <c r="AE140" s="425"/>
      <c r="AF140" s="425"/>
      <c r="AG140" s="310">
        <f t="shared" si="443"/>
        <v>-14.22</v>
      </c>
      <c r="AH140" s="252">
        <f t="shared" si="444"/>
        <v>-19410</v>
      </c>
      <c r="AI140" s="306">
        <f t="shared" si="463"/>
        <v>-3.38</v>
      </c>
      <c r="AJ140" s="252">
        <f t="shared" si="464"/>
        <v>-4612</v>
      </c>
      <c r="AK140" s="426"/>
      <c r="AL140" s="426"/>
      <c r="AM140" s="426"/>
      <c r="AN140" s="426"/>
      <c r="AO140" s="426"/>
      <c r="AP140" s="426"/>
      <c r="AQ140" s="427"/>
      <c r="AR140" s="427"/>
      <c r="AS140" s="427"/>
      <c r="AT140" s="426"/>
      <c r="AU140" s="410"/>
      <c r="AV140" s="410"/>
      <c r="AW140" s="410"/>
      <c r="AX140" s="410"/>
      <c r="AY140" s="410"/>
      <c r="AZ140" s="410"/>
      <c r="BA140" s="410"/>
      <c r="BB140" s="410"/>
      <c r="BC140" s="410"/>
      <c r="BD140" s="410"/>
      <c r="BE140" s="410"/>
    </row>
    <row r="141" ht="12.75" customHeight="1">
      <c r="A141" s="256" t="s">
        <v>603</v>
      </c>
      <c r="B141" s="257" t="s">
        <v>118</v>
      </c>
      <c r="C141" s="258" t="s">
        <v>119</v>
      </c>
      <c r="D141" s="258" t="s">
        <v>214</v>
      </c>
      <c r="E141" s="258" t="s">
        <v>213</v>
      </c>
      <c r="F141" s="259"/>
      <c r="G141" s="258" t="s">
        <v>143</v>
      </c>
      <c r="H141" s="258" t="s">
        <v>160</v>
      </c>
      <c r="I141" s="259" t="s">
        <v>105</v>
      </c>
      <c r="J141" s="316" t="s">
        <v>106</v>
      </c>
      <c r="K141" s="317">
        <f>ROUND(M141/0.15,2)</f>
        <v>8.27</v>
      </c>
      <c r="L141" s="318">
        <f>ROUND(N141/0.15,0)</f>
        <v>11280</v>
      </c>
      <c r="M141" s="319">
        <f t="shared" ref="M141:N141" si="465">Q141</f>
        <v>1.24</v>
      </c>
      <c r="N141" s="261">
        <f t="shared" si="465"/>
        <v>1692</v>
      </c>
      <c r="O141" s="262">
        <v>2.14</v>
      </c>
      <c r="P141" s="263">
        <v>2921.0</v>
      </c>
      <c r="Q141" s="260">
        <f t="shared" ref="Q141:R141" si="466">M139-O141</f>
        <v>1.24</v>
      </c>
      <c r="R141" s="261">
        <f t="shared" si="466"/>
        <v>1692</v>
      </c>
      <c r="S141" s="264">
        <v>1365.0</v>
      </c>
      <c r="T141" s="265">
        <v>15.0</v>
      </c>
      <c r="U141" s="266" t="s">
        <v>107</v>
      </c>
      <c r="V141" s="266" t="s">
        <v>1330</v>
      </c>
      <c r="W141" s="320">
        <v>0.5363</v>
      </c>
      <c r="X141" s="320">
        <v>0.197626</v>
      </c>
      <c r="Y141" s="320">
        <v>0.338674</v>
      </c>
      <c r="Z141" s="321">
        <f>Z139</f>
        <v>42</v>
      </c>
      <c r="AA141" s="426"/>
      <c r="AB141" s="428"/>
      <c r="AC141" s="323">
        <f>IFERROR(ROUND(Z141*X141,2),0)</f>
        <v>8.3</v>
      </c>
      <c r="AD141" s="318">
        <f t="shared" si="442"/>
        <v>11330</v>
      </c>
      <c r="AE141" s="429"/>
      <c r="AF141" s="429"/>
      <c r="AG141" s="324">
        <f t="shared" si="443"/>
        <v>14.22</v>
      </c>
      <c r="AH141" s="261">
        <f t="shared" si="444"/>
        <v>19410</v>
      </c>
      <c r="AI141" s="426"/>
      <c r="AJ141" s="426"/>
      <c r="AK141" s="325">
        <f>ROUND(AC141*0.15,2)</f>
        <v>1.25</v>
      </c>
      <c r="AL141" s="261">
        <f>ROUND(AD141*0.15,0)</f>
        <v>1700</v>
      </c>
      <c r="AM141" s="325"/>
      <c r="AN141" s="325"/>
      <c r="AO141" s="325">
        <f>ROUND(AG141*0.15,2)</f>
        <v>2.13</v>
      </c>
      <c r="AP141" s="261">
        <f>ROUND(AH141*0.15,0)</f>
        <v>2912</v>
      </c>
      <c r="AQ141" s="326"/>
      <c r="AR141" s="326"/>
      <c r="AS141" s="326">
        <f>IFERROR(AC141/K141,IFERROR(AO141/O141,""))</f>
        <v>1.00362757</v>
      </c>
      <c r="AT141" s="426"/>
      <c r="AU141" s="410"/>
      <c r="AV141" s="410"/>
      <c r="AW141" s="410"/>
      <c r="AX141" s="410"/>
      <c r="AY141" s="410"/>
      <c r="AZ141" s="410"/>
      <c r="BA141" s="410"/>
      <c r="BB141" s="410"/>
      <c r="BC141" s="410"/>
      <c r="BD141" s="410"/>
      <c r="BE141" s="410"/>
    </row>
    <row r="142" ht="12.75" customHeight="1">
      <c r="A142" s="267" t="s">
        <v>605</v>
      </c>
      <c r="B142" s="268" t="s">
        <v>118</v>
      </c>
      <c r="C142" s="269" t="s">
        <v>119</v>
      </c>
      <c r="D142" s="269" t="s">
        <v>214</v>
      </c>
      <c r="E142" s="269" t="s">
        <v>215</v>
      </c>
      <c r="F142" s="270"/>
      <c r="G142" s="269" t="s">
        <v>216</v>
      </c>
      <c r="H142" s="270" t="s">
        <v>217</v>
      </c>
      <c r="I142" s="270" t="s">
        <v>105</v>
      </c>
      <c r="J142" s="354" t="s">
        <v>106</v>
      </c>
      <c r="K142" s="355">
        <v>8.84</v>
      </c>
      <c r="L142" s="356">
        <v>12066.0</v>
      </c>
      <c r="M142" s="357">
        <v>1.33</v>
      </c>
      <c r="N142" s="272">
        <v>1815.0</v>
      </c>
      <c r="O142" s="271">
        <v>0.0</v>
      </c>
      <c r="P142" s="272">
        <v>0.0</v>
      </c>
      <c r="Q142" s="273">
        <f t="shared" ref="Q142:R142" si="467">M142-O142</f>
        <v>1.33</v>
      </c>
      <c r="R142" s="274">
        <f t="shared" si="467"/>
        <v>1815</v>
      </c>
      <c r="S142" s="275">
        <v>1365.0</v>
      </c>
      <c r="T142" s="276">
        <v>15.0</v>
      </c>
      <c r="U142" s="277" t="s">
        <v>107</v>
      </c>
      <c r="V142" s="277"/>
      <c r="W142" s="468"/>
      <c r="X142" s="468"/>
      <c r="Y142" s="468"/>
      <c r="Z142" s="468"/>
      <c r="AA142" s="468"/>
      <c r="AB142" s="469"/>
      <c r="AC142" s="470">
        <f t="shared" ref="AC142:AD142" si="468">K142</f>
        <v>8.84</v>
      </c>
      <c r="AD142" s="471">
        <f t="shared" si="468"/>
        <v>12066</v>
      </c>
      <c r="AE142" s="472"/>
      <c r="AF142" s="472"/>
      <c r="AG142" s="473"/>
      <c r="AH142" s="468"/>
      <c r="AI142" s="468"/>
      <c r="AJ142" s="468"/>
      <c r="AK142" s="474">
        <f t="shared" ref="AK142:AL142" si="469">Q142</f>
        <v>1.33</v>
      </c>
      <c r="AL142" s="475">
        <f t="shared" si="469"/>
        <v>1815</v>
      </c>
      <c r="AM142" s="468"/>
      <c r="AN142" s="468"/>
      <c r="AO142" s="468"/>
      <c r="AP142" s="468"/>
      <c r="AQ142" s="476"/>
      <c r="AR142" s="476"/>
      <c r="AS142" s="476"/>
      <c r="AT142" s="468"/>
      <c r="AU142" s="477"/>
      <c r="AV142" s="477"/>
      <c r="AW142" s="477"/>
      <c r="AX142" s="477"/>
      <c r="AY142" s="477"/>
      <c r="AZ142" s="477"/>
      <c r="BA142" s="477"/>
      <c r="BB142" s="477"/>
      <c r="BC142" s="477"/>
      <c r="BD142" s="477"/>
      <c r="BE142" s="477"/>
    </row>
    <row r="143" ht="12.75" customHeight="1">
      <c r="A143" s="245" t="s">
        <v>606</v>
      </c>
      <c r="B143" s="246" t="s">
        <v>118</v>
      </c>
      <c r="C143" s="247" t="s">
        <v>119</v>
      </c>
      <c r="D143" s="247" t="s">
        <v>218</v>
      </c>
      <c r="E143" s="247" t="s">
        <v>219</v>
      </c>
      <c r="F143" s="248"/>
      <c r="G143" s="247" t="s">
        <v>131</v>
      </c>
      <c r="H143" s="247" t="s">
        <v>167</v>
      </c>
      <c r="I143" s="248" t="s">
        <v>105</v>
      </c>
      <c r="J143" s="300" t="s">
        <v>106</v>
      </c>
      <c r="K143" s="301">
        <v>426.18</v>
      </c>
      <c r="L143" s="302">
        <v>576877.0</v>
      </c>
      <c r="M143" s="303">
        <v>63.93</v>
      </c>
      <c r="N143" s="250">
        <v>86535.0</v>
      </c>
      <c r="O143" s="249">
        <v>0.0</v>
      </c>
      <c r="P143" s="250">
        <v>0.0</v>
      </c>
      <c r="Q143" s="251">
        <f t="shared" ref="Q143:R143" si="470">M143-O143</f>
        <v>63.93</v>
      </c>
      <c r="R143" s="252">
        <f t="shared" si="470"/>
        <v>86535</v>
      </c>
      <c r="S143" s="253">
        <v>1353.6</v>
      </c>
      <c r="T143" s="254">
        <v>15.0</v>
      </c>
      <c r="U143" s="255" t="s">
        <v>107</v>
      </c>
      <c r="V143" s="255"/>
      <c r="W143" s="304">
        <v>0.5354</v>
      </c>
      <c r="X143" s="304">
        <v>0.015813</v>
      </c>
      <c r="Y143" s="304">
        <v>0.519587</v>
      </c>
      <c r="Z143" s="305">
        <f>IFERROR(ROUND(K143/W143,0),0)</f>
        <v>796</v>
      </c>
      <c r="AA143" s="306">
        <f t="shared" ref="AA143:AA144" si="472">Z143*W143</f>
        <v>426.1784</v>
      </c>
      <c r="AB143" s="307">
        <f t="shared" ref="AB143:AB144" si="473">ROUND(AA143*S143,0)</f>
        <v>576875</v>
      </c>
      <c r="AC143" s="308">
        <f t="shared" ref="AC143:AC144" si="474">AA143</f>
        <v>426.1784</v>
      </c>
      <c r="AD143" s="309">
        <f t="shared" ref="AD143:AD145" si="475">ROUND(AC143*S143,0)</f>
        <v>576875</v>
      </c>
      <c r="AE143" s="425"/>
      <c r="AF143" s="425"/>
      <c r="AG143" s="310">
        <f t="shared" ref="AG143:AG145" si="476">IFERROR(ROUND(Z143*Y143,2),0)</f>
        <v>413.59</v>
      </c>
      <c r="AH143" s="252">
        <f t="shared" ref="AH143:AH145" si="477">ROUND(AG143*S143,0)</f>
        <v>559835</v>
      </c>
      <c r="AI143" s="306">
        <f t="shared" ref="AI143:AI144" si="478">ROUND(AC143*0.15,2)</f>
        <v>63.93</v>
      </c>
      <c r="AJ143" s="252">
        <f t="shared" ref="AJ143:AJ144" si="479">ROUND(AD143*0.15,0)</f>
        <v>86531</v>
      </c>
      <c r="AK143" s="426"/>
      <c r="AL143" s="426"/>
      <c r="AM143" s="426"/>
      <c r="AN143" s="426"/>
      <c r="AO143" s="426"/>
      <c r="AP143" s="426"/>
      <c r="AQ143" s="427"/>
      <c r="AR143" s="427"/>
      <c r="AS143" s="427"/>
      <c r="AT143" s="426"/>
      <c r="AU143" s="410"/>
      <c r="AV143" s="410"/>
      <c r="AW143" s="410"/>
      <c r="AX143" s="410"/>
      <c r="AY143" s="410"/>
      <c r="AZ143" s="410"/>
      <c r="BA143" s="410"/>
      <c r="BB143" s="410"/>
      <c r="BC143" s="410"/>
      <c r="BD143" s="410"/>
      <c r="BE143" s="410"/>
    </row>
    <row r="144" ht="12.75" customHeight="1">
      <c r="A144" s="245" t="s">
        <v>607</v>
      </c>
      <c r="B144" s="246" t="s">
        <v>118</v>
      </c>
      <c r="C144" s="247" t="s">
        <v>119</v>
      </c>
      <c r="D144" s="247" t="s">
        <v>218</v>
      </c>
      <c r="E144" s="247" t="s">
        <v>219</v>
      </c>
      <c r="F144" s="248"/>
      <c r="G144" s="247" t="s">
        <v>131</v>
      </c>
      <c r="H144" s="247" t="s">
        <v>167</v>
      </c>
      <c r="I144" s="248" t="s">
        <v>105</v>
      </c>
      <c r="J144" s="300" t="s">
        <v>106</v>
      </c>
      <c r="K144" s="314">
        <f t="shared" ref="K144:R144" si="471">-K143</f>
        <v>-426.18</v>
      </c>
      <c r="L144" s="309">
        <f t="shared" si="471"/>
        <v>-576877</v>
      </c>
      <c r="M144" s="315">
        <f t="shared" si="471"/>
        <v>-63.93</v>
      </c>
      <c r="N144" s="252">
        <f t="shared" si="471"/>
        <v>-86535</v>
      </c>
      <c r="O144" s="251">
        <f t="shared" si="471"/>
        <v>0</v>
      </c>
      <c r="P144" s="252">
        <f t="shared" si="471"/>
        <v>0</v>
      </c>
      <c r="Q144" s="251">
        <f t="shared" si="471"/>
        <v>-63.93</v>
      </c>
      <c r="R144" s="252">
        <f t="shared" si="471"/>
        <v>-86535</v>
      </c>
      <c r="S144" s="253">
        <v>1353.6</v>
      </c>
      <c r="T144" s="254">
        <v>15.0</v>
      </c>
      <c r="U144" s="255" t="s">
        <v>107</v>
      </c>
      <c r="V144" s="255"/>
      <c r="W144" s="304">
        <v>0.5354</v>
      </c>
      <c r="X144" s="304">
        <v>0.015813</v>
      </c>
      <c r="Y144" s="304">
        <v>0.519587</v>
      </c>
      <c r="Z144" s="305">
        <f>-Z143</f>
        <v>-796</v>
      </c>
      <c r="AA144" s="306">
        <f t="shared" si="472"/>
        <v>-426.1784</v>
      </c>
      <c r="AB144" s="307">
        <f t="shared" si="473"/>
        <v>-576875</v>
      </c>
      <c r="AC144" s="308">
        <f t="shared" si="474"/>
        <v>-426.1784</v>
      </c>
      <c r="AD144" s="309">
        <f t="shared" si="475"/>
        <v>-576875</v>
      </c>
      <c r="AE144" s="425"/>
      <c r="AF144" s="425"/>
      <c r="AG144" s="310">
        <f t="shared" si="476"/>
        <v>-413.59</v>
      </c>
      <c r="AH144" s="252">
        <f t="shared" si="477"/>
        <v>-559835</v>
      </c>
      <c r="AI144" s="306">
        <f t="shared" si="478"/>
        <v>-63.93</v>
      </c>
      <c r="AJ144" s="252">
        <f t="shared" si="479"/>
        <v>-86531</v>
      </c>
      <c r="AK144" s="426"/>
      <c r="AL144" s="426"/>
      <c r="AM144" s="426"/>
      <c r="AN144" s="426"/>
      <c r="AO144" s="426"/>
      <c r="AP144" s="426"/>
      <c r="AQ144" s="427"/>
      <c r="AR144" s="427"/>
      <c r="AS144" s="427"/>
      <c r="AT144" s="426"/>
      <c r="AU144" s="410"/>
      <c r="AV144" s="410"/>
      <c r="AW144" s="410"/>
      <c r="AX144" s="410"/>
      <c r="AY144" s="410"/>
      <c r="AZ144" s="410"/>
      <c r="BA144" s="410"/>
      <c r="BB144" s="410"/>
      <c r="BC144" s="410"/>
      <c r="BD144" s="410"/>
      <c r="BE144" s="410"/>
    </row>
    <row r="145" ht="12.75" customHeight="1">
      <c r="A145" s="256" t="s">
        <v>608</v>
      </c>
      <c r="B145" s="257" t="s">
        <v>118</v>
      </c>
      <c r="C145" s="258" t="s">
        <v>119</v>
      </c>
      <c r="D145" s="258" t="s">
        <v>218</v>
      </c>
      <c r="E145" s="258" t="s">
        <v>219</v>
      </c>
      <c r="F145" s="259"/>
      <c r="G145" s="258" t="s">
        <v>131</v>
      </c>
      <c r="H145" s="258" t="s">
        <v>167</v>
      </c>
      <c r="I145" s="259" t="s">
        <v>105</v>
      </c>
      <c r="J145" s="316" t="s">
        <v>106</v>
      </c>
      <c r="K145" s="317">
        <f>ROUND(M145/0.15,2)</f>
        <v>12.6</v>
      </c>
      <c r="L145" s="318">
        <f>ROUND(N145/0.15,0)</f>
        <v>17053</v>
      </c>
      <c r="M145" s="319">
        <f t="shared" ref="M145:N145" si="480">Q145</f>
        <v>1.89</v>
      </c>
      <c r="N145" s="261">
        <f t="shared" si="480"/>
        <v>2558</v>
      </c>
      <c r="O145" s="262">
        <v>62.04</v>
      </c>
      <c r="P145" s="263">
        <v>83977.0</v>
      </c>
      <c r="Q145" s="260">
        <f t="shared" ref="Q145:R145" si="481">M143-O145</f>
        <v>1.89</v>
      </c>
      <c r="R145" s="261">
        <f t="shared" si="481"/>
        <v>2558</v>
      </c>
      <c r="S145" s="264">
        <v>1353.6</v>
      </c>
      <c r="T145" s="265">
        <v>15.0</v>
      </c>
      <c r="U145" s="266" t="s">
        <v>107</v>
      </c>
      <c r="V145" s="266" t="s">
        <v>1331</v>
      </c>
      <c r="W145" s="320">
        <v>0.5354</v>
      </c>
      <c r="X145" s="320">
        <v>0.015813</v>
      </c>
      <c r="Y145" s="320">
        <v>0.519587</v>
      </c>
      <c r="Z145" s="321">
        <f>Z143</f>
        <v>796</v>
      </c>
      <c r="AA145" s="426"/>
      <c r="AB145" s="428"/>
      <c r="AC145" s="323">
        <f>IFERROR(ROUND(Z145*X145,2),0)</f>
        <v>12.59</v>
      </c>
      <c r="AD145" s="318">
        <f t="shared" si="475"/>
        <v>17042</v>
      </c>
      <c r="AE145" s="429"/>
      <c r="AF145" s="429"/>
      <c r="AG145" s="324">
        <f t="shared" si="476"/>
        <v>413.59</v>
      </c>
      <c r="AH145" s="261">
        <f t="shared" si="477"/>
        <v>559835</v>
      </c>
      <c r="AI145" s="426"/>
      <c r="AJ145" s="426"/>
      <c r="AK145" s="325">
        <f>ROUND(AC145*0.15,2)</f>
        <v>1.89</v>
      </c>
      <c r="AL145" s="261">
        <f>ROUND(AD145*0.15,0)</f>
        <v>2556</v>
      </c>
      <c r="AM145" s="325"/>
      <c r="AN145" s="325"/>
      <c r="AO145" s="325">
        <f>ROUND(AG145*0.15,2)</f>
        <v>62.04</v>
      </c>
      <c r="AP145" s="261">
        <f>ROUND(AH145*0.15,0)</f>
        <v>83975</v>
      </c>
      <c r="AQ145" s="326"/>
      <c r="AR145" s="326"/>
      <c r="AS145" s="326">
        <f>IFERROR(AC145/K145,IFERROR(AO145/O145,""))</f>
        <v>0.9992063492</v>
      </c>
      <c r="AT145" s="426"/>
      <c r="AU145" s="410"/>
      <c r="AV145" s="410"/>
      <c r="AW145" s="410"/>
      <c r="AX145" s="410"/>
      <c r="AY145" s="410"/>
      <c r="AZ145" s="410"/>
      <c r="BA145" s="410"/>
      <c r="BB145" s="410"/>
      <c r="BC145" s="410"/>
      <c r="BD145" s="410"/>
      <c r="BE145" s="410"/>
    </row>
    <row r="146" ht="12.75" customHeight="1">
      <c r="A146" s="267" t="s">
        <v>610</v>
      </c>
      <c r="B146" s="268" t="s">
        <v>118</v>
      </c>
      <c r="C146" s="269" t="s">
        <v>119</v>
      </c>
      <c r="D146" s="269" t="s">
        <v>218</v>
      </c>
      <c r="E146" s="270"/>
      <c r="F146" s="270"/>
      <c r="G146" s="269" t="s">
        <v>148</v>
      </c>
      <c r="H146" s="269" t="s">
        <v>1332</v>
      </c>
      <c r="I146" s="270" t="s">
        <v>105</v>
      </c>
      <c r="J146" s="354" t="s">
        <v>150</v>
      </c>
      <c r="K146" s="355">
        <v>0.0</v>
      </c>
      <c r="L146" s="356">
        <v>693.0</v>
      </c>
      <c r="M146" s="357">
        <v>0.0</v>
      </c>
      <c r="N146" s="272">
        <v>122.0</v>
      </c>
      <c r="O146" s="271">
        <v>0.0</v>
      </c>
      <c r="P146" s="272">
        <v>0.0</v>
      </c>
      <c r="Q146" s="273">
        <f t="shared" ref="Q146:R146" si="482">M146-O146</f>
        <v>0</v>
      </c>
      <c r="R146" s="274">
        <f t="shared" si="482"/>
        <v>122</v>
      </c>
      <c r="S146" s="275">
        <v>1.0</v>
      </c>
      <c r="T146" s="276">
        <v>14.0</v>
      </c>
      <c r="U146" s="277" t="s">
        <v>151</v>
      </c>
      <c r="V146" s="277"/>
      <c r="W146" s="468"/>
      <c r="X146" s="468"/>
      <c r="Y146" s="468"/>
      <c r="Z146" s="468"/>
      <c r="AA146" s="468"/>
      <c r="AB146" s="469"/>
      <c r="AC146" s="470">
        <f t="shared" ref="AC146:AD146" si="483">K146</f>
        <v>0</v>
      </c>
      <c r="AD146" s="471">
        <f t="shared" si="483"/>
        <v>693</v>
      </c>
      <c r="AE146" s="472"/>
      <c r="AF146" s="472"/>
      <c r="AG146" s="473"/>
      <c r="AH146" s="468"/>
      <c r="AI146" s="468"/>
      <c r="AJ146" s="468"/>
      <c r="AK146" s="474">
        <f t="shared" ref="AK146:AL146" si="484">Q146</f>
        <v>0</v>
      </c>
      <c r="AL146" s="475">
        <f t="shared" si="484"/>
        <v>122</v>
      </c>
      <c r="AM146" s="468"/>
      <c r="AN146" s="468"/>
      <c r="AO146" s="468"/>
      <c r="AP146" s="468"/>
      <c r="AQ146" s="476"/>
      <c r="AR146" s="476"/>
      <c r="AS146" s="476"/>
      <c r="AT146" s="468"/>
      <c r="AU146" s="477"/>
      <c r="AV146" s="477"/>
      <c r="AW146" s="477"/>
      <c r="AX146" s="477"/>
      <c r="AY146" s="477"/>
      <c r="AZ146" s="477"/>
      <c r="BA146" s="477"/>
      <c r="BB146" s="477"/>
      <c r="BC146" s="477"/>
      <c r="BD146" s="477"/>
      <c r="BE146" s="477"/>
    </row>
    <row r="147" ht="12.75" customHeight="1">
      <c r="A147" s="267" t="s">
        <v>612</v>
      </c>
      <c r="B147" s="268" t="s">
        <v>118</v>
      </c>
      <c r="C147" s="269" t="s">
        <v>119</v>
      </c>
      <c r="D147" s="269" t="s">
        <v>221</v>
      </c>
      <c r="E147" s="270"/>
      <c r="F147" s="270"/>
      <c r="G147" s="269" t="s">
        <v>148</v>
      </c>
      <c r="H147" s="269" t="s">
        <v>1333</v>
      </c>
      <c r="I147" s="270" t="s">
        <v>105</v>
      </c>
      <c r="J147" s="354" t="s">
        <v>150</v>
      </c>
      <c r="K147" s="355">
        <v>0.0</v>
      </c>
      <c r="L147" s="356">
        <v>552.0</v>
      </c>
      <c r="M147" s="357">
        <v>0.0</v>
      </c>
      <c r="N147" s="272">
        <v>97.0</v>
      </c>
      <c r="O147" s="271">
        <v>0.0</v>
      </c>
      <c r="P147" s="272">
        <v>0.0</v>
      </c>
      <c r="Q147" s="273">
        <f t="shared" ref="Q147:R147" si="485">M147-O147</f>
        <v>0</v>
      </c>
      <c r="R147" s="274">
        <f t="shared" si="485"/>
        <v>97</v>
      </c>
      <c r="S147" s="275">
        <v>1.0</v>
      </c>
      <c r="T147" s="276">
        <v>14.0</v>
      </c>
      <c r="U147" s="277" t="s">
        <v>151</v>
      </c>
      <c r="V147" s="277"/>
      <c r="W147" s="468"/>
      <c r="X147" s="468"/>
      <c r="Y147" s="468"/>
      <c r="Z147" s="468"/>
      <c r="AA147" s="468"/>
      <c r="AB147" s="469"/>
      <c r="AC147" s="470">
        <f t="shared" ref="AC147:AD147" si="486">K147</f>
        <v>0</v>
      </c>
      <c r="AD147" s="471">
        <f t="shared" si="486"/>
        <v>552</v>
      </c>
      <c r="AE147" s="472"/>
      <c r="AF147" s="472"/>
      <c r="AG147" s="473"/>
      <c r="AH147" s="468"/>
      <c r="AI147" s="468"/>
      <c r="AJ147" s="468"/>
      <c r="AK147" s="474">
        <f t="shared" ref="AK147:AL147" si="487">Q147</f>
        <v>0</v>
      </c>
      <c r="AL147" s="475">
        <f t="shared" si="487"/>
        <v>97</v>
      </c>
      <c r="AM147" s="468"/>
      <c r="AN147" s="468"/>
      <c r="AO147" s="468"/>
      <c r="AP147" s="468"/>
      <c r="AQ147" s="476"/>
      <c r="AR147" s="476"/>
      <c r="AS147" s="476"/>
      <c r="AT147" s="468"/>
      <c r="AU147" s="477"/>
      <c r="AV147" s="477"/>
      <c r="AW147" s="477"/>
      <c r="AX147" s="477"/>
      <c r="AY147" s="477"/>
      <c r="AZ147" s="477"/>
      <c r="BA147" s="477"/>
      <c r="BB147" s="477"/>
      <c r="BC147" s="477"/>
      <c r="BD147" s="477"/>
      <c r="BE147" s="477"/>
    </row>
    <row r="148" ht="12.75" customHeight="1">
      <c r="A148" s="245" t="s">
        <v>614</v>
      </c>
      <c r="B148" s="246" t="s">
        <v>118</v>
      </c>
      <c r="C148" s="247" t="s">
        <v>119</v>
      </c>
      <c r="D148" s="247" t="s">
        <v>223</v>
      </c>
      <c r="E148" s="247" t="s">
        <v>223</v>
      </c>
      <c r="F148" s="248"/>
      <c r="G148" s="247" t="s">
        <v>224</v>
      </c>
      <c r="H148" s="247" t="s">
        <v>225</v>
      </c>
      <c r="I148" s="248" t="s">
        <v>105</v>
      </c>
      <c r="J148" s="300" t="s">
        <v>106</v>
      </c>
      <c r="K148" s="301">
        <v>96.61</v>
      </c>
      <c r="L148" s="302">
        <v>131795.0</v>
      </c>
      <c r="M148" s="303">
        <v>14.49</v>
      </c>
      <c r="N148" s="250">
        <v>19767.0</v>
      </c>
      <c r="O148" s="249">
        <v>0.0</v>
      </c>
      <c r="P148" s="250">
        <v>0.0</v>
      </c>
      <c r="Q148" s="251">
        <f t="shared" ref="Q148:R148" si="488">M148-O148</f>
        <v>14.49</v>
      </c>
      <c r="R148" s="252">
        <f t="shared" si="488"/>
        <v>19767</v>
      </c>
      <c r="S148" s="253">
        <v>1364.2</v>
      </c>
      <c r="T148" s="254">
        <v>15.0</v>
      </c>
      <c r="U148" s="255" t="s">
        <v>107</v>
      </c>
      <c r="V148" s="255"/>
      <c r="W148" s="304">
        <v>1.6102</v>
      </c>
      <c r="X148" s="304">
        <v>0.509392</v>
      </c>
      <c r="Y148" s="304">
        <v>1.100808</v>
      </c>
      <c r="Z148" s="305">
        <f>IFERROR(ROUND(K148/W148,0),0)</f>
        <v>60</v>
      </c>
      <c r="AA148" s="306">
        <f t="shared" ref="AA148:AA149" si="490">Z148*W148</f>
        <v>96.612</v>
      </c>
      <c r="AB148" s="307">
        <f t="shared" ref="AB148:AB149" si="491">ROUND(AA148*S148,0)</f>
        <v>131798</v>
      </c>
      <c r="AC148" s="308">
        <f t="shared" ref="AC148:AC149" si="492">AA148</f>
        <v>96.612</v>
      </c>
      <c r="AD148" s="309">
        <f t="shared" ref="AD148:AD155" si="493">ROUND(AC148*S148,0)</f>
        <v>131798</v>
      </c>
      <c r="AE148" s="425"/>
      <c r="AF148" s="425"/>
      <c r="AG148" s="310">
        <f t="shared" ref="AG148:AG155" si="494">IFERROR(ROUND(Z148*Y148,2),0)</f>
        <v>66.05</v>
      </c>
      <c r="AH148" s="252">
        <f t="shared" ref="AH148:AH155" si="495">ROUND(AG148*S148,0)</f>
        <v>90105</v>
      </c>
      <c r="AI148" s="306">
        <f t="shared" ref="AI148:AI149" si="496">ROUND(AC148*0.15,2)</f>
        <v>14.49</v>
      </c>
      <c r="AJ148" s="252">
        <f t="shared" ref="AJ148:AJ149" si="497">ROUND(AD148*0.15,0)</f>
        <v>19770</v>
      </c>
      <c r="AK148" s="426"/>
      <c r="AL148" s="426"/>
      <c r="AM148" s="426"/>
      <c r="AN148" s="426"/>
      <c r="AO148" s="426"/>
      <c r="AP148" s="426"/>
      <c r="AQ148" s="427"/>
      <c r="AR148" s="427"/>
      <c r="AS148" s="427"/>
      <c r="AT148" s="426"/>
      <c r="AU148" s="410"/>
      <c r="AV148" s="410"/>
      <c r="AW148" s="410"/>
      <c r="AX148" s="410"/>
      <c r="AY148" s="410"/>
      <c r="AZ148" s="410"/>
      <c r="BA148" s="410"/>
      <c r="BB148" s="410"/>
      <c r="BC148" s="410"/>
      <c r="BD148" s="410"/>
      <c r="BE148" s="410"/>
    </row>
    <row r="149" ht="12.75" customHeight="1">
      <c r="A149" s="245" t="s">
        <v>615</v>
      </c>
      <c r="B149" s="246" t="s">
        <v>118</v>
      </c>
      <c r="C149" s="247" t="s">
        <v>119</v>
      </c>
      <c r="D149" s="247" t="s">
        <v>223</v>
      </c>
      <c r="E149" s="247" t="s">
        <v>223</v>
      </c>
      <c r="F149" s="248"/>
      <c r="G149" s="247" t="s">
        <v>224</v>
      </c>
      <c r="H149" s="247" t="s">
        <v>225</v>
      </c>
      <c r="I149" s="248" t="s">
        <v>105</v>
      </c>
      <c r="J149" s="300" t="s">
        <v>106</v>
      </c>
      <c r="K149" s="314">
        <f t="shared" ref="K149:R149" si="489">-K148</f>
        <v>-96.61</v>
      </c>
      <c r="L149" s="309">
        <f t="shared" si="489"/>
        <v>-131795</v>
      </c>
      <c r="M149" s="315">
        <f t="shared" si="489"/>
        <v>-14.49</v>
      </c>
      <c r="N149" s="252">
        <f t="shared" si="489"/>
        <v>-19767</v>
      </c>
      <c r="O149" s="251">
        <f t="shared" si="489"/>
        <v>0</v>
      </c>
      <c r="P149" s="252">
        <f t="shared" si="489"/>
        <v>0</v>
      </c>
      <c r="Q149" s="251">
        <f t="shared" si="489"/>
        <v>-14.49</v>
      </c>
      <c r="R149" s="252">
        <f t="shared" si="489"/>
        <v>-19767</v>
      </c>
      <c r="S149" s="253">
        <v>1364.2</v>
      </c>
      <c r="T149" s="254">
        <v>15.0</v>
      </c>
      <c r="U149" s="255" t="s">
        <v>107</v>
      </c>
      <c r="V149" s="255"/>
      <c r="W149" s="304">
        <v>1.6102</v>
      </c>
      <c r="X149" s="304">
        <v>0.509392</v>
      </c>
      <c r="Y149" s="304">
        <v>1.100808</v>
      </c>
      <c r="Z149" s="305">
        <f>-Z148</f>
        <v>-60</v>
      </c>
      <c r="AA149" s="306">
        <f t="shared" si="490"/>
        <v>-96.612</v>
      </c>
      <c r="AB149" s="307">
        <f t="shared" si="491"/>
        <v>-131798</v>
      </c>
      <c r="AC149" s="308">
        <f t="shared" si="492"/>
        <v>-96.612</v>
      </c>
      <c r="AD149" s="309">
        <f t="shared" si="493"/>
        <v>-131798</v>
      </c>
      <c r="AE149" s="425"/>
      <c r="AF149" s="425"/>
      <c r="AG149" s="310">
        <f t="shared" si="494"/>
        <v>-66.05</v>
      </c>
      <c r="AH149" s="252">
        <f t="shared" si="495"/>
        <v>-90105</v>
      </c>
      <c r="AI149" s="306">
        <f t="shared" si="496"/>
        <v>-14.49</v>
      </c>
      <c r="AJ149" s="252">
        <f t="shared" si="497"/>
        <v>-19770</v>
      </c>
      <c r="AK149" s="426"/>
      <c r="AL149" s="426"/>
      <c r="AM149" s="426"/>
      <c r="AN149" s="426"/>
      <c r="AO149" s="426"/>
      <c r="AP149" s="426"/>
      <c r="AQ149" s="427"/>
      <c r="AR149" s="427"/>
      <c r="AS149" s="427"/>
      <c r="AT149" s="426"/>
      <c r="AU149" s="410"/>
      <c r="AV149" s="410"/>
      <c r="AW149" s="410"/>
      <c r="AX149" s="410"/>
      <c r="AY149" s="410"/>
      <c r="AZ149" s="410"/>
      <c r="BA149" s="410"/>
      <c r="BB149" s="410"/>
      <c r="BC149" s="410"/>
      <c r="BD149" s="410"/>
      <c r="BE149" s="410"/>
    </row>
    <row r="150" ht="12.75" customHeight="1">
      <c r="A150" s="256" t="s">
        <v>616</v>
      </c>
      <c r="B150" s="257" t="s">
        <v>118</v>
      </c>
      <c r="C150" s="258" t="s">
        <v>119</v>
      </c>
      <c r="D150" s="258" t="s">
        <v>223</v>
      </c>
      <c r="E150" s="258" t="s">
        <v>223</v>
      </c>
      <c r="F150" s="259"/>
      <c r="G150" s="258" t="s">
        <v>224</v>
      </c>
      <c r="H150" s="258" t="s">
        <v>225</v>
      </c>
      <c r="I150" s="259" t="s">
        <v>105</v>
      </c>
      <c r="J150" s="316" t="s">
        <v>106</v>
      </c>
      <c r="K150" s="317">
        <f>ROUND(M150/0.15,2)</f>
        <v>30.53</v>
      </c>
      <c r="L150" s="318">
        <f>ROUND(N150/0.15,0)</f>
        <v>41653</v>
      </c>
      <c r="M150" s="319">
        <f t="shared" ref="M150:N150" si="498">Q150</f>
        <v>4.58</v>
      </c>
      <c r="N150" s="261">
        <f t="shared" si="498"/>
        <v>6248</v>
      </c>
      <c r="O150" s="262">
        <v>9.91</v>
      </c>
      <c r="P150" s="263">
        <v>13519.0</v>
      </c>
      <c r="Q150" s="260">
        <f t="shared" ref="Q150:R150" si="499">M148-O150</f>
        <v>4.58</v>
      </c>
      <c r="R150" s="261">
        <f t="shared" si="499"/>
        <v>6248</v>
      </c>
      <c r="S150" s="264">
        <v>1364.2</v>
      </c>
      <c r="T150" s="265">
        <v>15.0</v>
      </c>
      <c r="U150" s="266" t="s">
        <v>107</v>
      </c>
      <c r="V150" s="266" t="s">
        <v>1334</v>
      </c>
      <c r="W150" s="320">
        <v>1.6102</v>
      </c>
      <c r="X150" s="320">
        <v>0.509392</v>
      </c>
      <c r="Y150" s="320">
        <v>1.100808</v>
      </c>
      <c r="Z150" s="321">
        <f>Z148</f>
        <v>60</v>
      </c>
      <c r="AA150" s="426"/>
      <c r="AB150" s="428"/>
      <c r="AC150" s="323">
        <f>IFERROR(ROUND(Z150*X150,2),0)</f>
        <v>30.56</v>
      </c>
      <c r="AD150" s="318">
        <f t="shared" si="493"/>
        <v>41690</v>
      </c>
      <c r="AE150" s="429"/>
      <c r="AF150" s="429"/>
      <c r="AG150" s="324">
        <f t="shared" si="494"/>
        <v>66.05</v>
      </c>
      <c r="AH150" s="261">
        <f t="shared" si="495"/>
        <v>90105</v>
      </c>
      <c r="AI150" s="426"/>
      <c r="AJ150" s="426"/>
      <c r="AK150" s="325">
        <f>ROUND(AC150*0.15,2)</f>
        <v>4.58</v>
      </c>
      <c r="AL150" s="261">
        <f>ROUND(AD150*0.15,0)</f>
        <v>6254</v>
      </c>
      <c r="AM150" s="325"/>
      <c r="AN150" s="325"/>
      <c r="AO150" s="325">
        <f>ROUND(AG150*0.15,2)</f>
        <v>9.91</v>
      </c>
      <c r="AP150" s="261">
        <f>ROUND(AH150*0.15,0)</f>
        <v>13516</v>
      </c>
      <c r="AQ150" s="326"/>
      <c r="AR150" s="326"/>
      <c r="AS150" s="326">
        <f>IFERROR(AC150/K150,IFERROR(AO150/O150,""))</f>
        <v>1.00098264</v>
      </c>
      <c r="AT150" s="426"/>
      <c r="AU150" s="410"/>
      <c r="AV150" s="410"/>
      <c r="AW150" s="410"/>
      <c r="AX150" s="410"/>
      <c r="AY150" s="410"/>
      <c r="AZ150" s="410"/>
      <c r="BA150" s="410"/>
      <c r="BB150" s="410"/>
      <c r="BC150" s="410"/>
      <c r="BD150" s="410"/>
      <c r="BE150" s="410"/>
    </row>
    <row r="151" ht="12.75" customHeight="1">
      <c r="A151" s="245" t="s">
        <v>618</v>
      </c>
      <c r="B151" s="246" t="s">
        <v>118</v>
      </c>
      <c r="C151" s="247" t="s">
        <v>119</v>
      </c>
      <c r="D151" s="247" t="s">
        <v>226</v>
      </c>
      <c r="E151" s="247" t="s">
        <v>223</v>
      </c>
      <c r="F151" s="248"/>
      <c r="G151" s="247" t="s">
        <v>135</v>
      </c>
      <c r="H151" s="247" t="s">
        <v>172</v>
      </c>
      <c r="I151" s="248" t="s">
        <v>105</v>
      </c>
      <c r="J151" s="300" t="s">
        <v>106</v>
      </c>
      <c r="K151" s="301">
        <v>733.01</v>
      </c>
      <c r="L151" s="302">
        <v>1001731.0</v>
      </c>
      <c r="M151" s="303">
        <v>109.95</v>
      </c>
      <c r="N151" s="250">
        <v>150257.0</v>
      </c>
      <c r="O151" s="249">
        <v>0.0</v>
      </c>
      <c r="P151" s="250">
        <v>0.0</v>
      </c>
      <c r="Q151" s="251">
        <f t="shared" ref="Q151:R151" si="500">M151-O151</f>
        <v>109.95</v>
      </c>
      <c r="R151" s="252">
        <f t="shared" si="500"/>
        <v>150257</v>
      </c>
      <c r="S151" s="253">
        <v>1366.6</v>
      </c>
      <c r="T151" s="254">
        <v>15.0</v>
      </c>
      <c r="U151" s="255" t="s">
        <v>107</v>
      </c>
      <c r="V151" s="255"/>
      <c r="W151" s="304">
        <v>1.2382</v>
      </c>
      <c r="X151" s="304">
        <v>0.0</v>
      </c>
      <c r="Y151" s="304">
        <v>1.2382</v>
      </c>
      <c r="Z151" s="305">
        <f>IFERROR(ROUND(K151/W151,0),0)</f>
        <v>592</v>
      </c>
      <c r="AA151" s="306">
        <f t="shared" ref="AA151:AA152" si="502">Z151*W151</f>
        <v>733.0144</v>
      </c>
      <c r="AB151" s="307">
        <f t="shared" ref="AB151:AB152" si="503">ROUND(AA151*S151,0)</f>
        <v>1001737</v>
      </c>
      <c r="AC151" s="308">
        <f t="shared" ref="AC151:AC152" si="504">AA151</f>
        <v>733.0144</v>
      </c>
      <c r="AD151" s="309">
        <f t="shared" si="493"/>
        <v>1001737</v>
      </c>
      <c r="AE151" s="425"/>
      <c r="AF151" s="425"/>
      <c r="AG151" s="310">
        <f t="shared" si="494"/>
        <v>733.01</v>
      </c>
      <c r="AH151" s="252">
        <f t="shared" si="495"/>
        <v>1001731</v>
      </c>
      <c r="AI151" s="306">
        <f t="shared" ref="AI151:AI152" si="505">ROUND(AC151*0.15,2)</f>
        <v>109.95</v>
      </c>
      <c r="AJ151" s="252">
        <f t="shared" ref="AJ151:AJ152" si="506">ROUND(AD151*0.15,0)</f>
        <v>150261</v>
      </c>
      <c r="AK151" s="426"/>
      <c r="AL151" s="426"/>
      <c r="AM151" s="426"/>
      <c r="AN151" s="426"/>
      <c r="AO151" s="426"/>
      <c r="AP151" s="426"/>
      <c r="AQ151" s="427"/>
      <c r="AR151" s="427"/>
      <c r="AS151" s="427"/>
      <c r="AT151" s="426"/>
      <c r="AU151" s="410"/>
      <c r="AV151" s="410"/>
      <c r="AW151" s="410"/>
      <c r="AX151" s="410"/>
      <c r="AY151" s="410"/>
      <c r="AZ151" s="410"/>
      <c r="BA151" s="410"/>
      <c r="BB151" s="410"/>
      <c r="BC151" s="410"/>
      <c r="BD151" s="410"/>
      <c r="BE151" s="410"/>
    </row>
    <row r="152" ht="12.75" customHeight="1">
      <c r="A152" s="245" t="s">
        <v>619</v>
      </c>
      <c r="B152" s="246" t="s">
        <v>118</v>
      </c>
      <c r="C152" s="247" t="s">
        <v>119</v>
      </c>
      <c r="D152" s="247" t="s">
        <v>226</v>
      </c>
      <c r="E152" s="247" t="s">
        <v>223</v>
      </c>
      <c r="F152" s="248"/>
      <c r="G152" s="247" t="s">
        <v>135</v>
      </c>
      <c r="H152" s="247" t="s">
        <v>172</v>
      </c>
      <c r="I152" s="248" t="s">
        <v>105</v>
      </c>
      <c r="J152" s="300" t="s">
        <v>106</v>
      </c>
      <c r="K152" s="314">
        <f t="shared" ref="K152:R152" si="501">-K151</f>
        <v>-733.01</v>
      </c>
      <c r="L152" s="309">
        <f t="shared" si="501"/>
        <v>-1001731</v>
      </c>
      <c r="M152" s="315">
        <f t="shared" si="501"/>
        <v>-109.95</v>
      </c>
      <c r="N152" s="252">
        <f t="shared" si="501"/>
        <v>-150257</v>
      </c>
      <c r="O152" s="251">
        <f t="shared" si="501"/>
        <v>0</v>
      </c>
      <c r="P152" s="252">
        <f t="shared" si="501"/>
        <v>0</v>
      </c>
      <c r="Q152" s="251">
        <f t="shared" si="501"/>
        <v>-109.95</v>
      </c>
      <c r="R152" s="252">
        <f t="shared" si="501"/>
        <v>-150257</v>
      </c>
      <c r="S152" s="253">
        <v>1366.6</v>
      </c>
      <c r="T152" s="254">
        <v>15.0</v>
      </c>
      <c r="U152" s="255" t="s">
        <v>107</v>
      </c>
      <c r="V152" s="255"/>
      <c r="W152" s="304">
        <v>1.2382</v>
      </c>
      <c r="X152" s="304">
        <v>0.0</v>
      </c>
      <c r="Y152" s="304">
        <v>1.2382</v>
      </c>
      <c r="Z152" s="305">
        <f>-Z151</f>
        <v>-592</v>
      </c>
      <c r="AA152" s="306">
        <f t="shared" si="502"/>
        <v>-733.0144</v>
      </c>
      <c r="AB152" s="307">
        <f t="shared" si="503"/>
        <v>-1001737</v>
      </c>
      <c r="AC152" s="308">
        <f t="shared" si="504"/>
        <v>-733.0144</v>
      </c>
      <c r="AD152" s="309">
        <f t="shared" si="493"/>
        <v>-1001737</v>
      </c>
      <c r="AE152" s="425"/>
      <c r="AF152" s="425"/>
      <c r="AG152" s="310">
        <f t="shared" si="494"/>
        <v>-733.01</v>
      </c>
      <c r="AH152" s="252">
        <f t="shared" si="495"/>
        <v>-1001731</v>
      </c>
      <c r="AI152" s="306">
        <f t="shared" si="505"/>
        <v>-109.95</v>
      </c>
      <c r="AJ152" s="252">
        <f t="shared" si="506"/>
        <v>-150261</v>
      </c>
      <c r="AK152" s="426"/>
      <c r="AL152" s="426"/>
      <c r="AM152" s="426"/>
      <c r="AN152" s="426"/>
      <c r="AO152" s="426"/>
      <c r="AP152" s="426"/>
      <c r="AQ152" s="427"/>
      <c r="AR152" s="427"/>
      <c r="AS152" s="427"/>
      <c r="AT152" s="426"/>
      <c r="AU152" s="410"/>
      <c r="AV152" s="410"/>
      <c r="AW152" s="410"/>
      <c r="AX152" s="410"/>
      <c r="AY152" s="410"/>
      <c r="AZ152" s="410"/>
      <c r="BA152" s="410"/>
      <c r="BB152" s="410"/>
      <c r="BC152" s="410"/>
      <c r="BD152" s="410"/>
      <c r="BE152" s="410"/>
    </row>
    <row r="153" ht="12.75" customHeight="1">
      <c r="A153" s="256" t="s">
        <v>620</v>
      </c>
      <c r="B153" s="257" t="s">
        <v>118</v>
      </c>
      <c r="C153" s="258" t="s">
        <v>119</v>
      </c>
      <c r="D153" s="258" t="s">
        <v>226</v>
      </c>
      <c r="E153" s="258" t="s">
        <v>223</v>
      </c>
      <c r="F153" s="259"/>
      <c r="G153" s="258" t="s">
        <v>135</v>
      </c>
      <c r="H153" s="258" t="s">
        <v>172</v>
      </c>
      <c r="I153" s="259" t="s">
        <v>105</v>
      </c>
      <c r="J153" s="316" t="s">
        <v>106</v>
      </c>
      <c r="K153" s="317">
        <f>ROUND(M153/0.15,2)</f>
        <v>0</v>
      </c>
      <c r="L153" s="318">
        <f>ROUND(N153/0.15,0)</f>
        <v>-7</v>
      </c>
      <c r="M153" s="319">
        <f t="shared" ref="M153:N153" si="507">Q153</f>
        <v>0</v>
      </c>
      <c r="N153" s="261">
        <f t="shared" si="507"/>
        <v>-1</v>
      </c>
      <c r="O153" s="262">
        <v>109.95</v>
      </c>
      <c r="P153" s="263">
        <v>150258.0</v>
      </c>
      <c r="Q153" s="260">
        <f t="shared" ref="Q153:R153" si="508">M151-O153</f>
        <v>0</v>
      </c>
      <c r="R153" s="261">
        <f t="shared" si="508"/>
        <v>-1</v>
      </c>
      <c r="S153" s="264">
        <v>1366.6</v>
      </c>
      <c r="T153" s="265">
        <v>15.0</v>
      </c>
      <c r="U153" s="266" t="s">
        <v>107</v>
      </c>
      <c r="V153" s="266" t="s">
        <v>1335</v>
      </c>
      <c r="W153" s="320">
        <v>1.2382</v>
      </c>
      <c r="X153" s="320">
        <v>0.0</v>
      </c>
      <c r="Y153" s="320">
        <v>1.2382</v>
      </c>
      <c r="Z153" s="321">
        <f>Z151</f>
        <v>592</v>
      </c>
      <c r="AA153" s="426"/>
      <c r="AB153" s="428"/>
      <c r="AC153" s="323">
        <f>IFERROR(ROUND(Z153*X153,2),0)</f>
        <v>0</v>
      </c>
      <c r="AD153" s="318">
        <f t="shared" si="493"/>
        <v>0</v>
      </c>
      <c r="AE153" s="429"/>
      <c r="AF153" s="429"/>
      <c r="AG153" s="324">
        <f t="shared" si="494"/>
        <v>733.01</v>
      </c>
      <c r="AH153" s="261">
        <f t="shared" si="495"/>
        <v>1001731</v>
      </c>
      <c r="AI153" s="426"/>
      <c r="AJ153" s="426"/>
      <c r="AK153" s="325">
        <f>ROUND(AC153*0.15,2)</f>
        <v>0</v>
      </c>
      <c r="AL153" s="261">
        <f>ROUND(AD153*0.15,0)</f>
        <v>0</v>
      </c>
      <c r="AM153" s="325"/>
      <c r="AN153" s="325"/>
      <c r="AO153" s="325">
        <f>ROUND(AG153*0.15,2)</f>
        <v>109.95</v>
      </c>
      <c r="AP153" s="261">
        <f>ROUND(AH153*0.15,0)</f>
        <v>150260</v>
      </c>
      <c r="AQ153" s="326"/>
      <c r="AR153" s="326"/>
      <c r="AS153" s="326">
        <f>IFERROR(AC153/K153,IFERROR(AO153/O153,""))</f>
        <v>1</v>
      </c>
      <c r="AT153" s="426"/>
      <c r="AU153" s="410"/>
      <c r="AV153" s="410"/>
      <c r="AW153" s="410"/>
      <c r="AX153" s="410"/>
      <c r="AY153" s="410"/>
      <c r="AZ153" s="410"/>
      <c r="BA153" s="410"/>
      <c r="BB153" s="410"/>
      <c r="BC153" s="410"/>
      <c r="BD153" s="410"/>
      <c r="BE153" s="410"/>
    </row>
    <row r="154" ht="12.75" customHeight="1">
      <c r="A154" s="245" t="s">
        <v>622</v>
      </c>
      <c r="B154" s="246" t="s">
        <v>118</v>
      </c>
      <c r="C154" s="247" t="s">
        <v>119</v>
      </c>
      <c r="D154" s="247" t="s">
        <v>227</v>
      </c>
      <c r="E154" s="247" t="s">
        <v>226</v>
      </c>
      <c r="F154" s="248"/>
      <c r="G154" s="247" t="s">
        <v>116</v>
      </c>
      <c r="H154" s="247" t="s">
        <v>117</v>
      </c>
      <c r="I154" s="248" t="s">
        <v>105</v>
      </c>
      <c r="J154" s="300" t="s">
        <v>106</v>
      </c>
      <c r="K154" s="301">
        <v>524.97</v>
      </c>
      <c r="L154" s="302">
        <v>718158.0</v>
      </c>
      <c r="M154" s="303">
        <v>78.74</v>
      </c>
      <c r="N154" s="250">
        <v>107716.0</v>
      </c>
      <c r="O154" s="249">
        <v>0.0</v>
      </c>
      <c r="P154" s="250">
        <v>0.0</v>
      </c>
      <c r="Q154" s="251">
        <f t="shared" ref="Q154:R154" si="509">M154-O154</f>
        <v>78.74</v>
      </c>
      <c r="R154" s="252">
        <f t="shared" si="509"/>
        <v>107716</v>
      </c>
      <c r="S154" s="253">
        <v>1368.0</v>
      </c>
      <c r="T154" s="254">
        <v>15.0</v>
      </c>
      <c r="U154" s="255" t="s">
        <v>107</v>
      </c>
      <c r="V154" s="255"/>
      <c r="W154" s="304">
        <v>0.861112</v>
      </c>
      <c r="X154" s="304">
        <v>0.861112</v>
      </c>
      <c r="Y154" s="304">
        <v>0.0</v>
      </c>
      <c r="Z154" s="305">
        <f>IFERROR(ROUND(K154/W154,0),0)</f>
        <v>610</v>
      </c>
      <c r="AA154" s="306">
        <f t="shared" ref="AA154:AA155" si="511">Z154*W154</f>
        <v>525.27832</v>
      </c>
      <c r="AB154" s="307">
        <f t="shared" ref="AB154:AB155" si="512">ROUND(AA154*S154,0)</f>
        <v>718581</v>
      </c>
      <c r="AC154" s="308">
        <f t="shared" ref="AC154:AC155" si="513">AA154</f>
        <v>525.27832</v>
      </c>
      <c r="AD154" s="309">
        <f t="shared" si="493"/>
        <v>718581</v>
      </c>
      <c r="AE154" s="425"/>
      <c r="AF154" s="425"/>
      <c r="AG154" s="310">
        <f t="shared" si="494"/>
        <v>0</v>
      </c>
      <c r="AH154" s="252">
        <f t="shared" si="495"/>
        <v>0</v>
      </c>
      <c r="AI154" s="306">
        <f t="shared" ref="AI154:AI155" si="514">ROUND(AC154*0.15,2)</f>
        <v>78.79</v>
      </c>
      <c r="AJ154" s="252">
        <f t="shared" ref="AJ154:AJ155" si="515">ROUND(AD154*0.15,0)</f>
        <v>107787</v>
      </c>
      <c r="AK154" s="426"/>
      <c r="AL154" s="426"/>
      <c r="AM154" s="426"/>
      <c r="AN154" s="426"/>
      <c r="AO154" s="426"/>
      <c r="AP154" s="426"/>
      <c r="AQ154" s="427"/>
      <c r="AR154" s="427"/>
      <c r="AS154" s="427"/>
      <c r="AT154" s="430" t="s">
        <v>1274</v>
      </c>
      <c r="AU154" s="431"/>
      <c r="AV154" s="431"/>
      <c r="AW154" s="431"/>
      <c r="AX154" s="431"/>
      <c r="AY154" s="431"/>
      <c r="AZ154" s="431"/>
      <c r="BA154" s="431"/>
      <c r="BB154" s="431"/>
      <c r="BC154" s="431"/>
      <c r="BD154" s="431"/>
      <c r="BE154" s="431"/>
    </row>
    <row r="155" ht="12.75" customHeight="1">
      <c r="A155" s="245" t="s">
        <v>623</v>
      </c>
      <c r="B155" s="246" t="s">
        <v>118</v>
      </c>
      <c r="C155" s="247" t="s">
        <v>119</v>
      </c>
      <c r="D155" s="247" t="s">
        <v>227</v>
      </c>
      <c r="E155" s="247" t="s">
        <v>226</v>
      </c>
      <c r="F155" s="248"/>
      <c r="G155" s="247" t="s">
        <v>116</v>
      </c>
      <c r="H155" s="247" t="s">
        <v>117</v>
      </c>
      <c r="I155" s="248" t="s">
        <v>105</v>
      </c>
      <c r="J155" s="300" t="s">
        <v>106</v>
      </c>
      <c r="K155" s="314">
        <f t="shared" ref="K155:R155" si="510">-K154</f>
        <v>-524.97</v>
      </c>
      <c r="L155" s="309">
        <f t="shared" si="510"/>
        <v>-718158</v>
      </c>
      <c r="M155" s="315">
        <f t="shared" si="510"/>
        <v>-78.74</v>
      </c>
      <c r="N155" s="252">
        <f t="shared" si="510"/>
        <v>-107716</v>
      </c>
      <c r="O155" s="251">
        <f t="shared" si="510"/>
        <v>0</v>
      </c>
      <c r="P155" s="252">
        <f t="shared" si="510"/>
        <v>0</v>
      </c>
      <c r="Q155" s="251">
        <f t="shared" si="510"/>
        <v>-78.74</v>
      </c>
      <c r="R155" s="252">
        <f t="shared" si="510"/>
        <v>-107716</v>
      </c>
      <c r="S155" s="253">
        <v>1368.0</v>
      </c>
      <c r="T155" s="254">
        <v>15.0</v>
      </c>
      <c r="U155" s="255" t="s">
        <v>107</v>
      </c>
      <c r="V155" s="255"/>
      <c r="W155" s="304">
        <v>0.861112</v>
      </c>
      <c r="X155" s="304">
        <v>0.861112</v>
      </c>
      <c r="Y155" s="304">
        <v>0.0</v>
      </c>
      <c r="Z155" s="305">
        <f>-Z154</f>
        <v>-610</v>
      </c>
      <c r="AA155" s="306">
        <f t="shared" si="511"/>
        <v>-525.27832</v>
      </c>
      <c r="AB155" s="307">
        <f t="shared" si="512"/>
        <v>-718581</v>
      </c>
      <c r="AC155" s="308">
        <f t="shared" si="513"/>
        <v>-525.27832</v>
      </c>
      <c r="AD155" s="309">
        <f t="shared" si="493"/>
        <v>-718581</v>
      </c>
      <c r="AE155" s="425"/>
      <c r="AF155" s="425"/>
      <c r="AG155" s="310">
        <f t="shared" si="494"/>
        <v>0</v>
      </c>
      <c r="AH155" s="252">
        <f t="shared" si="495"/>
        <v>0</v>
      </c>
      <c r="AI155" s="306">
        <f t="shared" si="514"/>
        <v>-78.79</v>
      </c>
      <c r="AJ155" s="252">
        <f t="shared" si="515"/>
        <v>-107787</v>
      </c>
      <c r="AK155" s="426"/>
      <c r="AL155" s="426"/>
      <c r="AM155" s="426"/>
      <c r="AN155" s="426"/>
      <c r="AO155" s="426"/>
      <c r="AP155" s="426"/>
      <c r="AQ155" s="427"/>
      <c r="AR155" s="427"/>
      <c r="AS155" s="427"/>
      <c r="AT155" s="430" t="s">
        <v>1274</v>
      </c>
      <c r="AU155" s="431"/>
      <c r="AV155" s="431"/>
      <c r="AW155" s="431"/>
      <c r="AX155" s="431"/>
      <c r="AY155" s="431"/>
      <c r="AZ155" s="431"/>
      <c r="BA155" s="431"/>
      <c r="BB155" s="431"/>
      <c r="BC155" s="431"/>
      <c r="BD155" s="431"/>
      <c r="BE155" s="431"/>
    </row>
    <row r="156" ht="12.75" customHeight="1">
      <c r="A156" s="256" t="s">
        <v>624</v>
      </c>
      <c r="B156" s="257" t="s">
        <v>118</v>
      </c>
      <c r="C156" s="258" t="s">
        <v>119</v>
      </c>
      <c r="D156" s="258" t="s">
        <v>227</v>
      </c>
      <c r="E156" s="258" t="s">
        <v>226</v>
      </c>
      <c r="F156" s="259"/>
      <c r="G156" s="258" t="s">
        <v>116</v>
      </c>
      <c r="H156" s="258" t="s">
        <v>117</v>
      </c>
      <c r="I156" s="259" t="s">
        <v>105</v>
      </c>
      <c r="J156" s="316" t="s">
        <v>106</v>
      </c>
      <c r="K156" s="317">
        <f>ROUND(M156/0.15,2)</f>
        <v>503.07</v>
      </c>
      <c r="L156" s="318">
        <f>ROUND(N156/0.15,0)</f>
        <v>688193</v>
      </c>
      <c r="M156" s="319">
        <f t="shared" ref="M156:N156" si="516">Q156</f>
        <v>75.46</v>
      </c>
      <c r="N156" s="261">
        <f t="shared" si="516"/>
        <v>103229</v>
      </c>
      <c r="O156" s="262">
        <v>3.28</v>
      </c>
      <c r="P156" s="263">
        <v>4487.0</v>
      </c>
      <c r="Q156" s="260">
        <f t="shared" ref="Q156:R156" si="517">M154-O156</f>
        <v>75.46</v>
      </c>
      <c r="R156" s="261">
        <f t="shared" si="517"/>
        <v>103229</v>
      </c>
      <c r="S156" s="264">
        <v>1368.0</v>
      </c>
      <c r="T156" s="265">
        <v>15.0</v>
      </c>
      <c r="U156" s="266" t="s">
        <v>107</v>
      </c>
      <c r="V156" s="266" t="s">
        <v>1336</v>
      </c>
      <c r="W156" s="320">
        <v>0.861112</v>
      </c>
      <c r="X156" s="320">
        <v>0.861112</v>
      </c>
      <c r="Y156" s="320">
        <v>0.0</v>
      </c>
      <c r="Z156" s="321">
        <f>Z154</f>
        <v>610</v>
      </c>
      <c r="AA156" s="426"/>
      <c r="AB156" s="428"/>
      <c r="AC156" s="432">
        <f t="shared" ref="AC156:AD156" si="518">K156</f>
        <v>503.07</v>
      </c>
      <c r="AD156" s="433">
        <f t="shared" si="518"/>
        <v>688193</v>
      </c>
      <c r="AE156" s="434"/>
      <c r="AF156" s="434"/>
      <c r="AG156" s="348">
        <f t="shared" ref="AG156:AH156" si="519">round(AO156/0.15,2)</f>
        <v>21.87</v>
      </c>
      <c r="AH156" s="348">
        <f t="shared" si="519"/>
        <v>29913.33</v>
      </c>
      <c r="AI156" s="435"/>
      <c r="AJ156" s="435"/>
      <c r="AK156" s="436">
        <f>ROUND(AC156*0.15,2)</f>
        <v>75.46</v>
      </c>
      <c r="AL156" s="437">
        <f>ROUND(AD156*0.15,0)</f>
        <v>103229</v>
      </c>
      <c r="AM156" s="436"/>
      <c r="AN156" s="436"/>
      <c r="AO156" s="436">
        <f t="shared" ref="AO156:AP156" si="520">O156</f>
        <v>3.28</v>
      </c>
      <c r="AP156" s="436">
        <f t="shared" si="520"/>
        <v>4487</v>
      </c>
      <c r="AQ156" s="438"/>
      <c r="AR156" s="438"/>
      <c r="AS156" s="438">
        <f>IFERROR(AC156/K156,IFERROR(AO156/O156,""))</f>
        <v>1</v>
      </c>
      <c r="AT156" s="430" t="s">
        <v>1274</v>
      </c>
      <c r="AU156" s="431"/>
      <c r="AV156" s="431"/>
      <c r="AW156" s="431"/>
      <c r="AX156" s="431"/>
      <c r="AY156" s="431"/>
      <c r="AZ156" s="431"/>
      <c r="BA156" s="431"/>
      <c r="BB156" s="431"/>
      <c r="BC156" s="431"/>
      <c r="BD156" s="431"/>
      <c r="BE156" s="431"/>
    </row>
    <row r="157" ht="12.75" customHeight="1">
      <c r="A157" s="439" t="s">
        <v>1337</v>
      </c>
      <c r="B157" s="440" t="str">
        <f t="shared" ref="B157:J157" si="521">B156</f>
        <v>미래에셋증권</v>
      </c>
      <c r="C157" s="441" t="str">
        <f t="shared" si="521"/>
        <v>584-2176-0816-0</v>
      </c>
      <c r="D157" s="441" t="str">
        <f t="shared" si="521"/>
        <v>2025-07-09</v>
      </c>
      <c r="E157" s="441" t="str">
        <f t="shared" si="521"/>
        <v>2025-07-08</v>
      </c>
      <c r="F157" s="441" t="str">
        <f t="shared" si="521"/>
        <v/>
      </c>
      <c r="G157" s="441" t="str">
        <f t="shared" si="521"/>
        <v>BITO</v>
      </c>
      <c r="H157" s="441" t="str">
        <f t="shared" si="521"/>
        <v>PROSHARES BITCOIN ETF</v>
      </c>
      <c r="I157" s="441" t="str">
        <f t="shared" si="521"/>
        <v>배당소득</v>
      </c>
      <c r="J157" s="440" t="str">
        <f t="shared" si="521"/>
        <v>USD</v>
      </c>
      <c r="K157" s="442"/>
      <c r="L157" s="443"/>
      <c r="M157" s="444"/>
      <c r="N157" s="445"/>
      <c r="O157" s="446"/>
      <c r="P157" s="447"/>
      <c r="Q157" s="446"/>
      <c r="R157" s="448"/>
      <c r="S157" s="449"/>
      <c r="T157" s="450"/>
      <c r="U157" s="451"/>
      <c r="V157" s="451"/>
      <c r="W157" s="452"/>
      <c r="X157" s="452"/>
      <c r="Y157" s="452"/>
      <c r="Z157" s="448"/>
      <c r="AA157" s="446"/>
      <c r="AB157" s="453"/>
      <c r="AC157" s="454"/>
      <c r="AD157" s="455"/>
      <c r="AE157" s="456"/>
      <c r="AF157" s="457"/>
      <c r="AG157" s="458">
        <f>IFERROR(ROUND(AO157/0.15,2),0)</f>
        <v>-21.87</v>
      </c>
      <c r="AH157" s="458">
        <f>IFERROR(ROUND(AP157/0.15,0),0)</f>
        <v>-29913</v>
      </c>
      <c r="AI157" s="457"/>
      <c r="AJ157" s="459"/>
      <c r="AK157" s="457"/>
      <c r="AL157" s="459"/>
      <c r="AM157" s="457"/>
      <c r="AN157" s="457"/>
      <c r="AO157" s="460">
        <f t="shared" ref="AO157:AP157" si="522">-AO156</f>
        <v>-3.28</v>
      </c>
      <c r="AP157" s="460">
        <f t="shared" si="522"/>
        <v>-4487</v>
      </c>
      <c r="AQ157" s="459"/>
      <c r="AR157" s="459"/>
      <c r="AS157" s="459"/>
      <c r="AT157" s="430" t="s">
        <v>1274</v>
      </c>
      <c r="AU157" s="431"/>
      <c r="AV157" s="431"/>
      <c r="AW157" s="431"/>
      <c r="AX157" s="431"/>
      <c r="AY157" s="431"/>
      <c r="AZ157" s="431"/>
      <c r="BA157" s="431"/>
      <c r="BB157" s="431"/>
      <c r="BC157" s="431"/>
      <c r="BD157" s="431"/>
      <c r="BE157" s="431"/>
    </row>
    <row r="158" ht="12.75" customHeight="1">
      <c r="A158" s="439" t="s">
        <v>1338</v>
      </c>
      <c r="B158" s="440" t="str">
        <f t="shared" ref="B158:J158" si="523">B157</f>
        <v>미래에셋증권</v>
      </c>
      <c r="C158" s="441" t="str">
        <f t="shared" si="523"/>
        <v>584-2176-0816-0</v>
      </c>
      <c r="D158" s="441" t="str">
        <f t="shared" si="523"/>
        <v>2025-07-09</v>
      </c>
      <c r="E158" s="441" t="str">
        <f t="shared" si="523"/>
        <v>2025-07-08</v>
      </c>
      <c r="F158" s="441" t="str">
        <f t="shared" si="523"/>
        <v/>
      </c>
      <c r="G158" s="441" t="str">
        <f t="shared" si="523"/>
        <v>BITO</v>
      </c>
      <c r="H158" s="441" t="str">
        <f t="shared" si="523"/>
        <v>PROSHARES BITCOIN ETF</v>
      </c>
      <c r="I158" s="441" t="str">
        <f t="shared" si="523"/>
        <v>배당소득</v>
      </c>
      <c r="J158" s="440" t="str">
        <f t="shared" si="523"/>
        <v>USD</v>
      </c>
      <c r="K158" s="442"/>
      <c r="L158" s="443"/>
      <c r="M158" s="444"/>
      <c r="N158" s="445"/>
      <c r="O158" s="446"/>
      <c r="P158" s="447"/>
      <c r="Q158" s="446"/>
      <c r="R158" s="448"/>
      <c r="S158" s="449"/>
      <c r="T158" s="450"/>
      <c r="U158" s="451"/>
      <c r="V158" s="451"/>
      <c r="W158" s="452"/>
      <c r="X158" s="452"/>
      <c r="Y158" s="452"/>
      <c r="Z158" s="448"/>
      <c r="AA158" s="446"/>
      <c r="AB158" s="453"/>
      <c r="AC158" s="454"/>
      <c r="AD158" s="461"/>
      <c r="AE158" s="462">
        <f>IFERROR(ROUND(AM158/0.15,2),0)</f>
        <v>21.87</v>
      </c>
      <c r="AF158" s="458">
        <f>IFERROR(ROUND(AN158/0.15,0),0)</f>
        <v>29913</v>
      </c>
      <c r="AG158" s="467"/>
      <c r="AH158" s="467"/>
      <c r="AI158" s="457"/>
      <c r="AJ158" s="459"/>
      <c r="AK158" s="457"/>
      <c r="AL158" s="459"/>
      <c r="AM158" s="460">
        <f t="shared" ref="AM158:AN158" si="524">AO156</f>
        <v>3.28</v>
      </c>
      <c r="AN158" s="460">
        <f t="shared" si="524"/>
        <v>4487</v>
      </c>
      <c r="AO158" s="457"/>
      <c r="AP158" s="465"/>
      <c r="AQ158" s="466">
        <f>AF158</f>
        <v>29913</v>
      </c>
      <c r="AR158" s="466">
        <f>ROUND(AQ158*0.14,0)</f>
        <v>4188</v>
      </c>
      <c r="AS158" s="459"/>
      <c r="AT158" s="430" t="s">
        <v>1274</v>
      </c>
      <c r="AU158" s="431"/>
      <c r="AV158" s="431"/>
      <c r="AW158" s="431"/>
      <c r="AX158" s="431"/>
      <c r="AY158" s="431"/>
      <c r="AZ158" s="431"/>
      <c r="BA158" s="431"/>
      <c r="BB158" s="431"/>
      <c r="BC158" s="431"/>
      <c r="BD158" s="431"/>
      <c r="BE158" s="431"/>
    </row>
    <row r="159" ht="12.75" customHeight="1">
      <c r="A159" s="267" t="s">
        <v>626</v>
      </c>
      <c r="B159" s="268" t="s">
        <v>118</v>
      </c>
      <c r="C159" s="269" t="s">
        <v>119</v>
      </c>
      <c r="D159" s="269" t="s">
        <v>227</v>
      </c>
      <c r="E159" s="269" t="s">
        <v>226</v>
      </c>
      <c r="F159" s="270"/>
      <c r="G159" s="269" t="s">
        <v>228</v>
      </c>
      <c r="H159" s="270" t="s">
        <v>229</v>
      </c>
      <c r="I159" s="270" t="s">
        <v>105</v>
      </c>
      <c r="J159" s="354" t="s">
        <v>106</v>
      </c>
      <c r="K159" s="355">
        <v>8.91</v>
      </c>
      <c r="L159" s="356">
        <v>12188.0</v>
      </c>
      <c r="M159" s="357">
        <v>1.34</v>
      </c>
      <c r="N159" s="272">
        <v>1833.0</v>
      </c>
      <c r="O159" s="271">
        <v>0.0</v>
      </c>
      <c r="P159" s="272">
        <v>0.0</v>
      </c>
      <c r="Q159" s="273">
        <f t="shared" ref="Q159:R159" si="525">M159-O159</f>
        <v>1.34</v>
      </c>
      <c r="R159" s="274">
        <f t="shared" si="525"/>
        <v>1833</v>
      </c>
      <c r="S159" s="275">
        <v>1368.0</v>
      </c>
      <c r="T159" s="276">
        <v>15.0</v>
      </c>
      <c r="U159" s="277" t="s">
        <v>107</v>
      </c>
      <c r="V159" s="277"/>
      <c r="W159" s="468"/>
      <c r="X159" s="468"/>
      <c r="Y159" s="468"/>
      <c r="Z159" s="468"/>
      <c r="AA159" s="468"/>
      <c r="AB159" s="469"/>
      <c r="AC159" s="470">
        <f t="shared" ref="AC159:AD159" si="526">K159</f>
        <v>8.91</v>
      </c>
      <c r="AD159" s="471">
        <f t="shared" si="526"/>
        <v>12188</v>
      </c>
      <c r="AE159" s="472"/>
      <c r="AF159" s="472"/>
      <c r="AG159" s="473"/>
      <c r="AH159" s="468"/>
      <c r="AI159" s="468"/>
      <c r="AJ159" s="468"/>
      <c r="AK159" s="474">
        <f t="shared" ref="AK159:AL159" si="527">Q159</f>
        <v>1.34</v>
      </c>
      <c r="AL159" s="475">
        <f t="shared" si="527"/>
        <v>1833</v>
      </c>
      <c r="AM159" s="468"/>
      <c r="AN159" s="468"/>
      <c r="AO159" s="468"/>
      <c r="AP159" s="468"/>
      <c r="AQ159" s="476"/>
      <c r="AR159" s="476"/>
      <c r="AS159" s="476"/>
      <c r="AT159" s="468"/>
      <c r="AU159" s="477"/>
      <c r="AV159" s="477"/>
      <c r="AW159" s="477"/>
      <c r="AX159" s="477"/>
      <c r="AY159" s="477"/>
      <c r="AZ159" s="477"/>
      <c r="BA159" s="477"/>
      <c r="BB159" s="477"/>
      <c r="BC159" s="477"/>
      <c r="BD159" s="477"/>
      <c r="BE159" s="477"/>
    </row>
    <row r="160" ht="12.75" customHeight="1">
      <c r="A160" s="267" t="s">
        <v>627</v>
      </c>
      <c r="B160" s="268" t="s">
        <v>118</v>
      </c>
      <c r="C160" s="269" t="s">
        <v>119</v>
      </c>
      <c r="D160" s="269" t="s">
        <v>230</v>
      </c>
      <c r="E160" s="269" t="s">
        <v>231</v>
      </c>
      <c r="F160" s="270"/>
      <c r="G160" s="269" t="s">
        <v>183</v>
      </c>
      <c r="H160" s="270" t="s">
        <v>184</v>
      </c>
      <c r="I160" s="270" t="s">
        <v>105</v>
      </c>
      <c r="J160" s="354" t="s">
        <v>106</v>
      </c>
      <c r="K160" s="355">
        <v>0.83</v>
      </c>
      <c r="L160" s="356">
        <v>1139.0</v>
      </c>
      <c r="M160" s="357">
        <v>0.12</v>
      </c>
      <c r="N160" s="272">
        <v>164.0</v>
      </c>
      <c r="O160" s="271">
        <v>0.0</v>
      </c>
      <c r="P160" s="272">
        <v>0.0</v>
      </c>
      <c r="Q160" s="273">
        <f t="shared" ref="Q160:R160" si="528">M160-O160</f>
        <v>0.12</v>
      </c>
      <c r="R160" s="274">
        <f t="shared" si="528"/>
        <v>164</v>
      </c>
      <c r="S160" s="275">
        <v>1373.0</v>
      </c>
      <c r="T160" s="276">
        <v>15.0</v>
      </c>
      <c r="U160" s="277" t="s">
        <v>107</v>
      </c>
      <c r="V160" s="277"/>
      <c r="W160" s="468"/>
      <c r="X160" s="468"/>
      <c r="Y160" s="468"/>
      <c r="Z160" s="468"/>
      <c r="AA160" s="468"/>
      <c r="AB160" s="469"/>
      <c r="AC160" s="470">
        <f t="shared" ref="AC160:AD160" si="529">K160</f>
        <v>0.83</v>
      </c>
      <c r="AD160" s="471">
        <f t="shared" si="529"/>
        <v>1139</v>
      </c>
      <c r="AE160" s="472"/>
      <c r="AF160" s="472"/>
      <c r="AG160" s="473"/>
      <c r="AH160" s="468"/>
      <c r="AI160" s="468"/>
      <c r="AJ160" s="468"/>
      <c r="AK160" s="474">
        <f t="shared" ref="AK160:AL160" si="530">Q160</f>
        <v>0.12</v>
      </c>
      <c r="AL160" s="475">
        <f t="shared" si="530"/>
        <v>164</v>
      </c>
      <c r="AM160" s="468"/>
      <c r="AN160" s="468"/>
      <c r="AO160" s="468"/>
      <c r="AP160" s="468"/>
      <c r="AQ160" s="476"/>
      <c r="AR160" s="476"/>
      <c r="AS160" s="476"/>
      <c r="AT160" s="468"/>
      <c r="AU160" s="477"/>
      <c r="AV160" s="477"/>
      <c r="AW160" s="477"/>
      <c r="AX160" s="477"/>
      <c r="AY160" s="477"/>
      <c r="AZ160" s="477"/>
      <c r="BA160" s="477"/>
      <c r="BB160" s="477"/>
      <c r="BC160" s="477"/>
      <c r="BD160" s="477"/>
      <c r="BE160" s="477"/>
    </row>
    <row r="161" ht="12.75" customHeight="1">
      <c r="A161" s="245" t="s">
        <v>628</v>
      </c>
      <c r="B161" s="246" t="s">
        <v>118</v>
      </c>
      <c r="C161" s="247" t="s">
        <v>119</v>
      </c>
      <c r="D161" s="247" t="s">
        <v>232</v>
      </c>
      <c r="E161" s="247" t="s">
        <v>230</v>
      </c>
      <c r="F161" s="248"/>
      <c r="G161" s="247" t="s">
        <v>139</v>
      </c>
      <c r="H161" s="247" t="s">
        <v>180</v>
      </c>
      <c r="I161" s="248" t="s">
        <v>105</v>
      </c>
      <c r="J161" s="300" t="s">
        <v>106</v>
      </c>
      <c r="K161" s="301">
        <v>387.3</v>
      </c>
      <c r="L161" s="302">
        <v>532421.0</v>
      </c>
      <c r="M161" s="303">
        <v>58.1</v>
      </c>
      <c r="N161" s="250">
        <v>79870.0</v>
      </c>
      <c r="O161" s="249">
        <v>0.0</v>
      </c>
      <c r="P161" s="250">
        <v>0.0</v>
      </c>
      <c r="Q161" s="251">
        <f t="shared" ref="Q161:R161" si="531">M161-O161</f>
        <v>58.1</v>
      </c>
      <c r="R161" s="252">
        <f t="shared" si="531"/>
        <v>79870</v>
      </c>
      <c r="S161" s="253">
        <v>1374.7</v>
      </c>
      <c r="T161" s="254">
        <v>15.0</v>
      </c>
      <c r="U161" s="255" t="s">
        <v>107</v>
      </c>
      <c r="V161" s="255"/>
      <c r="W161" s="304">
        <v>0.3873</v>
      </c>
      <c r="X161" s="304">
        <v>0.10469</v>
      </c>
      <c r="Y161" s="304">
        <v>0.28261</v>
      </c>
      <c r="Z161" s="305">
        <f>IFERROR(ROUND(K161/W161,0),0)</f>
        <v>1000</v>
      </c>
      <c r="AA161" s="306">
        <f t="shared" ref="AA161:AA162" si="533">Z161*W161</f>
        <v>387.3</v>
      </c>
      <c r="AB161" s="307">
        <f t="shared" ref="AB161:AB162" si="534">ROUND(AA161*S161,0)</f>
        <v>532421</v>
      </c>
      <c r="AC161" s="308">
        <f t="shared" ref="AC161:AC162" si="535">AA161</f>
        <v>387.3</v>
      </c>
      <c r="AD161" s="309">
        <f t="shared" ref="AD161:AD163" si="536">ROUND(AC161*S161,0)</f>
        <v>532421</v>
      </c>
      <c r="AE161" s="425"/>
      <c r="AF161" s="425"/>
      <c r="AG161" s="310">
        <f t="shared" ref="AG161:AG163" si="537">IFERROR(ROUND(Z161*Y161,2),0)</f>
        <v>282.61</v>
      </c>
      <c r="AH161" s="252">
        <f t="shared" ref="AH161:AH163" si="538">ROUND(AG161*S161,0)</f>
        <v>388504</v>
      </c>
      <c r="AI161" s="306">
        <f t="shared" ref="AI161:AI162" si="539">ROUND(AC161*0.15,2)</f>
        <v>58.1</v>
      </c>
      <c r="AJ161" s="252">
        <f t="shared" ref="AJ161:AJ162" si="540">ROUND(AD161*0.15,0)</f>
        <v>79863</v>
      </c>
      <c r="AK161" s="426"/>
      <c r="AL161" s="426"/>
      <c r="AM161" s="426"/>
      <c r="AN161" s="426"/>
      <c r="AO161" s="426"/>
      <c r="AP161" s="426"/>
      <c r="AQ161" s="427"/>
      <c r="AR161" s="427"/>
      <c r="AS161" s="427"/>
      <c r="AT161" s="426"/>
      <c r="AU161" s="410"/>
      <c r="AV161" s="410"/>
      <c r="AW161" s="410"/>
      <c r="AX161" s="410"/>
      <c r="AY161" s="410"/>
      <c r="AZ161" s="410"/>
      <c r="BA161" s="410"/>
      <c r="BB161" s="410"/>
      <c r="BC161" s="410"/>
      <c r="BD161" s="410"/>
      <c r="BE161" s="410"/>
    </row>
    <row r="162" ht="12.75" customHeight="1">
      <c r="A162" s="245" t="s">
        <v>629</v>
      </c>
      <c r="B162" s="246" t="s">
        <v>118</v>
      </c>
      <c r="C162" s="247" t="s">
        <v>119</v>
      </c>
      <c r="D162" s="247" t="s">
        <v>232</v>
      </c>
      <c r="E162" s="247" t="s">
        <v>230</v>
      </c>
      <c r="F162" s="248"/>
      <c r="G162" s="247" t="s">
        <v>139</v>
      </c>
      <c r="H162" s="247" t="s">
        <v>180</v>
      </c>
      <c r="I162" s="248" t="s">
        <v>105</v>
      </c>
      <c r="J162" s="300" t="s">
        <v>106</v>
      </c>
      <c r="K162" s="314">
        <f t="shared" ref="K162:R162" si="532">-K161</f>
        <v>-387.3</v>
      </c>
      <c r="L162" s="309">
        <f t="shared" si="532"/>
        <v>-532421</v>
      </c>
      <c r="M162" s="315">
        <f t="shared" si="532"/>
        <v>-58.1</v>
      </c>
      <c r="N162" s="252">
        <f t="shared" si="532"/>
        <v>-79870</v>
      </c>
      <c r="O162" s="251">
        <f t="shared" si="532"/>
        <v>0</v>
      </c>
      <c r="P162" s="252">
        <f t="shared" si="532"/>
        <v>0</v>
      </c>
      <c r="Q162" s="251">
        <f t="shared" si="532"/>
        <v>-58.1</v>
      </c>
      <c r="R162" s="252">
        <f t="shared" si="532"/>
        <v>-79870</v>
      </c>
      <c r="S162" s="253">
        <v>1374.7</v>
      </c>
      <c r="T162" s="254">
        <v>15.0</v>
      </c>
      <c r="U162" s="255" t="s">
        <v>107</v>
      </c>
      <c r="V162" s="255"/>
      <c r="W162" s="304">
        <v>0.3873</v>
      </c>
      <c r="X162" s="304">
        <v>0.10469</v>
      </c>
      <c r="Y162" s="304">
        <v>0.28261</v>
      </c>
      <c r="Z162" s="305">
        <f>-Z161</f>
        <v>-1000</v>
      </c>
      <c r="AA162" s="306">
        <f t="shared" si="533"/>
        <v>-387.3</v>
      </c>
      <c r="AB162" s="307">
        <f t="shared" si="534"/>
        <v>-532421</v>
      </c>
      <c r="AC162" s="308">
        <f t="shared" si="535"/>
        <v>-387.3</v>
      </c>
      <c r="AD162" s="309">
        <f t="shared" si="536"/>
        <v>-532421</v>
      </c>
      <c r="AE162" s="425"/>
      <c r="AF162" s="425"/>
      <c r="AG162" s="310">
        <f t="shared" si="537"/>
        <v>-282.61</v>
      </c>
      <c r="AH162" s="252">
        <f t="shared" si="538"/>
        <v>-388504</v>
      </c>
      <c r="AI162" s="306">
        <f t="shared" si="539"/>
        <v>-58.1</v>
      </c>
      <c r="AJ162" s="252">
        <f t="shared" si="540"/>
        <v>-79863</v>
      </c>
      <c r="AK162" s="426"/>
      <c r="AL162" s="426"/>
      <c r="AM162" s="426"/>
      <c r="AN162" s="426"/>
      <c r="AO162" s="426"/>
      <c r="AP162" s="426"/>
      <c r="AQ162" s="427"/>
      <c r="AR162" s="427"/>
      <c r="AS162" s="427"/>
      <c r="AT162" s="426"/>
      <c r="AU162" s="410"/>
      <c r="AV162" s="410"/>
      <c r="AW162" s="410"/>
      <c r="AX162" s="410"/>
      <c r="AY162" s="410"/>
      <c r="AZ162" s="410"/>
      <c r="BA162" s="410"/>
      <c r="BB162" s="410"/>
      <c r="BC162" s="410"/>
      <c r="BD162" s="410"/>
      <c r="BE162" s="410"/>
    </row>
    <row r="163" ht="12.75" customHeight="1">
      <c r="A163" s="256" t="s">
        <v>630</v>
      </c>
      <c r="B163" s="257" t="s">
        <v>118</v>
      </c>
      <c r="C163" s="258" t="s">
        <v>119</v>
      </c>
      <c r="D163" s="258" t="s">
        <v>232</v>
      </c>
      <c r="E163" s="258" t="s">
        <v>230</v>
      </c>
      <c r="F163" s="259"/>
      <c r="G163" s="258" t="s">
        <v>139</v>
      </c>
      <c r="H163" s="258" t="s">
        <v>180</v>
      </c>
      <c r="I163" s="259" t="s">
        <v>105</v>
      </c>
      <c r="J163" s="316" t="s">
        <v>106</v>
      </c>
      <c r="K163" s="317">
        <f>ROUND(M163/0.15,2)</f>
        <v>104.67</v>
      </c>
      <c r="L163" s="318">
        <f>ROUND(N163/0.15,0)</f>
        <v>143887</v>
      </c>
      <c r="M163" s="319">
        <f t="shared" ref="M163:N163" si="541">Q163</f>
        <v>15.7</v>
      </c>
      <c r="N163" s="261">
        <f t="shared" si="541"/>
        <v>21583</v>
      </c>
      <c r="O163" s="262">
        <v>42.4</v>
      </c>
      <c r="P163" s="263">
        <v>58287.0</v>
      </c>
      <c r="Q163" s="260">
        <f t="shared" ref="Q163:R163" si="542">M161-O163</f>
        <v>15.7</v>
      </c>
      <c r="R163" s="261">
        <f t="shared" si="542"/>
        <v>21583</v>
      </c>
      <c r="S163" s="264">
        <v>1374.7</v>
      </c>
      <c r="T163" s="265">
        <v>15.0</v>
      </c>
      <c r="U163" s="266" t="s">
        <v>107</v>
      </c>
      <c r="V163" s="266" t="s">
        <v>1339</v>
      </c>
      <c r="W163" s="320">
        <v>0.3873</v>
      </c>
      <c r="X163" s="320">
        <v>0.10469</v>
      </c>
      <c r="Y163" s="320">
        <v>0.28261</v>
      </c>
      <c r="Z163" s="321">
        <f>Z161</f>
        <v>1000</v>
      </c>
      <c r="AA163" s="426"/>
      <c r="AB163" s="428"/>
      <c r="AC163" s="323">
        <f>IFERROR(ROUND(Z163*X163,2),0)</f>
        <v>104.69</v>
      </c>
      <c r="AD163" s="318">
        <f t="shared" si="536"/>
        <v>143917</v>
      </c>
      <c r="AE163" s="429"/>
      <c r="AF163" s="429"/>
      <c r="AG163" s="324">
        <f t="shared" si="537"/>
        <v>282.61</v>
      </c>
      <c r="AH163" s="261">
        <f t="shared" si="538"/>
        <v>388504</v>
      </c>
      <c r="AI163" s="426"/>
      <c r="AJ163" s="426"/>
      <c r="AK163" s="325">
        <f>ROUND(AC163*0.15,2)</f>
        <v>15.7</v>
      </c>
      <c r="AL163" s="261">
        <f>ROUND(AD163*0.15,0)</f>
        <v>21588</v>
      </c>
      <c r="AM163" s="325"/>
      <c r="AN163" s="325"/>
      <c r="AO163" s="325">
        <f>ROUND(AG163*0.15,2)</f>
        <v>42.39</v>
      </c>
      <c r="AP163" s="261">
        <f>ROUND(AH163*0.15,0)</f>
        <v>58276</v>
      </c>
      <c r="AQ163" s="326"/>
      <c r="AR163" s="326"/>
      <c r="AS163" s="326">
        <f>IFERROR(AC163/K163,IFERROR(AO163/O163,""))</f>
        <v>1.000191077</v>
      </c>
      <c r="AT163" s="426"/>
      <c r="AU163" s="410"/>
      <c r="AV163" s="410"/>
      <c r="AW163" s="410"/>
      <c r="AX163" s="410"/>
      <c r="AY163" s="410"/>
      <c r="AZ163" s="410"/>
      <c r="BA163" s="410"/>
      <c r="BB163" s="410"/>
      <c r="BC163" s="410"/>
      <c r="BD163" s="410"/>
      <c r="BE163" s="410"/>
    </row>
    <row r="164" ht="12.75" customHeight="1">
      <c r="A164" s="267" t="s">
        <v>632</v>
      </c>
      <c r="B164" s="268" t="s">
        <v>118</v>
      </c>
      <c r="C164" s="269" t="s">
        <v>119</v>
      </c>
      <c r="D164" s="269" t="s">
        <v>233</v>
      </c>
      <c r="E164" s="269" t="s">
        <v>234</v>
      </c>
      <c r="F164" s="270"/>
      <c r="G164" s="269" t="s">
        <v>173</v>
      </c>
      <c r="H164" s="270" t="s">
        <v>174</v>
      </c>
      <c r="I164" s="270" t="s">
        <v>105</v>
      </c>
      <c r="J164" s="354" t="s">
        <v>106</v>
      </c>
      <c r="K164" s="355">
        <v>0.5</v>
      </c>
      <c r="L164" s="356">
        <v>691.0</v>
      </c>
      <c r="M164" s="357">
        <v>0.08</v>
      </c>
      <c r="N164" s="272">
        <v>110.0</v>
      </c>
      <c r="O164" s="271">
        <v>0.0</v>
      </c>
      <c r="P164" s="272">
        <v>0.0</v>
      </c>
      <c r="Q164" s="273">
        <f t="shared" ref="Q164:R164" si="543">M164-O164</f>
        <v>0.08</v>
      </c>
      <c r="R164" s="274">
        <f t="shared" si="543"/>
        <v>110</v>
      </c>
      <c r="S164" s="275">
        <v>1382.7</v>
      </c>
      <c r="T164" s="276">
        <v>15.0</v>
      </c>
      <c r="U164" s="277" t="s">
        <v>107</v>
      </c>
      <c r="V164" s="277"/>
      <c r="W164" s="468"/>
      <c r="X164" s="468"/>
      <c r="Y164" s="468"/>
      <c r="Z164" s="468"/>
      <c r="AA164" s="468"/>
      <c r="AB164" s="469"/>
      <c r="AC164" s="470">
        <f t="shared" ref="AC164:AD164" si="544">K164</f>
        <v>0.5</v>
      </c>
      <c r="AD164" s="471">
        <f t="shared" si="544"/>
        <v>691</v>
      </c>
      <c r="AE164" s="472"/>
      <c r="AF164" s="472"/>
      <c r="AG164" s="473"/>
      <c r="AH164" s="468"/>
      <c r="AI164" s="468"/>
      <c r="AJ164" s="468"/>
      <c r="AK164" s="474">
        <f t="shared" ref="AK164:AL164" si="545">Q164</f>
        <v>0.08</v>
      </c>
      <c r="AL164" s="475">
        <f t="shared" si="545"/>
        <v>110</v>
      </c>
      <c r="AM164" s="468"/>
      <c r="AN164" s="468"/>
      <c r="AO164" s="468"/>
      <c r="AP164" s="468"/>
      <c r="AQ164" s="476"/>
      <c r="AR164" s="476"/>
      <c r="AS164" s="476"/>
      <c r="AT164" s="468"/>
      <c r="AU164" s="477"/>
      <c r="AV164" s="477"/>
      <c r="AW164" s="477"/>
      <c r="AX164" s="477"/>
      <c r="AY164" s="477"/>
      <c r="AZ164" s="477"/>
      <c r="BA164" s="477"/>
      <c r="BB164" s="477"/>
      <c r="BC164" s="477"/>
      <c r="BD164" s="477"/>
      <c r="BE164" s="477"/>
    </row>
    <row r="165" ht="12.75" customHeight="1">
      <c r="A165" s="267" t="s">
        <v>633</v>
      </c>
      <c r="B165" s="268" t="s">
        <v>118</v>
      </c>
      <c r="C165" s="269" t="s">
        <v>119</v>
      </c>
      <c r="D165" s="269" t="s">
        <v>235</v>
      </c>
      <c r="E165" s="270"/>
      <c r="F165" s="270"/>
      <c r="G165" s="269" t="s">
        <v>148</v>
      </c>
      <c r="H165" s="269" t="s">
        <v>1340</v>
      </c>
      <c r="I165" s="270" t="s">
        <v>105</v>
      </c>
      <c r="J165" s="354" t="s">
        <v>150</v>
      </c>
      <c r="K165" s="355">
        <v>0.0</v>
      </c>
      <c r="L165" s="356">
        <v>193.0</v>
      </c>
      <c r="M165" s="357">
        <v>0.0</v>
      </c>
      <c r="N165" s="272">
        <v>34.0</v>
      </c>
      <c r="O165" s="271">
        <v>0.0</v>
      </c>
      <c r="P165" s="272">
        <v>0.0</v>
      </c>
      <c r="Q165" s="273">
        <f t="shared" ref="Q165:R165" si="546">M165-O165</f>
        <v>0</v>
      </c>
      <c r="R165" s="274">
        <f t="shared" si="546"/>
        <v>34</v>
      </c>
      <c r="S165" s="275">
        <v>1.0</v>
      </c>
      <c r="T165" s="276">
        <v>14.0</v>
      </c>
      <c r="U165" s="277" t="s">
        <v>151</v>
      </c>
      <c r="V165" s="277"/>
      <c r="W165" s="468"/>
      <c r="X165" s="468"/>
      <c r="Y165" s="468"/>
      <c r="Z165" s="468"/>
      <c r="AA165" s="468"/>
      <c r="AB165" s="469"/>
      <c r="AC165" s="470">
        <f t="shared" ref="AC165:AD165" si="547">K165</f>
        <v>0</v>
      </c>
      <c r="AD165" s="471">
        <f t="shared" si="547"/>
        <v>193</v>
      </c>
      <c r="AE165" s="472"/>
      <c r="AF165" s="472"/>
      <c r="AG165" s="473"/>
      <c r="AH165" s="468"/>
      <c r="AI165" s="468"/>
      <c r="AJ165" s="468"/>
      <c r="AK165" s="474">
        <f t="shared" ref="AK165:AL165" si="548">Q165</f>
        <v>0</v>
      </c>
      <c r="AL165" s="475">
        <f t="shared" si="548"/>
        <v>34</v>
      </c>
      <c r="AM165" s="468"/>
      <c r="AN165" s="468"/>
      <c r="AO165" s="468"/>
      <c r="AP165" s="468"/>
      <c r="AQ165" s="476"/>
      <c r="AR165" s="476"/>
      <c r="AS165" s="476"/>
      <c r="AT165" s="468"/>
      <c r="AU165" s="477"/>
      <c r="AV165" s="477"/>
      <c r="AW165" s="477"/>
      <c r="AX165" s="477"/>
      <c r="AY165" s="477"/>
      <c r="AZ165" s="477"/>
      <c r="BA165" s="477"/>
      <c r="BB165" s="477"/>
      <c r="BC165" s="477"/>
      <c r="BD165" s="477"/>
      <c r="BE165" s="477"/>
    </row>
    <row r="166" ht="12.75" customHeight="1">
      <c r="A166" s="245" t="s">
        <v>635</v>
      </c>
      <c r="B166" s="246" t="s">
        <v>118</v>
      </c>
      <c r="C166" s="247" t="s">
        <v>119</v>
      </c>
      <c r="D166" s="247" t="s">
        <v>237</v>
      </c>
      <c r="E166" s="247" t="s">
        <v>238</v>
      </c>
      <c r="F166" s="248"/>
      <c r="G166" s="247" t="s">
        <v>103</v>
      </c>
      <c r="H166" s="247" t="s">
        <v>239</v>
      </c>
      <c r="I166" s="248" t="s">
        <v>105</v>
      </c>
      <c r="J166" s="300" t="s">
        <v>106</v>
      </c>
      <c r="K166" s="301">
        <v>103.5</v>
      </c>
      <c r="L166" s="302">
        <v>144061.0</v>
      </c>
      <c r="M166" s="303">
        <v>15.52</v>
      </c>
      <c r="N166" s="250">
        <v>21602.0</v>
      </c>
      <c r="O166" s="249">
        <v>0.0</v>
      </c>
      <c r="P166" s="250">
        <v>0.0</v>
      </c>
      <c r="Q166" s="251">
        <f t="shared" ref="Q166:R166" si="549">M166-O166</f>
        <v>15.52</v>
      </c>
      <c r="R166" s="252">
        <f t="shared" si="549"/>
        <v>21602</v>
      </c>
      <c r="S166" s="253">
        <v>1391.9</v>
      </c>
      <c r="T166" s="254">
        <v>15.0</v>
      </c>
      <c r="U166" s="255" t="s">
        <v>107</v>
      </c>
      <c r="V166" s="255"/>
      <c r="W166" s="304">
        <v>0.1029</v>
      </c>
      <c r="X166" s="304">
        <v>0.03313</v>
      </c>
      <c r="Y166" s="304">
        <v>0.06977</v>
      </c>
      <c r="Z166" s="305">
        <f>IFERROR(ROUND(K166/W166,0),0)</f>
        <v>1006</v>
      </c>
      <c r="AA166" s="306">
        <f t="shared" ref="AA166:AA167" si="551">Z166*W166</f>
        <v>103.5174</v>
      </c>
      <c r="AB166" s="307">
        <f t="shared" ref="AB166:AB167" si="552">ROUND(AA166*S166,0)</f>
        <v>144086</v>
      </c>
      <c r="AC166" s="308">
        <f t="shared" ref="AC166:AC167" si="553">AA166</f>
        <v>103.5174</v>
      </c>
      <c r="AD166" s="309">
        <f t="shared" ref="AD166:AD206" si="554">ROUND(AC166*S166,0)</f>
        <v>144086</v>
      </c>
      <c r="AE166" s="425"/>
      <c r="AF166" s="425"/>
      <c r="AG166" s="310">
        <f t="shared" ref="AG166:AG206" si="555">IFERROR(ROUND(Z166*Y166,2),0)</f>
        <v>70.19</v>
      </c>
      <c r="AH166" s="252">
        <f t="shared" ref="AH166:AH206" si="556">ROUND(AG166*S166,0)</f>
        <v>97697</v>
      </c>
      <c r="AI166" s="306">
        <f t="shared" ref="AI166:AI167" si="557">ROUND(AC166*0.15,2)</f>
        <v>15.53</v>
      </c>
      <c r="AJ166" s="252">
        <f t="shared" ref="AJ166:AJ167" si="558">ROUND(AD166*0.15,0)</f>
        <v>21613</v>
      </c>
      <c r="AK166" s="426"/>
      <c r="AL166" s="426"/>
      <c r="AM166" s="426"/>
      <c r="AN166" s="426"/>
      <c r="AO166" s="426"/>
      <c r="AP166" s="426"/>
      <c r="AQ166" s="427"/>
      <c r="AR166" s="427"/>
      <c r="AS166" s="427"/>
      <c r="AT166" s="426"/>
      <c r="AU166" s="410"/>
      <c r="AV166" s="410"/>
      <c r="AW166" s="410"/>
      <c r="AX166" s="410"/>
      <c r="AY166" s="410"/>
      <c r="AZ166" s="410"/>
      <c r="BA166" s="410"/>
      <c r="BB166" s="410"/>
      <c r="BC166" s="410"/>
      <c r="BD166" s="410"/>
      <c r="BE166" s="410"/>
    </row>
    <row r="167" ht="12.75" customHeight="1">
      <c r="A167" s="245" t="s">
        <v>636</v>
      </c>
      <c r="B167" s="246" t="s">
        <v>118</v>
      </c>
      <c r="C167" s="247" t="s">
        <v>119</v>
      </c>
      <c r="D167" s="247" t="s">
        <v>237</v>
      </c>
      <c r="E167" s="247" t="s">
        <v>238</v>
      </c>
      <c r="F167" s="248"/>
      <c r="G167" s="247" t="s">
        <v>103</v>
      </c>
      <c r="H167" s="247" t="s">
        <v>239</v>
      </c>
      <c r="I167" s="248" t="s">
        <v>105</v>
      </c>
      <c r="J167" s="300" t="s">
        <v>106</v>
      </c>
      <c r="K167" s="314">
        <f t="shared" ref="K167:R167" si="550">-K166</f>
        <v>-103.5</v>
      </c>
      <c r="L167" s="309">
        <f t="shared" si="550"/>
        <v>-144061</v>
      </c>
      <c r="M167" s="315">
        <f t="shared" si="550"/>
        <v>-15.52</v>
      </c>
      <c r="N167" s="252">
        <f t="shared" si="550"/>
        <v>-21602</v>
      </c>
      <c r="O167" s="251">
        <f t="shared" si="550"/>
        <v>0</v>
      </c>
      <c r="P167" s="252">
        <f t="shared" si="550"/>
        <v>0</v>
      </c>
      <c r="Q167" s="251">
        <f t="shared" si="550"/>
        <v>-15.52</v>
      </c>
      <c r="R167" s="252">
        <f t="shared" si="550"/>
        <v>-21602</v>
      </c>
      <c r="S167" s="253">
        <v>1391.9</v>
      </c>
      <c r="T167" s="254">
        <v>15.0</v>
      </c>
      <c r="U167" s="255" t="s">
        <v>107</v>
      </c>
      <c r="V167" s="255"/>
      <c r="W167" s="304">
        <v>0.1029</v>
      </c>
      <c r="X167" s="304">
        <v>0.03313</v>
      </c>
      <c r="Y167" s="304">
        <v>0.06977</v>
      </c>
      <c r="Z167" s="305">
        <f>-Z166</f>
        <v>-1006</v>
      </c>
      <c r="AA167" s="306">
        <f t="shared" si="551"/>
        <v>-103.5174</v>
      </c>
      <c r="AB167" s="307">
        <f t="shared" si="552"/>
        <v>-144086</v>
      </c>
      <c r="AC167" s="308">
        <f t="shared" si="553"/>
        <v>-103.5174</v>
      </c>
      <c r="AD167" s="309">
        <f t="shared" si="554"/>
        <v>-144086</v>
      </c>
      <c r="AE167" s="425"/>
      <c r="AF167" s="425"/>
      <c r="AG167" s="310">
        <f t="shared" si="555"/>
        <v>-70.19</v>
      </c>
      <c r="AH167" s="252">
        <f t="shared" si="556"/>
        <v>-97697</v>
      </c>
      <c r="AI167" s="306">
        <f t="shared" si="557"/>
        <v>-15.53</v>
      </c>
      <c r="AJ167" s="252">
        <f t="shared" si="558"/>
        <v>-21613</v>
      </c>
      <c r="AK167" s="426"/>
      <c r="AL167" s="426"/>
      <c r="AM167" s="426"/>
      <c r="AN167" s="426"/>
      <c r="AO167" s="426"/>
      <c r="AP167" s="426"/>
      <c r="AQ167" s="427"/>
      <c r="AR167" s="427"/>
      <c r="AS167" s="427"/>
      <c r="AT167" s="426"/>
      <c r="AU167" s="410"/>
      <c r="AV167" s="410"/>
      <c r="AW167" s="410"/>
      <c r="AX167" s="410"/>
      <c r="AY167" s="410"/>
      <c r="AZ167" s="410"/>
      <c r="BA167" s="410"/>
      <c r="BB167" s="410"/>
      <c r="BC167" s="410"/>
      <c r="BD167" s="410"/>
      <c r="BE167" s="410"/>
    </row>
    <row r="168" ht="12.75" customHeight="1">
      <c r="A168" s="256" t="s">
        <v>637</v>
      </c>
      <c r="B168" s="257" t="s">
        <v>118</v>
      </c>
      <c r="C168" s="258" t="s">
        <v>119</v>
      </c>
      <c r="D168" s="258" t="s">
        <v>237</v>
      </c>
      <c r="E168" s="258" t="s">
        <v>238</v>
      </c>
      <c r="F168" s="259"/>
      <c r="G168" s="258" t="s">
        <v>103</v>
      </c>
      <c r="H168" s="258" t="s">
        <v>239</v>
      </c>
      <c r="I168" s="259" t="s">
        <v>105</v>
      </c>
      <c r="J168" s="316" t="s">
        <v>106</v>
      </c>
      <c r="K168" s="317">
        <f>ROUND(M168/0.15,2)</f>
        <v>33.27</v>
      </c>
      <c r="L168" s="318">
        <f>ROUND(N168/0.15,0)</f>
        <v>46300</v>
      </c>
      <c r="M168" s="319">
        <f t="shared" ref="M168:N168" si="559">Q168</f>
        <v>4.99</v>
      </c>
      <c r="N168" s="261">
        <f t="shared" si="559"/>
        <v>6945</v>
      </c>
      <c r="O168" s="262">
        <v>10.53</v>
      </c>
      <c r="P168" s="263">
        <v>14657.0</v>
      </c>
      <c r="Q168" s="260">
        <f t="shared" ref="Q168:R168" si="560">M166-O168</f>
        <v>4.99</v>
      </c>
      <c r="R168" s="261">
        <f t="shared" si="560"/>
        <v>6945</v>
      </c>
      <c r="S168" s="264">
        <v>1391.9</v>
      </c>
      <c r="T168" s="265">
        <v>15.0</v>
      </c>
      <c r="U168" s="266" t="s">
        <v>107</v>
      </c>
      <c r="V168" s="266" t="s">
        <v>1341</v>
      </c>
      <c r="W168" s="320">
        <v>0.1029</v>
      </c>
      <c r="X168" s="320">
        <v>0.03313</v>
      </c>
      <c r="Y168" s="320">
        <v>0.06977</v>
      </c>
      <c r="Z168" s="321">
        <f>Z166</f>
        <v>1006</v>
      </c>
      <c r="AA168" s="426"/>
      <c r="AB168" s="428"/>
      <c r="AC168" s="323">
        <f>IFERROR(ROUND(Z168*X168,2),0)</f>
        <v>33.33</v>
      </c>
      <c r="AD168" s="318">
        <f t="shared" si="554"/>
        <v>46392</v>
      </c>
      <c r="AE168" s="429"/>
      <c r="AF168" s="429"/>
      <c r="AG168" s="324">
        <f t="shared" si="555"/>
        <v>70.19</v>
      </c>
      <c r="AH168" s="261">
        <f t="shared" si="556"/>
        <v>97697</v>
      </c>
      <c r="AI168" s="426"/>
      <c r="AJ168" s="426"/>
      <c r="AK168" s="325">
        <f>ROUND(AC168*0.15,2)</f>
        <v>5</v>
      </c>
      <c r="AL168" s="261">
        <f>ROUND(AD168*0.15,0)</f>
        <v>6959</v>
      </c>
      <c r="AM168" s="325"/>
      <c r="AN168" s="325"/>
      <c r="AO168" s="325">
        <f>ROUND(AG168*0.15,2)</f>
        <v>10.53</v>
      </c>
      <c r="AP168" s="261">
        <f>ROUND(AH168*0.15,0)</f>
        <v>14655</v>
      </c>
      <c r="AQ168" s="326"/>
      <c r="AR168" s="326"/>
      <c r="AS168" s="326">
        <f>IFERROR(AC168/K168,IFERROR(AO168/O168,""))</f>
        <v>1.001803427</v>
      </c>
      <c r="AT168" s="426"/>
      <c r="AU168" s="410"/>
      <c r="AV168" s="410"/>
      <c r="AW168" s="410"/>
      <c r="AX168" s="410"/>
      <c r="AY168" s="410"/>
      <c r="AZ168" s="410"/>
      <c r="BA168" s="410"/>
      <c r="BB168" s="410"/>
      <c r="BC168" s="410"/>
      <c r="BD168" s="410"/>
      <c r="BE168" s="410"/>
    </row>
    <row r="169" ht="12.75" customHeight="1">
      <c r="A169" s="245" t="s">
        <v>639</v>
      </c>
      <c r="B169" s="246" t="s">
        <v>118</v>
      </c>
      <c r="C169" s="247" t="s">
        <v>119</v>
      </c>
      <c r="D169" s="247" t="s">
        <v>237</v>
      </c>
      <c r="E169" s="247" t="s">
        <v>238</v>
      </c>
      <c r="F169" s="248"/>
      <c r="G169" s="247" t="s">
        <v>127</v>
      </c>
      <c r="H169" s="247" t="s">
        <v>186</v>
      </c>
      <c r="I169" s="248" t="s">
        <v>105</v>
      </c>
      <c r="J169" s="300" t="s">
        <v>106</v>
      </c>
      <c r="K169" s="301">
        <v>1028.5</v>
      </c>
      <c r="L169" s="302">
        <v>1431569.0</v>
      </c>
      <c r="M169" s="303">
        <v>154.28</v>
      </c>
      <c r="N169" s="250">
        <v>214742.0</v>
      </c>
      <c r="O169" s="249">
        <v>0.0</v>
      </c>
      <c r="P169" s="250">
        <v>0.0</v>
      </c>
      <c r="Q169" s="251">
        <f t="shared" ref="Q169:R169" si="561">M169-O169</f>
        <v>154.28</v>
      </c>
      <c r="R169" s="252">
        <f t="shared" si="561"/>
        <v>214742</v>
      </c>
      <c r="S169" s="253">
        <v>1391.9</v>
      </c>
      <c r="T169" s="254">
        <v>15.0</v>
      </c>
      <c r="U169" s="255" t="s">
        <v>107</v>
      </c>
      <c r="V169" s="255"/>
      <c r="W169" s="304">
        <v>1.0285</v>
      </c>
      <c r="X169" s="304">
        <v>0.48702</v>
      </c>
      <c r="Y169" s="304">
        <v>0.54148</v>
      </c>
      <c r="Z169" s="305">
        <f>IFERROR(ROUND(K169/W169,0),0)</f>
        <v>1000</v>
      </c>
      <c r="AA169" s="306">
        <f t="shared" ref="AA169:AA170" si="563">Z169*W169</f>
        <v>1028.5</v>
      </c>
      <c r="AB169" s="307">
        <f t="shared" ref="AB169:AB170" si="564">ROUND(AA169*S169,0)</f>
        <v>1431569</v>
      </c>
      <c r="AC169" s="308">
        <f t="shared" ref="AC169:AC170" si="565">AA169</f>
        <v>1028.5</v>
      </c>
      <c r="AD169" s="309">
        <f t="shared" si="554"/>
        <v>1431569</v>
      </c>
      <c r="AE169" s="425"/>
      <c r="AF169" s="425"/>
      <c r="AG169" s="310">
        <f t="shared" si="555"/>
        <v>541.48</v>
      </c>
      <c r="AH169" s="252">
        <f t="shared" si="556"/>
        <v>753686</v>
      </c>
      <c r="AI169" s="306">
        <f t="shared" ref="AI169:AI170" si="566">ROUND(AC169*0.15,2)</f>
        <v>154.28</v>
      </c>
      <c r="AJ169" s="252">
        <f t="shared" ref="AJ169:AJ170" si="567">ROUND(AD169*0.15,0)</f>
        <v>214735</v>
      </c>
      <c r="AK169" s="426"/>
      <c r="AL169" s="426"/>
      <c r="AM169" s="426"/>
      <c r="AN169" s="426"/>
      <c r="AO169" s="426"/>
      <c r="AP169" s="426"/>
      <c r="AQ169" s="427"/>
      <c r="AR169" s="427"/>
      <c r="AS169" s="427"/>
      <c r="AT169" s="426"/>
      <c r="AU169" s="410"/>
      <c r="AV169" s="410"/>
      <c r="AW169" s="410"/>
      <c r="AX169" s="410"/>
      <c r="AY169" s="410"/>
      <c r="AZ169" s="410"/>
      <c r="BA169" s="410"/>
      <c r="BB169" s="410"/>
      <c r="BC169" s="410"/>
      <c r="BD169" s="410"/>
      <c r="BE169" s="410"/>
    </row>
    <row r="170" ht="12.75" customHeight="1">
      <c r="A170" s="245" t="s">
        <v>640</v>
      </c>
      <c r="B170" s="246" t="s">
        <v>118</v>
      </c>
      <c r="C170" s="247" t="s">
        <v>119</v>
      </c>
      <c r="D170" s="247" t="s">
        <v>237</v>
      </c>
      <c r="E170" s="247" t="s">
        <v>238</v>
      </c>
      <c r="F170" s="248"/>
      <c r="G170" s="247" t="s">
        <v>127</v>
      </c>
      <c r="H170" s="247" t="s">
        <v>186</v>
      </c>
      <c r="I170" s="248" t="s">
        <v>105</v>
      </c>
      <c r="J170" s="300" t="s">
        <v>106</v>
      </c>
      <c r="K170" s="314">
        <f t="shared" ref="K170:R170" si="562">-K169</f>
        <v>-1028.5</v>
      </c>
      <c r="L170" s="309">
        <f t="shared" si="562"/>
        <v>-1431569</v>
      </c>
      <c r="M170" s="315">
        <f t="shared" si="562"/>
        <v>-154.28</v>
      </c>
      <c r="N170" s="252">
        <f t="shared" si="562"/>
        <v>-214742</v>
      </c>
      <c r="O170" s="251">
        <f t="shared" si="562"/>
        <v>0</v>
      </c>
      <c r="P170" s="252">
        <f t="shared" si="562"/>
        <v>0</v>
      </c>
      <c r="Q170" s="251">
        <f t="shared" si="562"/>
        <v>-154.28</v>
      </c>
      <c r="R170" s="252">
        <f t="shared" si="562"/>
        <v>-214742</v>
      </c>
      <c r="S170" s="253">
        <v>1391.9</v>
      </c>
      <c r="T170" s="254">
        <v>15.0</v>
      </c>
      <c r="U170" s="255" t="s">
        <v>107</v>
      </c>
      <c r="V170" s="255"/>
      <c r="W170" s="304">
        <v>1.0285</v>
      </c>
      <c r="X170" s="304">
        <v>0.48702</v>
      </c>
      <c r="Y170" s="304">
        <v>0.54148</v>
      </c>
      <c r="Z170" s="305">
        <f>-Z169</f>
        <v>-1000</v>
      </c>
      <c r="AA170" s="306">
        <f t="shared" si="563"/>
        <v>-1028.5</v>
      </c>
      <c r="AB170" s="307">
        <f t="shared" si="564"/>
        <v>-1431569</v>
      </c>
      <c r="AC170" s="308">
        <f t="shared" si="565"/>
        <v>-1028.5</v>
      </c>
      <c r="AD170" s="309">
        <f t="shared" si="554"/>
        <v>-1431569</v>
      </c>
      <c r="AE170" s="425"/>
      <c r="AF170" s="425"/>
      <c r="AG170" s="310">
        <f t="shared" si="555"/>
        <v>-541.48</v>
      </c>
      <c r="AH170" s="252">
        <f t="shared" si="556"/>
        <v>-753686</v>
      </c>
      <c r="AI170" s="306">
        <f t="shared" si="566"/>
        <v>-154.28</v>
      </c>
      <c r="AJ170" s="252">
        <f t="shared" si="567"/>
        <v>-214735</v>
      </c>
      <c r="AK170" s="426"/>
      <c r="AL170" s="426"/>
      <c r="AM170" s="426"/>
      <c r="AN170" s="426"/>
      <c r="AO170" s="426"/>
      <c r="AP170" s="426"/>
      <c r="AQ170" s="427"/>
      <c r="AR170" s="427"/>
      <c r="AS170" s="427"/>
      <c r="AT170" s="426"/>
      <c r="AU170" s="410"/>
      <c r="AV170" s="410"/>
      <c r="AW170" s="410"/>
      <c r="AX170" s="410"/>
      <c r="AY170" s="410"/>
      <c r="AZ170" s="410"/>
      <c r="BA170" s="410"/>
      <c r="BB170" s="410"/>
      <c r="BC170" s="410"/>
      <c r="BD170" s="410"/>
      <c r="BE170" s="410"/>
    </row>
    <row r="171" ht="12.75" customHeight="1">
      <c r="A171" s="256" t="s">
        <v>641</v>
      </c>
      <c r="B171" s="257" t="s">
        <v>118</v>
      </c>
      <c r="C171" s="258" t="s">
        <v>119</v>
      </c>
      <c r="D171" s="258" t="s">
        <v>237</v>
      </c>
      <c r="E171" s="258" t="s">
        <v>238</v>
      </c>
      <c r="F171" s="259"/>
      <c r="G171" s="258" t="s">
        <v>127</v>
      </c>
      <c r="H171" s="258" t="s">
        <v>186</v>
      </c>
      <c r="I171" s="259" t="s">
        <v>105</v>
      </c>
      <c r="J171" s="316" t="s">
        <v>106</v>
      </c>
      <c r="K171" s="317">
        <f>ROUND(M171/0.15,2)</f>
        <v>487</v>
      </c>
      <c r="L171" s="318">
        <f>ROUND(N171/0.15,0)</f>
        <v>677853</v>
      </c>
      <c r="M171" s="319">
        <f t="shared" ref="M171:N171" si="568">Q171</f>
        <v>73.05</v>
      </c>
      <c r="N171" s="261">
        <f t="shared" si="568"/>
        <v>101678</v>
      </c>
      <c r="O171" s="262">
        <v>81.23</v>
      </c>
      <c r="P171" s="263">
        <v>113064.0</v>
      </c>
      <c r="Q171" s="260">
        <f t="shared" ref="Q171:R171" si="569">M169-O171</f>
        <v>73.05</v>
      </c>
      <c r="R171" s="261">
        <f t="shared" si="569"/>
        <v>101678</v>
      </c>
      <c r="S171" s="264">
        <v>1391.9</v>
      </c>
      <c r="T171" s="265">
        <v>15.0</v>
      </c>
      <c r="U171" s="266" t="s">
        <v>107</v>
      </c>
      <c r="V171" s="266" t="s">
        <v>1342</v>
      </c>
      <c r="W171" s="320">
        <v>1.0285</v>
      </c>
      <c r="X171" s="320">
        <v>0.48702</v>
      </c>
      <c r="Y171" s="320">
        <v>0.54148</v>
      </c>
      <c r="Z171" s="321">
        <f>Z169</f>
        <v>1000</v>
      </c>
      <c r="AA171" s="426"/>
      <c r="AB171" s="428"/>
      <c r="AC171" s="323">
        <f>IFERROR(ROUND(Z171*X171,2),0)</f>
        <v>487.02</v>
      </c>
      <c r="AD171" s="318">
        <f t="shared" si="554"/>
        <v>677883</v>
      </c>
      <c r="AE171" s="429"/>
      <c r="AF171" s="429"/>
      <c r="AG171" s="324">
        <f t="shared" si="555"/>
        <v>541.48</v>
      </c>
      <c r="AH171" s="261">
        <f t="shared" si="556"/>
        <v>753686</v>
      </c>
      <c r="AI171" s="426"/>
      <c r="AJ171" s="426"/>
      <c r="AK171" s="325">
        <f>ROUND(AC171*0.15,2)</f>
        <v>73.05</v>
      </c>
      <c r="AL171" s="261">
        <f>ROUND(AD171*0.15,0)</f>
        <v>101682</v>
      </c>
      <c r="AM171" s="325"/>
      <c r="AN171" s="325"/>
      <c r="AO171" s="325">
        <f>ROUND(AG171*0.15,2)</f>
        <v>81.22</v>
      </c>
      <c r="AP171" s="261">
        <f>ROUND(AH171*0.15,0)</f>
        <v>113053</v>
      </c>
      <c r="AQ171" s="326"/>
      <c r="AR171" s="326"/>
      <c r="AS171" s="326">
        <f>IFERROR(AC171/K171,IFERROR(AO171/O171,""))</f>
        <v>1.000041068</v>
      </c>
      <c r="AT171" s="426"/>
      <c r="AU171" s="410"/>
      <c r="AV171" s="410"/>
      <c r="AW171" s="410"/>
      <c r="AX171" s="410"/>
      <c r="AY171" s="410"/>
      <c r="AZ171" s="410"/>
      <c r="BA171" s="410"/>
      <c r="BB171" s="410"/>
      <c r="BC171" s="410"/>
      <c r="BD171" s="410"/>
      <c r="BE171" s="410"/>
    </row>
    <row r="172" ht="12.75" customHeight="1">
      <c r="A172" s="245" t="s">
        <v>643</v>
      </c>
      <c r="B172" s="246" t="s">
        <v>118</v>
      </c>
      <c r="C172" s="247" t="s">
        <v>119</v>
      </c>
      <c r="D172" s="247" t="s">
        <v>240</v>
      </c>
      <c r="E172" s="247" t="s">
        <v>241</v>
      </c>
      <c r="F172" s="248"/>
      <c r="G172" s="247" t="s">
        <v>103</v>
      </c>
      <c r="H172" s="247" t="s">
        <v>239</v>
      </c>
      <c r="I172" s="248" t="s">
        <v>105</v>
      </c>
      <c r="J172" s="300" t="s">
        <v>106</v>
      </c>
      <c r="K172" s="301">
        <v>236.67</v>
      </c>
      <c r="L172" s="302">
        <v>325657.0</v>
      </c>
      <c r="M172" s="303">
        <v>35.5</v>
      </c>
      <c r="N172" s="250">
        <v>48848.0</v>
      </c>
      <c r="O172" s="249">
        <v>0.0</v>
      </c>
      <c r="P172" s="250">
        <v>0.0</v>
      </c>
      <c r="Q172" s="251">
        <f t="shared" ref="Q172:R172" si="570">M172-O172</f>
        <v>35.5</v>
      </c>
      <c r="R172" s="252">
        <f t="shared" si="570"/>
        <v>48848</v>
      </c>
      <c r="S172" s="253">
        <v>1376.0</v>
      </c>
      <c r="T172" s="254">
        <v>15.0</v>
      </c>
      <c r="U172" s="255" t="s">
        <v>107</v>
      </c>
      <c r="V172" s="255"/>
      <c r="W172" s="304">
        <v>0.1029</v>
      </c>
      <c r="X172" s="304">
        <v>0.03313</v>
      </c>
      <c r="Y172" s="304">
        <v>0.06977</v>
      </c>
      <c r="Z172" s="305">
        <f>IFERROR(ROUND(K172/W172,0),0)</f>
        <v>2300</v>
      </c>
      <c r="AA172" s="306">
        <f t="shared" ref="AA172:AA173" si="572">Z172*W172</f>
        <v>236.67</v>
      </c>
      <c r="AB172" s="307">
        <f t="shared" ref="AB172:AB173" si="573">ROUND(AA172*S172,0)</f>
        <v>325658</v>
      </c>
      <c r="AC172" s="308">
        <f t="shared" ref="AC172:AC173" si="574">AA172</f>
        <v>236.67</v>
      </c>
      <c r="AD172" s="309">
        <f t="shared" si="554"/>
        <v>325658</v>
      </c>
      <c r="AE172" s="425"/>
      <c r="AF172" s="425"/>
      <c r="AG172" s="310">
        <f t="shared" si="555"/>
        <v>160.47</v>
      </c>
      <c r="AH172" s="252">
        <f t="shared" si="556"/>
        <v>220807</v>
      </c>
      <c r="AI172" s="306">
        <f t="shared" ref="AI172:AI173" si="575">ROUND(AC172*0.15,2)</f>
        <v>35.5</v>
      </c>
      <c r="AJ172" s="252">
        <f t="shared" ref="AJ172:AJ173" si="576">ROUND(AD172*0.15,0)</f>
        <v>48849</v>
      </c>
      <c r="AK172" s="426"/>
      <c r="AL172" s="426"/>
      <c r="AM172" s="426"/>
      <c r="AN172" s="426"/>
      <c r="AO172" s="426"/>
      <c r="AP172" s="426"/>
      <c r="AQ172" s="427"/>
      <c r="AR172" s="427"/>
      <c r="AS172" s="427"/>
      <c r="AT172" s="426"/>
      <c r="AU172" s="410"/>
      <c r="AV172" s="410"/>
      <c r="AW172" s="410"/>
      <c r="AX172" s="410"/>
      <c r="AY172" s="410"/>
      <c r="AZ172" s="410"/>
      <c r="BA172" s="410"/>
      <c r="BB172" s="410"/>
      <c r="BC172" s="410"/>
      <c r="BD172" s="410"/>
      <c r="BE172" s="410"/>
    </row>
    <row r="173" ht="12.75" customHeight="1">
      <c r="A173" s="245" t="s">
        <v>644</v>
      </c>
      <c r="B173" s="246" t="s">
        <v>118</v>
      </c>
      <c r="C173" s="247" t="s">
        <v>119</v>
      </c>
      <c r="D173" s="247" t="s">
        <v>240</v>
      </c>
      <c r="E173" s="247" t="s">
        <v>241</v>
      </c>
      <c r="F173" s="248"/>
      <c r="G173" s="247" t="s">
        <v>103</v>
      </c>
      <c r="H173" s="247" t="s">
        <v>239</v>
      </c>
      <c r="I173" s="248" t="s">
        <v>105</v>
      </c>
      <c r="J173" s="300" t="s">
        <v>106</v>
      </c>
      <c r="K173" s="314">
        <f t="shared" ref="K173:R173" si="571">-K172</f>
        <v>-236.67</v>
      </c>
      <c r="L173" s="309">
        <f t="shared" si="571"/>
        <v>-325657</v>
      </c>
      <c r="M173" s="315">
        <f t="shared" si="571"/>
        <v>-35.5</v>
      </c>
      <c r="N173" s="252">
        <f t="shared" si="571"/>
        <v>-48848</v>
      </c>
      <c r="O173" s="251">
        <f t="shared" si="571"/>
        <v>0</v>
      </c>
      <c r="P173" s="252">
        <f t="shared" si="571"/>
        <v>0</v>
      </c>
      <c r="Q173" s="251">
        <f t="shared" si="571"/>
        <v>-35.5</v>
      </c>
      <c r="R173" s="252">
        <f t="shared" si="571"/>
        <v>-48848</v>
      </c>
      <c r="S173" s="253">
        <v>1376.0</v>
      </c>
      <c r="T173" s="254">
        <v>15.0</v>
      </c>
      <c r="U173" s="255" t="s">
        <v>107</v>
      </c>
      <c r="V173" s="255"/>
      <c r="W173" s="304">
        <v>0.1029</v>
      </c>
      <c r="X173" s="304">
        <v>0.03313</v>
      </c>
      <c r="Y173" s="304">
        <v>0.06977</v>
      </c>
      <c r="Z173" s="305">
        <f>-Z172</f>
        <v>-2300</v>
      </c>
      <c r="AA173" s="306">
        <f t="shared" si="572"/>
        <v>-236.67</v>
      </c>
      <c r="AB173" s="307">
        <f t="shared" si="573"/>
        <v>-325658</v>
      </c>
      <c r="AC173" s="308">
        <f t="shared" si="574"/>
        <v>-236.67</v>
      </c>
      <c r="AD173" s="309">
        <f t="shared" si="554"/>
        <v>-325658</v>
      </c>
      <c r="AE173" s="425"/>
      <c r="AF173" s="425"/>
      <c r="AG173" s="310">
        <f t="shared" si="555"/>
        <v>-160.47</v>
      </c>
      <c r="AH173" s="252">
        <f t="shared" si="556"/>
        <v>-220807</v>
      </c>
      <c r="AI173" s="306">
        <f t="shared" si="575"/>
        <v>-35.5</v>
      </c>
      <c r="AJ173" s="252">
        <f t="shared" si="576"/>
        <v>-48849</v>
      </c>
      <c r="AK173" s="426"/>
      <c r="AL173" s="426"/>
      <c r="AM173" s="426"/>
      <c r="AN173" s="426"/>
      <c r="AO173" s="426"/>
      <c r="AP173" s="426"/>
      <c r="AQ173" s="427"/>
      <c r="AR173" s="427"/>
      <c r="AS173" s="427"/>
      <c r="AT173" s="426"/>
      <c r="AU173" s="410"/>
      <c r="AV173" s="410"/>
      <c r="AW173" s="410"/>
      <c r="AX173" s="410"/>
      <c r="AY173" s="410"/>
      <c r="AZ173" s="410"/>
      <c r="BA173" s="410"/>
      <c r="BB173" s="410"/>
      <c r="BC173" s="410"/>
      <c r="BD173" s="410"/>
      <c r="BE173" s="410"/>
    </row>
    <row r="174" ht="12.75" customHeight="1">
      <c r="A174" s="256" t="s">
        <v>645</v>
      </c>
      <c r="B174" s="257" t="s">
        <v>118</v>
      </c>
      <c r="C174" s="258" t="s">
        <v>119</v>
      </c>
      <c r="D174" s="258" t="s">
        <v>240</v>
      </c>
      <c r="E174" s="258" t="s">
        <v>241</v>
      </c>
      <c r="F174" s="259"/>
      <c r="G174" s="258" t="s">
        <v>103</v>
      </c>
      <c r="H174" s="258" t="s">
        <v>239</v>
      </c>
      <c r="I174" s="259" t="s">
        <v>105</v>
      </c>
      <c r="J174" s="316" t="s">
        <v>106</v>
      </c>
      <c r="K174" s="317">
        <f>ROUND(M174/0.15,2)</f>
        <v>76.13</v>
      </c>
      <c r="L174" s="318">
        <f>ROUND(N174/0.15,0)</f>
        <v>104760</v>
      </c>
      <c r="M174" s="319">
        <f t="shared" ref="M174:N174" si="577">Q174</f>
        <v>11.42</v>
      </c>
      <c r="N174" s="261">
        <f t="shared" si="577"/>
        <v>15714</v>
      </c>
      <c r="O174" s="262">
        <v>24.08</v>
      </c>
      <c r="P174" s="263">
        <v>33134.0</v>
      </c>
      <c r="Q174" s="260">
        <f t="shared" ref="Q174:R174" si="578">M172-O174</f>
        <v>11.42</v>
      </c>
      <c r="R174" s="261">
        <f t="shared" si="578"/>
        <v>15714</v>
      </c>
      <c r="S174" s="264">
        <v>1376.0</v>
      </c>
      <c r="T174" s="265">
        <v>15.0</v>
      </c>
      <c r="U174" s="266" t="s">
        <v>107</v>
      </c>
      <c r="V174" s="266" t="s">
        <v>1343</v>
      </c>
      <c r="W174" s="320">
        <v>0.1029</v>
      </c>
      <c r="X174" s="320">
        <v>0.03313</v>
      </c>
      <c r="Y174" s="320">
        <v>0.06977</v>
      </c>
      <c r="Z174" s="321">
        <f>Z172</f>
        <v>2300</v>
      </c>
      <c r="AA174" s="426"/>
      <c r="AB174" s="428"/>
      <c r="AC174" s="323">
        <f>IFERROR(ROUND(Z174*X174,2),0)</f>
        <v>76.2</v>
      </c>
      <c r="AD174" s="318">
        <f t="shared" si="554"/>
        <v>104851</v>
      </c>
      <c r="AE174" s="429"/>
      <c r="AF174" s="429"/>
      <c r="AG174" s="324">
        <f t="shared" si="555"/>
        <v>160.47</v>
      </c>
      <c r="AH174" s="261">
        <f t="shared" si="556"/>
        <v>220807</v>
      </c>
      <c r="AI174" s="426"/>
      <c r="AJ174" s="426"/>
      <c r="AK174" s="325">
        <f>ROUND(AC174*0.15,2)</f>
        <v>11.43</v>
      </c>
      <c r="AL174" s="261">
        <f>ROUND(AD174*0.15,0)</f>
        <v>15728</v>
      </c>
      <c r="AM174" s="325"/>
      <c r="AN174" s="325"/>
      <c r="AO174" s="325">
        <f>ROUND(AG174*0.15,2)</f>
        <v>24.07</v>
      </c>
      <c r="AP174" s="261">
        <f>ROUND(AH174*0.15,0)</f>
        <v>33121</v>
      </c>
      <c r="AQ174" s="326"/>
      <c r="AR174" s="326"/>
      <c r="AS174" s="326">
        <f>IFERROR(AC174/K174,IFERROR(AO174/O174,""))</f>
        <v>1.00091948</v>
      </c>
      <c r="AT174" s="426"/>
      <c r="AU174" s="410"/>
      <c r="AV174" s="410"/>
      <c r="AW174" s="410"/>
      <c r="AX174" s="410"/>
      <c r="AY174" s="410"/>
      <c r="AZ174" s="410"/>
      <c r="BA174" s="410"/>
      <c r="BB174" s="410"/>
      <c r="BC174" s="410"/>
      <c r="BD174" s="410"/>
      <c r="BE174" s="410"/>
    </row>
    <row r="175" ht="12.75" customHeight="1">
      <c r="A175" s="245" t="s">
        <v>647</v>
      </c>
      <c r="B175" s="246" t="s">
        <v>118</v>
      </c>
      <c r="C175" s="247" t="s">
        <v>119</v>
      </c>
      <c r="D175" s="247" t="s">
        <v>101</v>
      </c>
      <c r="E175" s="247" t="s">
        <v>241</v>
      </c>
      <c r="F175" s="248"/>
      <c r="G175" s="247" t="s">
        <v>131</v>
      </c>
      <c r="H175" s="247" t="s">
        <v>167</v>
      </c>
      <c r="I175" s="248" t="s">
        <v>105</v>
      </c>
      <c r="J175" s="300" t="s">
        <v>106</v>
      </c>
      <c r="K175" s="301">
        <v>795.1</v>
      </c>
      <c r="L175" s="302">
        <v>1096919.0</v>
      </c>
      <c r="M175" s="303">
        <v>119.26</v>
      </c>
      <c r="N175" s="250">
        <v>164531.0</v>
      </c>
      <c r="O175" s="249">
        <v>0.0</v>
      </c>
      <c r="P175" s="250">
        <v>0.0</v>
      </c>
      <c r="Q175" s="251">
        <f t="shared" ref="Q175:R175" si="579">M175-O175</f>
        <v>119.26</v>
      </c>
      <c r="R175" s="252">
        <f t="shared" si="579"/>
        <v>164531</v>
      </c>
      <c r="S175" s="253">
        <v>1379.6</v>
      </c>
      <c r="T175" s="254">
        <v>15.0</v>
      </c>
      <c r="U175" s="255" t="s">
        <v>107</v>
      </c>
      <c r="V175" s="255"/>
      <c r="W175" s="304">
        <v>0.7951</v>
      </c>
      <c r="X175" s="304">
        <v>0.023483</v>
      </c>
      <c r="Y175" s="304">
        <v>0.771617</v>
      </c>
      <c r="Z175" s="305">
        <f>IFERROR(ROUND(K175/W175,0),0)</f>
        <v>1000</v>
      </c>
      <c r="AA175" s="306">
        <f t="shared" ref="AA175:AA176" si="581">Z175*W175</f>
        <v>795.1</v>
      </c>
      <c r="AB175" s="307">
        <f t="shared" ref="AB175:AB176" si="582">ROUND(AA175*S175,0)</f>
        <v>1096920</v>
      </c>
      <c r="AC175" s="308">
        <f t="shared" ref="AC175:AC176" si="583">AA175</f>
        <v>795.1</v>
      </c>
      <c r="AD175" s="309">
        <f t="shared" si="554"/>
        <v>1096920</v>
      </c>
      <c r="AE175" s="425"/>
      <c r="AF175" s="425"/>
      <c r="AG175" s="310">
        <f t="shared" si="555"/>
        <v>771.62</v>
      </c>
      <c r="AH175" s="252">
        <f t="shared" si="556"/>
        <v>1064527</v>
      </c>
      <c r="AI175" s="306">
        <f t="shared" ref="AI175:AI176" si="584">ROUND(AC175*0.15,2)</f>
        <v>119.27</v>
      </c>
      <c r="AJ175" s="252">
        <f t="shared" ref="AJ175:AJ176" si="585">ROUND(AD175*0.15,0)</f>
        <v>164538</v>
      </c>
      <c r="AK175" s="426"/>
      <c r="AL175" s="426"/>
      <c r="AM175" s="426"/>
      <c r="AN175" s="426"/>
      <c r="AO175" s="426"/>
      <c r="AP175" s="426"/>
      <c r="AQ175" s="427"/>
      <c r="AR175" s="427"/>
      <c r="AS175" s="427"/>
      <c r="AT175" s="426"/>
      <c r="AU175" s="410"/>
      <c r="AV175" s="410"/>
      <c r="AW175" s="410"/>
      <c r="AX175" s="410"/>
      <c r="AY175" s="410"/>
      <c r="AZ175" s="410"/>
      <c r="BA175" s="410"/>
      <c r="BB175" s="410"/>
      <c r="BC175" s="410"/>
      <c r="BD175" s="410"/>
      <c r="BE175" s="410"/>
    </row>
    <row r="176" ht="12.75" customHeight="1">
      <c r="A176" s="245" t="s">
        <v>648</v>
      </c>
      <c r="B176" s="246" t="s">
        <v>118</v>
      </c>
      <c r="C176" s="247" t="s">
        <v>119</v>
      </c>
      <c r="D176" s="247" t="s">
        <v>101</v>
      </c>
      <c r="E176" s="247" t="s">
        <v>241</v>
      </c>
      <c r="F176" s="248"/>
      <c r="G176" s="247" t="s">
        <v>131</v>
      </c>
      <c r="H176" s="247" t="s">
        <v>167</v>
      </c>
      <c r="I176" s="248" t="s">
        <v>105</v>
      </c>
      <c r="J176" s="300" t="s">
        <v>106</v>
      </c>
      <c r="K176" s="314">
        <f t="shared" ref="K176:R176" si="580">-K175</f>
        <v>-795.1</v>
      </c>
      <c r="L176" s="309">
        <f t="shared" si="580"/>
        <v>-1096919</v>
      </c>
      <c r="M176" s="315">
        <f t="shared" si="580"/>
        <v>-119.26</v>
      </c>
      <c r="N176" s="252">
        <f t="shared" si="580"/>
        <v>-164531</v>
      </c>
      <c r="O176" s="251">
        <f t="shared" si="580"/>
        <v>0</v>
      </c>
      <c r="P176" s="252">
        <f t="shared" si="580"/>
        <v>0</v>
      </c>
      <c r="Q176" s="251">
        <f t="shared" si="580"/>
        <v>-119.26</v>
      </c>
      <c r="R176" s="252">
        <f t="shared" si="580"/>
        <v>-164531</v>
      </c>
      <c r="S176" s="253">
        <v>1379.6</v>
      </c>
      <c r="T176" s="254">
        <v>15.0</v>
      </c>
      <c r="U176" s="255" t="s">
        <v>107</v>
      </c>
      <c r="V176" s="255"/>
      <c r="W176" s="304">
        <v>0.7951</v>
      </c>
      <c r="X176" s="304">
        <v>0.023483</v>
      </c>
      <c r="Y176" s="304">
        <v>0.771617</v>
      </c>
      <c r="Z176" s="305">
        <f>-Z175</f>
        <v>-1000</v>
      </c>
      <c r="AA176" s="306">
        <f t="shared" si="581"/>
        <v>-795.1</v>
      </c>
      <c r="AB176" s="307">
        <f t="shared" si="582"/>
        <v>-1096920</v>
      </c>
      <c r="AC176" s="308">
        <f t="shared" si="583"/>
        <v>-795.1</v>
      </c>
      <c r="AD176" s="309">
        <f t="shared" si="554"/>
        <v>-1096920</v>
      </c>
      <c r="AE176" s="425"/>
      <c r="AF176" s="425"/>
      <c r="AG176" s="310">
        <f t="shared" si="555"/>
        <v>-771.62</v>
      </c>
      <c r="AH176" s="252">
        <f t="shared" si="556"/>
        <v>-1064527</v>
      </c>
      <c r="AI176" s="306">
        <f t="shared" si="584"/>
        <v>-119.27</v>
      </c>
      <c r="AJ176" s="252">
        <f t="shared" si="585"/>
        <v>-164538</v>
      </c>
      <c r="AK176" s="426"/>
      <c r="AL176" s="426"/>
      <c r="AM176" s="426"/>
      <c r="AN176" s="426"/>
      <c r="AO176" s="426"/>
      <c r="AP176" s="426"/>
      <c r="AQ176" s="427"/>
      <c r="AR176" s="427"/>
      <c r="AS176" s="427"/>
      <c r="AT176" s="426"/>
      <c r="AU176" s="410"/>
      <c r="AV176" s="410"/>
      <c r="AW176" s="410"/>
      <c r="AX176" s="410"/>
      <c r="AY176" s="410"/>
      <c r="AZ176" s="410"/>
      <c r="BA176" s="410"/>
      <c r="BB176" s="410"/>
      <c r="BC176" s="410"/>
      <c r="BD176" s="410"/>
      <c r="BE176" s="410"/>
    </row>
    <row r="177" ht="12.75" customHeight="1">
      <c r="A177" s="256" t="s">
        <v>649</v>
      </c>
      <c r="B177" s="257" t="s">
        <v>118</v>
      </c>
      <c r="C177" s="258" t="s">
        <v>119</v>
      </c>
      <c r="D177" s="258" t="s">
        <v>101</v>
      </c>
      <c r="E177" s="258" t="s">
        <v>241</v>
      </c>
      <c r="F177" s="259"/>
      <c r="G177" s="258" t="s">
        <v>131</v>
      </c>
      <c r="H177" s="258" t="s">
        <v>167</v>
      </c>
      <c r="I177" s="259" t="s">
        <v>105</v>
      </c>
      <c r="J177" s="316" t="s">
        <v>106</v>
      </c>
      <c r="K177" s="317">
        <f>ROUND(M177/0.15,2)</f>
        <v>23.4</v>
      </c>
      <c r="L177" s="318">
        <f>ROUND(N177/0.15,0)</f>
        <v>32280</v>
      </c>
      <c r="M177" s="319">
        <f t="shared" ref="M177:N177" si="586">Q177</f>
        <v>3.51</v>
      </c>
      <c r="N177" s="261">
        <f t="shared" si="586"/>
        <v>4842</v>
      </c>
      <c r="O177" s="262">
        <v>115.75</v>
      </c>
      <c r="P177" s="263">
        <v>159689.0</v>
      </c>
      <c r="Q177" s="260">
        <f t="shared" ref="Q177:R177" si="587">M175-O177</f>
        <v>3.51</v>
      </c>
      <c r="R177" s="261">
        <f t="shared" si="587"/>
        <v>4842</v>
      </c>
      <c r="S177" s="264">
        <v>1379.6</v>
      </c>
      <c r="T177" s="265">
        <v>15.0</v>
      </c>
      <c r="U177" s="266" t="s">
        <v>107</v>
      </c>
      <c r="V177" s="266" t="s">
        <v>1344</v>
      </c>
      <c r="W177" s="320">
        <v>0.7951</v>
      </c>
      <c r="X177" s="320">
        <v>0.023483</v>
      </c>
      <c r="Y177" s="320">
        <v>0.771617</v>
      </c>
      <c r="Z177" s="321">
        <f>Z175</f>
        <v>1000</v>
      </c>
      <c r="AA177" s="426"/>
      <c r="AB177" s="428"/>
      <c r="AC177" s="323">
        <f>IFERROR(ROUND(Z177*X177,2),0)</f>
        <v>23.48</v>
      </c>
      <c r="AD177" s="318">
        <f t="shared" si="554"/>
        <v>32393</v>
      </c>
      <c r="AE177" s="429"/>
      <c r="AF177" s="429"/>
      <c r="AG177" s="324">
        <f t="shared" si="555"/>
        <v>771.62</v>
      </c>
      <c r="AH177" s="261">
        <f t="shared" si="556"/>
        <v>1064527</v>
      </c>
      <c r="AI177" s="426"/>
      <c r="AJ177" s="426"/>
      <c r="AK177" s="325">
        <f>ROUND(AC177*0.15,2)</f>
        <v>3.52</v>
      </c>
      <c r="AL177" s="261">
        <f>ROUND(AD177*0.15,0)</f>
        <v>4859</v>
      </c>
      <c r="AM177" s="325"/>
      <c r="AN177" s="325"/>
      <c r="AO177" s="325">
        <f>ROUND(AG177*0.15,2)</f>
        <v>115.74</v>
      </c>
      <c r="AP177" s="261">
        <f>ROUND(AH177*0.15,0)</f>
        <v>159679</v>
      </c>
      <c r="AQ177" s="326"/>
      <c r="AR177" s="326"/>
      <c r="AS177" s="326">
        <f>IFERROR(AC177/K177,IFERROR(AO177/O177,""))</f>
        <v>1.003418803</v>
      </c>
      <c r="AT177" s="426"/>
      <c r="AU177" s="410"/>
      <c r="AV177" s="410"/>
      <c r="AW177" s="410"/>
      <c r="AX177" s="410"/>
      <c r="AY177" s="410"/>
      <c r="AZ177" s="410"/>
      <c r="BA177" s="410"/>
      <c r="BB177" s="410"/>
      <c r="BC177" s="410"/>
      <c r="BD177" s="410"/>
      <c r="BE177" s="410"/>
    </row>
    <row r="178" ht="12.75" customHeight="1">
      <c r="A178" s="245" t="s">
        <v>651</v>
      </c>
      <c r="B178" s="246" t="s">
        <v>118</v>
      </c>
      <c r="C178" s="247" t="s">
        <v>119</v>
      </c>
      <c r="D178" s="247" t="s">
        <v>108</v>
      </c>
      <c r="E178" s="247" t="s">
        <v>242</v>
      </c>
      <c r="F178" s="248"/>
      <c r="G178" s="247" t="s">
        <v>103</v>
      </c>
      <c r="H178" s="247" t="s">
        <v>239</v>
      </c>
      <c r="I178" s="248" t="s">
        <v>105</v>
      </c>
      <c r="J178" s="300" t="s">
        <v>106</v>
      </c>
      <c r="K178" s="301">
        <v>231.84</v>
      </c>
      <c r="L178" s="302">
        <v>321075.0</v>
      </c>
      <c r="M178" s="303">
        <v>34.78</v>
      </c>
      <c r="N178" s="250">
        <v>48166.0</v>
      </c>
      <c r="O178" s="249">
        <v>0.0</v>
      </c>
      <c r="P178" s="250">
        <v>0.0</v>
      </c>
      <c r="Q178" s="251">
        <f t="shared" ref="Q178:R178" si="588">M178-O178</f>
        <v>34.78</v>
      </c>
      <c r="R178" s="252">
        <f t="shared" si="588"/>
        <v>48166</v>
      </c>
      <c r="S178" s="253">
        <v>1384.9</v>
      </c>
      <c r="T178" s="254">
        <v>15.0</v>
      </c>
      <c r="U178" s="255" t="s">
        <v>107</v>
      </c>
      <c r="V178" s="255"/>
      <c r="W178" s="304">
        <v>0.1003</v>
      </c>
      <c r="X178" s="304">
        <v>0.032293</v>
      </c>
      <c r="Y178" s="304">
        <v>0.068007</v>
      </c>
      <c r="Z178" s="305">
        <f>IFERROR(ROUND(K178/W178,0),0)</f>
        <v>2311</v>
      </c>
      <c r="AA178" s="306">
        <f t="shared" ref="AA178:AA179" si="590">Z178*W178</f>
        <v>231.7933</v>
      </c>
      <c r="AB178" s="307">
        <f t="shared" ref="AB178:AB179" si="591">ROUND(AA178*S178,0)</f>
        <v>321011</v>
      </c>
      <c r="AC178" s="308">
        <f t="shared" ref="AC178:AC179" si="592">AA178</f>
        <v>231.7933</v>
      </c>
      <c r="AD178" s="309">
        <f t="shared" si="554"/>
        <v>321011</v>
      </c>
      <c r="AE178" s="425"/>
      <c r="AF178" s="425"/>
      <c r="AG178" s="310">
        <f t="shared" si="555"/>
        <v>157.16</v>
      </c>
      <c r="AH178" s="252">
        <f t="shared" si="556"/>
        <v>217651</v>
      </c>
      <c r="AI178" s="306">
        <f t="shared" ref="AI178:AI179" si="593">ROUND(AC178*0.15,2)</f>
        <v>34.77</v>
      </c>
      <c r="AJ178" s="252">
        <f t="shared" ref="AJ178:AJ179" si="594">ROUND(AD178*0.15,0)</f>
        <v>48152</v>
      </c>
      <c r="AK178" s="426"/>
      <c r="AL178" s="426"/>
      <c r="AM178" s="426"/>
      <c r="AN178" s="426"/>
      <c r="AO178" s="426"/>
      <c r="AP178" s="426"/>
      <c r="AQ178" s="427"/>
      <c r="AR178" s="427"/>
      <c r="AS178" s="427"/>
      <c r="AT178" s="426"/>
      <c r="AU178" s="410"/>
      <c r="AV178" s="410"/>
      <c r="AW178" s="410"/>
      <c r="AX178" s="410"/>
      <c r="AY178" s="410"/>
      <c r="AZ178" s="410"/>
      <c r="BA178" s="410"/>
      <c r="BB178" s="410"/>
      <c r="BC178" s="410"/>
      <c r="BD178" s="410"/>
      <c r="BE178" s="410"/>
    </row>
    <row r="179" ht="12.75" customHeight="1">
      <c r="A179" s="245" t="s">
        <v>652</v>
      </c>
      <c r="B179" s="246" t="s">
        <v>118</v>
      </c>
      <c r="C179" s="247" t="s">
        <v>119</v>
      </c>
      <c r="D179" s="247" t="s">
        <v>108</v>
      </c>
      <c r="E179" s="247" t="s">
        <v>242</v>
      </c>
      <c r="F179" s="248"/>
      <c r="G179" s="247" t="s">
        <v>103</v>
      </c>
      <c r="H179" s="247" t="s">
        <v>239</v>
      </c>
      <c r="I179" s="248" t="s">
        <v>105</v>
      </c>
      <c r="J179" s="300" t="s">
        <v>106</v>
      </c>
      <c r="K179" s="314">
        <f t="shared" ref="K179:R179" si="589">-K178</f>
        <v>-231.84</v>
      </c>
      <c r="L179" s="309">
        <f t="shared" si="589"/>
        <v>-321075</v>
      </c>
      <c r="M179" s="315">
        <f t="shared" si="589"/>
        <v>-34.78</v>
      </c>
      <c r="N179" s="252">
        <f t="shared" si="589"/>
        <v>-48166</v>
      </c>
      <c r="O179" s="251">
        <f t="shared" si="589"/>
        <v>0</v>
      </c>
      <c r="P179" s="252">
        <f t="shared" si="589"/>
        <v>0</v>
      </c>
      <c r="Q179" s="251">
        <f t="shared" si="589"/>
        <v>-34.78</v>
      </c>
      <c r="R179" s="252">
        <f t="shared" si="589"/>
        <v>-48166</v>
      </c>
      <c r="S179" s="253">
        <v>1384.9</v>
      </c>
      <c r="T179" s="254">
        <v>15.0</v>
      </c>
      <c r="U179" s="255" t="s">
        <v>107</v>
      </c>
      <c r="V179" s="255"/>
      <c r="W179" s="304">
        <v>0.1003</v>
      </c>
      <c r="X179" s="304">
        <v>0.032293</v>
      </c>
      <c r="Y179" s="304">
        <v>0.068007</v>
      </c>
      <c r="Z179" s="305">
        <f>-Z178</f>
        <v>-2311</v>
      </c>
      <c r="AA179" s="306">
        <f t="shared" si="590"/>
        <v>-231.7933</v>
      </c>
      <c r="AB179" s="307">
        <f t="shared" si="591"/>
        <v>-321011</v>
      </c>
      <c r="AC179" s="308">
        <f t="shared" si="592"/>
        <v>-231.7933</v>
      </c>
      <c r="AD179" s="309">
        <f t="shared" si="554"/>
        <v>-321011</v>
      </c>
      <c r="AE179" s="425"/>
      <c r="AF179" s="425"/>
      <c r="AG179" s="310">
        <f t="shared" si="555"/>
        <v>-157.16</v>
      </c>
      <c r="AH179" s="252">
        <f t="shared" si="556"/>
        <v>-217651</v>
      </c>
      <c r="AI179" s="306">
        <f t="shared" si="593"/>
        <v>-34.77</v>
      </c>
      <c r="AJ179" s="252">
        <f t="shared" si="594"/>
        <v>-48152</v>
      </c>
      <c r="AK179" s="426"/>
      <c r="AL179" s="426"/>
      <c r="AM179" s="426"/>
      <c r="AN179" s="426"/>
      <c r="AO179" s="426"/>
      <c r="AP179" s="426"/>
      <c r="AQ179" s="427"/>
      <c r="AR179" s="427"/>
      <c r="AS179" s="427"/>
      <c r="AT179" s="426"/>
      <c r="AU179" s="410"/>
      <c r="AV179" s="410"/>
      <c r="AW179" s="410"/>
      <c r="AX179" s="410"/>
      <c r="AY179" s="410"/>
      <c r="AZ179" s="410"/>
      <c r="BA179" s="410"/>
      <c r="BB179" s="410"/>
      <c r="BC179" s="410"/>
      <c r="BD179" s="410"/>
      <c r="BE179" s="410"/>
    </row>
    <row r="180" ht="12.75" customHeight="1">
      <c r="A180" s="256" t="s">
        <v>653</v>
      </c>
      <c r="B180" s="257" t="s">
        <v>118</v>
      </c>
      <c r="C180" s="258" t="s">
        <v>119</v>
      </c>
      <c r="D180" s="258" t="s">
        <v>108</v>
      </c>
      <c r="E180" s="258" t="s">
        <v>242</v>
      </c>
      <c r="F180" s="259"/>
      <c r="G180" s="258" t="s">
        <v>103</v>
      </c>
      <c r="H180" s="258" t="s">
        <v>239</v>
      </c>
      <c r="I180" s="259" t="s">
        <v>105</v>
      </c>
      <c r="J180" s="316" t="s">
        <v>106</v>
      </c>
      <c r="K180" s="317">
        <f>ROUND(M180/0.15,2)</f>
        <v>74.67</v>
      </c>
      <c r="L180" s="318">
        <f>ROUND(N180/0.15,0)</f>
        <v>103400</v>
      </c>
      <c r="M180" s="319">
        <f t="shared" ref="M180:N180" si="595">Q180</f>
        <v>11.2</v>
      </c>
      <c r="N180" s="261">
        <f t="shared" si="595"/>
        <v>15510</v>
      </c>
      <c r="O180" s="262">
        <v>23.58</v>
      </c>
      <c r="P180" s="263">
        <v>32656.0</v>
      </c>
      <c r="Q180" s="260">
        <f t="shared" ref="Q180:R180" si="596">M178-O180</f>
        <v>11.2</v>
      </c>
      <c r="R180" s="261">
        <f t="shared" si="596"/>
        <v>15510</v>
      </c>
      <c r="S180" s="264">
        <v>1384.9</v>
      </c>
      <c r="T180" s="265">
        <v>15.0</v>
      </c>
      <c r="U180" s="266" t="s">
        <v>107</v>
      </c>
      <c r="V180" s="266" t="s">
        <v>1345</v>
      </c>
      <c r="W180" s="320">
        <v>0.1003</v>
      </c>
      <c r="X180" s="320">
        <v>0.032293</v>
      </c>
      <c r="Y180" s="320">
        <v>0.068007</v>
      </c>
      <c r="Z180" s="321">
        <f>Z178</f>
        <v>2311</v>
      </c>
      <c r="AA180" s="426"/>
      <c r="AB180" s="428"/>
      <c r="AC180" s="323">
        <f>IFERROR(ROUND(Z180*X180,2),0)</f>
        <v>74.63</v>
      </c>
      <c r="AD180" s="318">
        <f t="shared" si="554"/>
        <v>103355</v>
      </c>
      <c r="AE180" s="429"/>
      <c r="AF180" s="429"/>
      <c r="AG180" s="324">
        <f t="shared" si="555"/>
        <v>157.16</v>
      </c>
      <c r="AH180" s="261">
        <f t="shared" si="556"/>
        <v>217651</v>
      </c>
      <c r="AI180" s="426"/>
      <c r="AJ180" s="426"/>
      <c r="AK180" s="325">
        <f>ROUND(AC180*0.15,2)</f>
        <v>11.19</v>
      </c>
      <c r="AL180" s="261">
        <f>ROUND(AD180*0.15,0)</f>
        <v>15503</v>
      </c>
      <c r="AM180" s="325"/>
      <c r="AN180" s="325"/>
      <c r="AO180" s="325">
        <f>ROUND(AG180*0.15,2)</f>
        <v>23.57</v>
      </c>
      <c r="AP180" s="261">
        <f>ROUND(AH180*0.15,0)</f>
        <v>32648</v>
      </c>
      <c r="AQ180" s="326"/>
      <c r="AR180" s="326"/>
      <c r="AS180" s="326">
        <f>IFERROR(AC180/K180,IFERROR(AO180/O180,""))</f>
        <v>0.9994643096</v>
      </c>
      <c r="AT180" s="426"/>
      <c r="AU180" s="410"/>
      <c r="AV180" s="410"/>
      <c r="AW180" s="410"/>
      <c r="AX180" s="410"/>
      <c r="AY180" s="410"/>
      <c r="AZ180" s="410"/>
      <c r="BA180" s="410"/>
      <c r="BB180" s="410"/>
      <c r="BC180" s="410"/>
      <c r="BD180" s="410"/>
      <c r="BE180" s="410"/>
    </row>
    <row r="181" ht="12.75" customHeight="1">
      <c r="A181" s="245" t="s">
        <v>655</v>
      </c>
      <c r="B181" s="246" t="s">
        <v>118</v>
      </c>
      <c r="C181" s="247" t="s">
        <v>119</v>
      </c>
      <c r="D181" s="247" t="s">
        <v>108</v>
      </c>
      <c r="E181" s="247" t="s">
        <v>242</v>
      </c>
      <c r="F181" s="248"/>
      <c r="G181" s="247" t="s">
        <v>135</v>
      </c>
      <c r="H181" s="247" t="s">
        <v>172</v>
      </c>
      <c r="I181" s="248" t="s">
        <v>105</v>
      </c>
      <c r="J181" s="300" t="s">
        <v>106</v>
      </c>
      <c r="K181" s="301">
        <v>1183.5</v>
      </c>
      <c r="L181" s="302">
        <v>1639029.0</v>
      </c>
      <c r="M181" s="303">
        <v>177.53</v>
      </c>
      <c r="N181" s="250">
        <v>245861.0</v>
      </c>
      <c r="O181" s="249">
        <v>0.0</v>
      </c>
      <c r="P181" s="250">
        <v>0.0</v>
      </c>
      <c r="Q181" s="251">
        <f t="shared" ref="Q181:R181" si="597">M181-O181</f>
        <v>177.53</v>
      </c>
      <c r="R181" s="252">
        <f t="shared" si="597"/>
        <v>245861</v>
      </c>
      <c r="S181" s="253">
        <v>1384.9</v>
      </c>
      <c r="T181" s="254">
        <v>15.0</v>
      </c>
      <c r="U181" s="255" t="s">
        <v>107</v>
      </c>
      <c r="V181" s="255"/>
      <c r="W181" s="304">
        <v>1.1835</v>
      </c>
      <c r="X181" s="304">
        <v>0.0</v>
      </c>
      <c r="Y181" s="304">
        <v>1.1835</v>
      </c>
      <c r="Z181" s="305">
        <f>IFERROR(ROUND(K181/W181,0),0)</f>
        <v>1000</v>
      </c>
      <c r="AA181" s="306">
        <f t="shared" ref="AA181:AA182" si="599">Z181*W181</f>
        <v>1183.5</v>
      </c>
      <c r="AB181" s="307">
        <f t="shared" ref="AB181:AB182" si="600">ROUND(AA181*S181,0)</f>
        <v>1639029</v>
      </c>
      <c r="AC181" s="308">
        <f t="shared" ref="AC181:AC182" si="601">AA181</f>
        <v>1183.5</v>
      </c>
      <c r="AD181" s="309">
        <f t="shared" si="554"/>
        <v>1639029</v>
      </c>
      <c r="AE181" s="425"/>
      <c r="AF181" s="425"/>
      <c r="AG181" s="310">
        <f t="shared" si="555"/>
        <v>1183.5</v>
      </c>
      <c r="AH181" s="252">
        <f t="shared" si="556"/>
        <v>1639029</v>
      </c>
      <c r="AI181" s="306">
        <f t="shared" ref="AI181:AI182" si="602">ROUND(AC181*0.15,2)</f>
        <v>177.53</v>
      </c>
      <c r="AJ181" s="252">
        <f t="shared" ref="AJ181:AJ182" si="603">ROUND(AD181*0.15,0)</f>
        <v>245854</v>
      </c>
      <c r="AK181" s="426"/>
      <c r="AL181" s="426"/>
      <c r="AM181" s="426"/>
      <c r="AN181" s="426"/>
      <c r="AO181" s="426"/>
      <c r="AP181" s="426"/>
      <c r="AQ181" s="427"/>
      <c r="AR181" s="427"/>
      <c r="AS181" s="427"/>
      <c r="AT181" s="426"/>
      <c r="AU181" s="410"/>
      <c r="AV181" s="410"/>
      <c r="AW181" s="410"/>
      <c r="AX181" s="410"/>
      <c r="AY181" s="410"/>
      <c r="AZ181" s="410"/>
      <c r="BA181" s="410"/>
      <c r="BB181" s="410"/>
      <c r="BC181" s="410"/>
      <c r="BD181" s="410"/>
      <c r="BE181" s="410"/>
    </row>
    <row r="182" ht="12.75" customHeight="1">
      <c r="A182" s="245" t="s">
        <v>656</v>
      </c>
      <c r="B182" s="246" t="s">
        <v>118</v>
      </c>
      <c r="C182" s="247" t="s">
        <v>119</v>
      </c>
      <c r="D182" s="247" t="s">
        <v>108</v>
      </c>
      <c r="E182" s="247" t="s">
        <v>242</v>
      </c>
      <c r="F182" s="248"/>
      <c r="G182" s="247" t="s">
        <v>135</v>
      </c>
      <c r="H182" s="247" t="s">
        <v>172</v>
      </c>
      <c r="I182" s="248" t="s">
        <v>105</v>
      </c>
      <c r="J182" s="300" t="s">
        <v>106</v>
      </c>
      <c r="K182" s="314">
        <f t="shared" ref="K182:R182" si="598">-K181</f>
        <v>-1183.5</v>
      </c>
      <c r="L182" s="309">
        <f t="shared" si="598"/>
        <v>-1639029</v>
      </c>
      <c r="M182" s="315">
        <f t="shared" si="598"/>
        <v>-177.53</v>
      </c>
      <c r="N182" s="252">
        <f t="shared" si="598"/>
        <v>-245861</v>
      </c>
      <c r="O182" s="251">
        <f t="shared" si="598"/>
        <v>0</v>
      </c>
      <c r="P182" s="252">
        <f t="shared" si="598"/>
        <v>0</v>
      </c>
      <c r="Q182" s="251">
        <f t="shared" si="598"/>
        <v>-177.53</v>
      </c>
      <c r="R182" s="252">
        <f t="shared" si="598"/>
        <v>-245861</v>
      </c>
      <c r="S182" s="253">
        <v>1384.9</v>
      </c>
      <c r="T182" s="254">
        <v>15.0</v>
      </c>
      <c r="U182" s="255" t="s">
        <v>107</v>
      </c>
      <c r="V182" s="255"/>
      <c r="W182" s="304">
        <v>1.1835</v>
      </c>
      <c r="X182" s="304">
        <v>0.0</v>
      </c>
      <c r="Y182" s="304">
        <v>1.1835</v>
      </c>
      <c r="Z182" s="305">
        <f>-Z181</f>
        <v>-1000</v>
      </c>
      <c r="AA182" s="306">
        <f t="shared" si="599"/>
        <v>-1183.5</v>
      </c>
      <c r="AB182" s="307">
        <f t="shared" si="600"/>
        <v>-1639029</v>
      </c>
      <c r="AC182" s="308">
        <f t="shared" si="601"/>
        <v>-1183.5</v>
      </c>
      <c r="AD182" s="309">
        <f t="shared" si="554"/>
        <v>-1639029</v>
      </c>
      <c r="AE182" s="425"/>
      <c r="AF182" s="425"/>
      <c r="AG182" s="310">
        <f t="shared" si="555"/>
        <v>-1183.5</v>
      </c>
      <c r="AH182" s="252">
        <f t="shared" si="556"/>
        <v>-1639029</v>
      </c>
      <c r="AI182" s="306">
        <f t="shared" si="602"/>
        <v>-177.53</v>
      </c>
      <c r="AJ182" s="252">
        <f t="shared" si="603"/>
        <v>-245854</v>
      </c>
      <c r="AK182" s="426"/>
      <c r="AL182" s="426"/>
      <c r="AM182" s="426"/>
      <c r="AN182" s="426"/>
      <c r="AO182" s="426"/>
      <c r="AP182" s="426"/>
      <c r="AQ182" s="427"/>
      <c r="AR182" s="427"/>
      <c r="AS182" s="427"/>
      <c r="AT182" s="426"/>
      <c r="AU182" s="410"/>
      <c r="AV182" s="410"/>
      <c r="AW182" s="410"/>
      <c r="AX182" s="410"/>
      <c r="AY182" s="410"/>
      <c r="AZ182" s="410"/>
      <c r="BA182" s="410"/>
      <c r="BB182" s="410"/>
      <c r="BC182" s="410"/>
      <c r="BD182" s="410"/>
      <c r="BE182" s="410"/>
    </row>
    <row r="183" ht="12.75" customHeight="1">
      <c r="A183" s="256" t="s">
        <v>657</v>
      </c>
      <c r="B183" s="257" t="s">
        <v>118</v>
      </c>
      <c r="C183" s="258" t="s">
        <v>119</v>
      </c>
      <c r="D183" s="258" t="s">
        <v>108</v>
      </c>
      <c r="E183" s="258" t="s">
        <v>242</v>
      </c>
      <c r="F183" s="259"/>
      <c r="G183" s="258" t="s">
        <v>135</v>
      </c>
      <c r="H183" s="258" t="s">
        <v>172</v>
      </c>
      <c r="I183" s="259" t="s">
        <v>105</v>
      </c>
      <c r="J183" s="316" t="s">
        <v>106</v>
      </c>
      <c r="K183" s="317">
        <f>ROUND(M183/0.15,2)</f>
        <v>0</v>
      </c>
      <c r="L183" s="318">
        <f>ROUND(N183/0.15,0)</f>
        <v>0</v>
      </c>
      <c r="M183" s="319">
        <f t="shared" ref="M183:N183" si="604">Q183</f>
        <v>0</v>
      </c>
      <c r="N183" s="261">
        <f t="shared" si="604"/>
        <v>0</v>
      </c>
      <c r="O183" s="262">
        <v>177.53</v>
      </c>
      <c r="P183" s="263">
        <v>245861.0</v>
      </c>
      <c r="Q183" s="260">
        <f t="shared" ref="Q183:R183" si="605">M181-O183</f>
        <v>0</v>
      </c>
      <c r="R183" s="261">
        <f t="shared" si="605"/>
        <v>0</v>
      </c>
      <c r="S183" s="264">
        <v>1384.9</v>
      </c>
      <c r="T183" s="265">
        <v>15.0</v>
      </c>
      <c r="U183" s="266" t="s">
        <v>107</v>
      </c>
      <c r="V183" s="266" t="s">
        <v>1346</v>
      </c>
      <c r="W183" s="320">
        <v>1.1835</v>
      </c>
      <c r="X183" s="320">
        <v>0.0</v>
      </c>
      <c r="Y183" s="320">
        <v>1.1835</v>
      </c>
      <c r="Z183" s="321">
        <f>Z181</f>
        <v>1000</v>
      </c>
      <c r="AA183" s="426"/>
      <c r="AB183" s="428"/>
      <c r="AC183" s="323">
        <f>IFERROR(ROUND(Z183*X183,2),0)</f>
        <v>0</v>
      </c>
      <c r="AD183" s="318">
        <f t="shared" si="554"/>
        <v>0</v>
      </c>
      <c r="AE183" s="429"/>
      <c r="AF183" s="429"/>
      <c r="AG183" s="324">
        <f t="shared" si="555"/>
        <v>1183.5</v>
      </c>
      <c r="AH183" s="261">
        <f t="shared" si="556"/>
        <v>1639029</v>
      </c>
      <c r="AI183" s="426"/>
      <c r="AJ183" s="426"/>
      <c r="AK183" s="325">
        <f>ROUND(AC183*0.15,2)</f>
        <v>0</v>
      </c>
      <c r="AL183" s="261">
        <f>ROUND(AD183*0.15,0)</f>
        <v>0</v>
      </c>
      <c r="AM183" s="325"/>
      <c r="AN183" s="325"/>
      <c r="AO183" s="325">
        <f>ROUND(AG183*0.15,2)</f>
        <v>177.53</v>
      </c>
      <c r="AP183" s="261">
        <f>ROUND(AH183*0.15,0)</f>
        <v>245854</v>
      </c>
      <c r="AQ183" s="326"/>
      <c r="AR183" s="326"/>
      <c r="AS183" s="326">
        <f>IFERROR(AC183/K183,IFERROR(AO183/O183,""))</f>
        <v>1</v>
      </c>
      <c r="AT183" s="426"/>
      <c r="AU183" s="410"/>
      <c r="AV183" s="410"/>
      <c r="AW183" s="410"/>
      <c r="AX183" s="410"/>
      <c r="AY183" s="410"/>
      <c r="AZ183" s="410"/>
      <c r="BA183" s="410"/>
      <c r="BB183" s="410"/>
      <c r="BC183" s="410"/>
      <c r="BD183" s="410"/>
      <c r="BE183" s="410"/>
    </row>
    <row r="184" ht="12.75" customHeight="1">
      <c r="A184" s="245" t="s">
        <v>659</v>
      </c>
      <c r="B184" s="246" t="s">
        <v>118</v>
      </c>
      <c r="C184" s="247" t="s">
        <v>119</v>
      </c>
      <c r="D184" s="247" t="s">
        <v>110</v>
      </c>
      <c r="E184" s="247" t="s">
        <v>243</v>
      </c>
      <c r="F184" s="248"/>
      <c r="G184" s="247" t="s">
        <v>103</v>
      </c>
      <c r="H184" s="247" t="s">
        <v>239</v>
      </c>
      <c r="I184" s="248" t="s">
        <v>105</v>
      </c>
      <c r="J184" s="300" t="s">
        <v>106</v>
      </c>
      <c r="K184" s="301">
        <v>230.69</v>
      </c>
      <c r="L184" s="302">
        <v>319736.0</v>
      </c>
      <c r="M184" s="303">
        <v>34.6</v>
      </c>
      <c r="N184" s="250">
        <v>47955.0</v>
      </c>
      <c r="O184" s="249">
        <v>0.0</v>
      </c>
      <c r="P184" s="250">
        <v>0.0</v>
      </c>
      <c r="Q184" s="251">
        <f t="shared" ref="Q184:R184" si="606">M184-O184</f>
        <v>34.6</v>
      </c>
      <c r="R184" s="252">
        <f t="shared" si="606"/>
        <v>47955</v>
      </c>
      <c r="S184" s="253">
        <v>1386.0</v>
      </c>
      <c r="T184" s="254">
        <v>15.0</v>
      </c>
      <c r="U184" s="255" t="s">
        <v>107</v>
      </c>
      <c r="V184" s="255"/>
      <c r="W184" s="304">
        <v>0.1003</v>
      </c>
      <c r="X184" s="304">
        <v>0.032293</v>
      </c>
      <c r="Y184" s="304">
        <v>0.068007</v>
      </c>
      <c r="Z184" s="305">
        <f>IFERROR(ROUND(K184/W184,0),0)</f>
        <v>2300</v>
      </c>
      <c r="AA184" s="306">
        <f t="shared" ref="AA184:AA185" si="608">Z184*W184</f>
        <v>230.69</v>
      </c>
      <c r="AB184" s="307">
        <f t="shared" ref="AB184:AB185" si="609">ROUND(AA184*S184,0)</f>
        <v>319736</v>
      </c>
      <c r="AC184" s="308">
        <f t="shared" ref="AC184:AC185" si="610">AA184</f>
        <v>230.69</v>
      </c>
      <c r="AD184" s="309">
        <f t="shared" si="554"/>
        <v>319736</v>
      </c>
      <c r="AE184" s="425"/>
      <c r="AF184" s="425"/>
      <c r="AG184" s="310">
        <f t="shared" si="555"/>
        <v>156.42</v>
      </c>
      <c r="AH184" s="252">
        <f t="shared" si="556"/>
        <v>216798</v>
      </c>
      <c r="AI184" s="306">
        <f t="shared" ref="AI184:AI185" si="611">ROUND(AC184*0.15,2)</f>
        <v>34.6</v>
      </c>
      <c r="AJ184" s="252">
        <f t="shared" ref="AJ184:AJ185" si="612">ROUND(AD184*0.15,0)</f>
        <v>47960</v>
      </c>
      <c r="AK184" s="426"/>
      <c r="AL184" s="426"/>
      <c r="AM184" s="426"/>
      <c r="AN184" s="426"/>
      <c r="AO184" s="426"/>
      <c r="AP184" s="426"/>
      <c r="AQ184" s="427"/>
      <c r="AR184" s="427"/>
      <c r="AS184" s="427"/>
      <c r="AT184" s="426"/>
      <c r="AU184" s="410"/>
      <c r="AV184" s="410"/>
      <c r="AW184" s="410"/>
      <c r="AX184" s="410"/>
      <c r="AY184" s="410"/>
      <c r="AZ184" s="410"/>
      <c r="BA184" s="410"/>
      <c r="BB184" s="410"/>
      <c r="BC184" s="410"/>
      <c r="BD184" s="410"/>
      <c r="BE184" s="410"/>
    </row>
    <row r="185" ht="12.75" customHeight="1">
      <c r="A185" s="245" t="s">
        <v>660</v>
      </c>
      <c r="B185" s="246" t="s">
        <v>118</v>
      </c>
      <c r="C185" s="247" t="s">
        <v>119</v>
      </c>
      <c r="D185" s="247" t="s">
        <v>110</v>
      </c>
      <c r="E185" s="247" t="s">
        <v>243</v>
      </c>
      <c r="F185" s="248"/>
      <c r="G185" s="247" t="s">
        <v>103</v>
      </c>
      <c r="H185" s="247" t="s">
        <v>239</v>
      </c>
      <c r="I185" s="248" t="s">
        <v>105</v>
      </c>
      <c r="J185" s="300" t="s">
        <v>106</v>
      </c>
      <c r="K185" s="314">
        <f t="shared" ref="K185:R185" si="607">-K184</f>
        <v>-230.69</v>
      </c>
      <c r="L185" s="309">
        <f t="shared" si="607"/>
        <v>-319736</v>
      </c>
      <c r="M185" s="315">
        <f t="shared" si="607"/>
        <v>-34.6</v>
      </c>
      <c r="N185" s="252">
        <f t="shared" si="607"/>
        <v>-47955</v>
      </c>
      <c r="O185" s="251">
        <f t="shared" si="607"/>
        <v>0</v>
      </c>
      <c r="P185" s="252">
        <f t="shared" si="607"/>
        <v>0</v>
      </c>
      <c r="Q185" s="251">
        <f t="shared" si="607"/>
        <v>-34.6</v>
      </c>
      <c r="R185" s="252">
        <f t="shared" si="607"/>
        <v>-47955</v>
      </c>
      <c r="S185" s="253">
        <v>1386.0</v>
      </c>
      <c r="T185" s="254">
        <v>15.0</v>
      </c>
      <c r="U185" s="255" t="s">
        <v>107</v>
      </c>
      <c r="V185" s="255"/>
      <c r="W185" s="304">
        <v>0.1003</v>
      </c>
      <c r="X185" s="304">
        <v>0.032293</v>
      </c>
      <c r="Y185" s="304">
        <v>0.068007</v>
      </c>
      <c r="Z185" s="305">
        <f>-Z184</f>
        <v>-2300</v>
      </c>
      <c r="AA185" s="306">
        <f t="shared" si="608"/>
        <v>-230.69</v>
      </c>
      <c r="AB185" s="307">
        <f t="shared" si="609"/>
        <v>-319736</v>
      </c>
      <c r="AC185" s="308">
        <f t="shared" si="610"/>
        <v>-230.69</v>
      </c>
      <c r="AD185" s="309">
        <f t="shared" si="554"/>
        <v>-319736</v>
      </c>
      <c r="AE185" s="425"/>
      <c r="AF185" s="425"/>
      <c r="AG185" s="310">
        <f t="shared" si="555"/>
        <v>-156.42</v>
      </c>
      <c r="AH185" s="252">
        <f t="shared" si="556"/>
        <v>-216798</v>
      </c>
      <c r="AI185" s="306">
        <f t="shared" si="611"/>
        <v>-34.6</v>
      </c>
      <c r="AJ185" s="252">
        <f t="shared" si="612"/>
        <v>-47960</v>
      </c>
      <c r="AK185" s="426"/>
      <c r="AL185" s="426"/>
      <c r="AM185" s="426"/>
      <c r="AN185" s="426"/>
      <c r="AO185" s="426"/>
      <c r="AP185" s="426"/>
      <c r="AQ185" s="427"/>
      <c r="AR185" s="427"/>
      <c r="AS185" s="427"/>
      <c r="AT185" s="426"/>
      <c r="AU185" s="410"/>
      <c r="AV185" s="410"/>
      <c r="AW185" s="410"/>
      <c r="AX185" s="410"/>
      <c r="AY185" s="410"/>
      <c r="AZ185" s="410"/>
      <c r="BA185" s="410"/>
      <c r="BB185" s="410"/>
      <c r="BC185" s="410"/>
      <c r="BD185" s="410"/>
      <c r="BE185" s="410"/>
    </row>
    <row r="186" ht="12.75" customHeight="1">
      <c r="A186" s="256" t="s">
        <v>661</v>
      </c>
      <c r="B186" s="257" t="s">
        <v>118</v>
      </c>
      <c r="C186" s="258" t="s">
        <v>119</v>
      </c>
      <c r="D186" s="258" t="s">
        <v>110</v>
      </c>
      <c r="E186" s="258" t="s">
        <v>243</v>
      </c>
      <c r="F186" s="259"/>
      <c r="G186" s="258" t="s">
        <v>103</v>
      </c>
      <c r="H186" s="258" t="s">
        <v>239</v>
      </c>
      <c r="I186" s="259" t="s">
        <v>105</v>
      </c>
      <c r="J186" s="316" t="s">
        <v>106</v>
      </c>
      <c r="K186" s="317">
        <f>ROUND(M186/0.15,2)</f>
        <v>74.2</v>
      </c>
      <c r="L186" s="318">
        <f>ROUND(N186/0.15,0)</f>
        <v>102840</v>
      </c>
      <c r="M186" s="319">
        <f t="shared" ref="M186:N186" si="613">Q186</f>
        <v>11.13</v>
      </c>
      <c r="N186" s="261">
        <f t="shared" si="613"/>
        <v>15426</v>
      </c>
      <c r="O186" s="262">
        <v>23.47</v>
      </c>
      <c r="P186" s="263">
        <v>32529.0</v>
      </c>
      <c r="Q186" s="260">
        <f t="shared" ref="Q186:R186" si="614">M184-O186</f>
        <v>11.13</v>
      </c>
      <c r="R186" s="261">
        <f t="shared" si="614"/>
        <v>15426</v>
      </c>
      <c r="S186" s="264">
        <v>1386.0</v>
      </c>
      <c r="T186" s="265">
        <v>15.0</v>
      </c>
      <c r="U186" s="266" t="s">
        <v>107</v>
      </c>
      <c r="V186" s="266" t="s">
        <v>1347</v>
      </c>
      <c r="W186" s="320">
        <v>0.1003</v>
      </c>
      <c r="X186" s="320">
        <v>0.032293</v>
      </c>
      <c r="Y186" s="320">
        <v>0.068007</v>
      </c>
      <c r="Z186" s="321">
        <f>Z184</f>
        <v>2300</v>
      </c>
      <c r="AA186" s="426"/>
      <c r="AB186" s="428"/>
      <c r="AC186" s="323">
        <f>IFERROR(ROUND(Z186*X186,2),0)</f>
        <v>74.27</v>
      </c>
      <c r="AD186" s="318">
        <f t="shared" si="554"/>
        <v>102938</v>
      </c>
      <c r="AE186" s="429"/>
      <c r="AF186" s="429"/>
      <c r="AG186" s="324">
        <f t="shared" si="555"/>
        <v>156.42</v>
      </c>
      <c r="AH186" s="261">
        <f t="shared" si="556"/>
        <v>216798</v>
      </c>
      <c r="AI186" s="426"/>
      <c r="AJ186" s="426"/>
      <c r="AK186" s="325">
        <f>ROUND(AC186*0.15,2)</f>
        <v>11.14</v>
      </c>
      <c r="AL186" s="261">
        <f>ROUND(AD186*0.15,0)</f>
        <v>15441</v>
      </c>
      <c r="AM186" s="325"/>
      <c r="AN186" s="325"/>
      <c r="AO186" s="325">
        <f>ROUND(AG186*0.15,2)</f>
        <v>23.46</v>
      </c>
      <c r="AP186" s="261">
        <f>ROUND(AH186*0.15,0)</f>
        <v>32520</v>
      </c>
      <c r="AQ186" s="326"/>
      <c r="AR186" s="326"/>
      <c r="AS186" s="326">
        <f>IFERROR(AC186/K186,IFERROR(AO186/O186,""))</f>
        <v>1.000943396</v>
      </c>
      <c r="AT186" s="426"/>
      <c r="AU186" s="410"/>
      <c r="AV186" s="410"/>
      <c r="AW186" s="410"/>
      <c r="AX186" s="410"/>
      <c r="AY186" s="410"/>
      <c r="AZ186" s="410"/>
      <c r="BA186" s="410"/>
      <c r="BB186" s="410"/>
      <c r="BC186" s="410"/>
      <c r="BD186" s="410"/>
      <c r="BE186" s="410"/>
    </row>
    <row r="187" ht="12.75" customHeight="1">
      <c r="A187" s="245" t="s">
        <v>663</v>
      </c>
      <c r="B187" s="246" t="s">
        <v>118</v>
      </c>
      <c r="C187" s="247" t="s">
        <v>119</v>
      </c>
      <c r="D187" s="247" t="s">
        <v>110</v>
      </c>
      <c r="E187" s="247" t="s">
        <v>243</v>
      </c>
      <c r="F187" s="248"/>
      <c r="G187" s="247" t="s">
        <v>139</v>
      </c>
      <c r="H187" s="247" t="s">
        <v>180</v>
      </c>
      <c r="I187" s="248" t="s">
        <v>105</v>
      </c>
      <c r="J187" s="300" t="s">
        <v>106</v>
      </c>
      <c r="K187" s="301">
        <v>300.5</v>
      </c>
      <c r="L187" s="302">
        <v>416493.0</v>
      </c>
      <c r="M187" s="303">
        <v>45.07</v>
      </c>
      <c r="N187" s="250">
        <v>62467.0</v>
      </c>
      <c r="O187" s="249">
        <v>0.0</v>
      </c>
      <c r="P187" s="250">
        <v>0.0</v>
      </c>
      <c r="Q187" s="251">
        <f t="shared" ref="Q187:R187" si="615">M187-O187</f>
        <v>45.07</v>
      </c>
      <c r="R187" s="252">
        <f t="shared" si="615"/>
        <v>62467</v>
      </c>
      <c r="S187" s="253">
        <v>1386.0</v>
      </c>
      <c r="T187" s="254">
        <v>15.0</v>
      </c>
      <c r="U187" s="255" t="s">
        <v>107</v>
      </c>
      <c r="V187" s="255"/>
      <c r="W187" s="304">
        <v>0.3005</v>
      </c>
      <c r="X187" s="304">
        <v>0.081227</v>
      </c>
      <c r="Y187" s="304">
        <v>0.219273</v>
      </c>
      <c r="Z187" s="305">
        <f>IFERROR(ROUND(K187/W187,0),0)</f>
        <v>1000</v>
      </c>
      <c r="AA187" s="306">
        <f t="shared" ref="AA187:AA188" si="617">Z187*W187</f>
        <v>300.5</v>
      </c>
      <c r="AB187" s="307">
        <f t="shared" ref="AB187:AB188" si="618">ROUND(AA187*S187,0)</f>
        <v>416493</v>
      </c>
      <c r="AC187" s="308">
        <f t="shared" ref="AC187:AC188" si="619">AA187</f>
        <v>300.5</v>
      </c>
      <c r="AD187" s="309">
        <f t="shared" si="554"/>
        <v>416493</v>
      </c>
      <c r="AE187" s="425"/>
      <c r="AF187" s="425"/>
      <c r="AG187" s="310">
        <f t="shared" si="555"/>
        <v>219.27</v>
      </c>
      <c r="AH187" s="252">
        <f t="shared" si="556"/>
        <v>303908</v>
      </c>
      <c r="AI187" s="306">
        <f t="shared" ref="AI187:AI188" si="620">ROUND(AC187*0.15,2)</f>
        <v>45.08</v>
      </c>
      <c r="AJ187" s="252">
        <f t="shared" ref="AJ187:AJ188" si="621">ROUND(AD187*0.15,0)</f>
        <v>62474</v>
      </c>
      <c r="AK187" s="426"/>
      <c r="AL187" s="426"/>
      <c r="AM187" s="426"/>
      <c r="AN187" s="426"/>
      <c r="AO187" s="426"/>
      <c r="AP187" s="426"/>
      <c r="AQ187" s="427"/>
      <c r="AR187" s="427"/>
      <c r="AS187" s="427"/>
      <c r="AT187" s="426"/>
      <c r="AU187" s="410"/>
      <c r="AV187" s="410"/>
      <c r="AW187" s="410"/>
      <c r="AX187" s="410"/>
      <c r="AY187" s="410"/>
      <c r="AZ187" s="410"/>
      <c r="BA187" s="410"/>
      <c r="BB187" s="410"/>
      <c r="BC187" s="410"/>
      <c r="BD187" s="410"/>
      <c r="BE187" s="410"/>
    </row>
    <row r="188" ht="12.75" customHeight="1">
      <c r="A188" s="245" t="s">
        <v>664</v>
      </c>
      <c r="B188" s="246" t="s">
        <v>118</v>
      </c>
      <c r="C188" s="247" t="s">
        <v>119</v>
      </c>
      <c r="D188" s="247" t="s">
        <v>110</v>
      </c>
      <c r="E188" s="247" t="s">
        <v>243</v>
      </c>
      <c r="F188" s="248"/>
      <c r="G188" s="247" t="s">
        <v>139</v>
      </c>
      <c r="H188" s="247" t="s">
        <v>180</v>
      </c>
      <c r="I188" s="248" t="s">
        <v>105</v>
      </c>
      <c r="J188" s="300" t="s">
        <v>106</v>
      </c>
      <c r="K188" s="314">
        <f t="shared" ref="K188:R188" si="616">-K187</f>
        <v>-300.5</v>
      </c>
      <c r="L188" s="309">
        <f t="shared" si="616"/>
        <v>-416493</v>
      </c>
      <c r="M188" s="315">
        <f t="shared" si="616"/>
        <v>-45.07</v>
      </c>
      <c r="N188" s="252">
        <f t="shared" si="616"/>
        <v>-62467</v>
      </c>
      <c r="O188" s="251">
        <f t="shared" si="616"/>
        <v>0</v>
      </c>
      <c r="P188" s="252">
        <f t="shared" si="616"/>
        <v>0</v>
      </c>
      <c r="Q188" s="251">
        <f t="shared" si="616"/>
        <v>-45.07</v>
      </c>
      <c r="R188" s="252">
        <f t="shared" si="616"/>
        <v>-62467</v>
      </c>
      <c r="S188" s="253">
        <v>1386.0</v>
      </c>
      <c r="T188" s="254">
        <v>15.0</v>
      </c>
      <c r="U188" s="255" t="s">
        <v>107</v>
      </c>
      <c r="V188" s="255"/>
      <c r="W188" s="304">
        <v>0.3005</v>
      </c>
      <c r="X188" s="304">
        <v>0.081227</v>
      </c>
      <c r="Y188" s="304">
        <v>0.219273</v>
      </c>
      <c r="Z188" s="305">
        <f>-Z187</f>
        <v>-1000</v>
      </c>
      <c r="AA188" s="306">
        <f t="shared" si="617"/>
        <v>-300.5</v>
      </c>
      <c r="AB188" s="307">
        <f t="shared" si="618"/>
        <v>-416493</v>
      </c>
      <c r="AC188" s="308">
        <f t="shared" si="619"/>
        <v>-300.5</v>
      </c>
      <c r="AD188" s="309">
        <f t="shared" si="554"/>
        <v>-416493</v>
      </c>
      <c r="AE188" s="425"/>
      <c r="AF188" s="425"/>
      <c r="AG188" s="310">
        <f t="shared" si="555"/>
        <v>-219.27</v>
      </c>
      <c r="AH188" s="252">
        <f t="shared" si="556"/>
        <v>-303908</v>
      </c>
      <c r="AI188" s="306">
        <f t="shared" si="620"/>
        <v>-45.08</v>
      </c>
      <c r="AJ188" s="252">
        <f t="shared" si="621"/>
        <v>-62474</v>
      </c>
      <c r="AK188" s="426"/>
      <c r="AL188" s="426"/>
      <c r="AM188" s="426"/>
      <c r="AN188" s="426"/>
      <c r="AO188" s="426"/>
      <c r="AP188" s="426"/>
      <c r="AQ188" s="427"/>
      <c r="AR188" s="427"/>
      <c r="AS188" s="427"/>
      <c r="AT188" s="426"/>
      <c r="AU188" s="410"/>
      <c r="AV188" s="410"/>
      <c r="AW188" s="410"/>
      <c r="AX188" s="410"/>
      <c r="AY188" s="410"/>
      <c r="AZ188" s="410"/>
      <c r="BA188" s="410"/>
      <c r="BB188" s="410"/>
      <c r="BC188" s="410"/>
      <c r="BD188" s="410"/>
      <c r="BE188" s="410"/>
    </row>
    <row r="189" ht="12.75" customHeight="1">
      <c r="A189" s="256" t="s">
        <v>665</v>
      </c>
      <c r="B189" s="257" t="s">
        <v>118</v>
      </c>
      <c r="C189" s="258" t="s">
        <v>119</v>
      </c>
      <c r="D189" s="258" t="s">
        <v>110</v>
      </c>
      <c r="E189" s="258" t="s">
        <v>243</v>
      </c>
      <c r="F189" s="259"/>
      <c r="G189" s="258" t="s">
        <v>139</v>
      </c>
      <c r="H189" s="258" t="s">
        <v>180</v>
      </c>
      <c r="I189" s="259" t="s">
        <v>105</v>
      </c>
      <c r="J189" s="316" t="s">
        <v>106</v>
      </c>
      <c r="K189" s="317">
        <f>ROUND(M189/0.15,2)</f>
        <v>81.13</v>
      </c>
      <c r="L189" s="318">
        <f>ROUND(N189/0.15,0)</f>
        <v>112453</v>
      </c>
      <c r="M189" s="319">
        <f t="shared" ref="M189:N189" si="622">Q189</f>
        <v>12.17</v>
      </c>
      <c r="N189" s="261">
        <f t="shared" si="622"/>
        <v>16868</v>
      </c>
      <c r="O189" s="262">
        <v>32.9</v>
      </c>
      <c r="P189" s="263">
        <v>45599.0</v>
      </c>
      <c r="Q189" s="260">
        <f t="shared" ref="Q189:R189" si="623">M187-O189</f>
        <v>12.17</v>
      </c>
      <c r="R189" s="261">
        <f t="shared" si="623"/>
        <v>16868</v>
      </c>
      <c r="S189" s="264">
        <v>1386.0</v>
      </c>
      <c r="T189" s="265">
        <v>15.0</v>
      </c>
      <c r="U189" s="266" t="s">
        <v>107</v>
      </c>
      <c r="V189" s="266" t="s">
        <v>1348</v>
      </c>
      <c r="W189" s="320">
        <v>0.3005</v>
      </c>
      <c r="X189" s="320">
        <v>0.081227</v>
      </c>
      <c r="Y189" s="320">
        <v>0.219273</v>
      </c>
      <c r="Z189" s="321">
        <f>Z187</f>
        <v>1000</v>
      </c>
      <c r="AA189" s="426"/>
      <c r="AB189" s="428"/>
      <c r="AC189" s="323">
        <f>IFERROR(ROUND(Z189*X189,2),0)</f>
        <v>81.23</v>
      </c>
      <c r="AD189" s="318">
        <f t="shared" si="554"/>
        <v>112585</v>
      </c>
      <c r="AE189" s="429"/>
      <c r="AF189" s="429"/>
      <c r="AG189" s="324">
        <f t="shared" si="555"/>
        <v>219.27</v>
      </c>
      <c r="AH189" s="261">
        <f t="shared" si="556"/>
        <v>303908</v>
      </c>
      <c r="AI189" s="426"/>
      <c r="AJ189" s="426"/>
      <c r="AK189" s="325">
        <f>ROUND(AC189*0.15,2)</f>
        <v>12.18</v>
      </c>
      <c r="AL189" s="261">
        <f>ROUND(AD189*0.15,0)</f>
        <v>16888</v>
      </c>
      <c r="AM189" s="325"/>
      <c r="AN189" s="325"/>
      <c r="AO189" s="325">
        <f>ROUND(AG189*0.15,2)</f>
        <v>32.89</v>
      </c>
      <c r="AP189" s="261">
        <f>ROUND(AH189*0.15,0)</f>
        <v>45586</v>
      </c>
      <c r="AQ189" s="326"/>
      <c r="AR189" s="326"/>
      <c r="AS189" s="326">
        <f>IFERROR(AC189/K189,IFERROR(AO189/O189,""))</f>
        <v>1.00123259</v>
      </c>
      <c r="AT189" s="426"/>
      <c r="AU189" s="410"/>
      <c r="AV189" s="410"/>
      <c r="AW189" s="410"/>
      <c r="AX189" s="410"/>
      <c r="AY189" s="410"/>
      <c r="AZ189" s="410"/>
      <c r="BA189" s="410"/>
      <c r="BB189" s="410"/>
      <c r="BC189" s="410"/>
      <c r="BD189" s="410"/>
      <c r="BE189" s="410"/>
    </row>
    <row r="190" ht="12.75" customHeight="1">
      <c r="A190" s="245" t="s">
        <v>667</v>
      </c>
      <c r="B190" s="246" t="s">
        <v>118</v>
      </c>
      <c r="C190" s="247" t="s">
        <v>119</v>
      </c>
      <c r="D190" s="247" t="s">
        <v>112</v>
      </c>
      <c r="E190" s="247" t="s">
        <v>244</v>
      </c>
      <c r="F190" s="248"/>
      <c r="G190" s="247" t="s">
        <v>127</v>
      </c>
      <c r="H190" s="247" t="s">
        <v>186</v>
      </c>
      <c r="I190" s="248" t="s">
        <v>105</v>
      </c>
      <c r="J190" s="300" t="s">
        <v>106</v>
      </c>
      <c r="K190" s="301">
        <v>839.7</v>
      </c>
      <c r="L190" s="302">
        <v>1160633.0</v>
      </c>
      <c r="M190" s="303">
        <v>125.95</v>
      </c>
      <c r="N190" s="250">
        <v>174088.0</v>
      </c>
      <c r="O190" s="249">
        <v>0.0</v>
      </c>
      <c r="P190" s="250">
        <v>0.0</v>
      </c>
      <c r="Q190" s="251">
        <f t="shared" ref="Q190:R190" si="624">M190-O190</f>
        <v>125.95</v>
      </c>
      <c r="R190" s="252">
        <f t="shared" si="624"/>
        <v>174088</v>
      </c>
      <c r="S190" s="253">
        <v>1382.2</v>
      </c>
      <c r="T190" s="254">
        <v>15.0</v>
      </c>
      <c r="U190" s="255" t="s">
        <v>107</v>
      </c>
      <c r="V190" s="255"/>
      <c r="W190" s="304">
        <v>0.8397</v>
      </c>
      <c r="X190" s="304">
        <v>0.397618</v>
      </c>
      <c r="Y190" s="304">
        <v>0.442082</v>
      </c>
      <c r="Z190" s="305">
        <f>IFERROR(ROUND(K190/W190,0),0)</f>
        <v>1000</v>
      </c>
      <c r="AA190" s="306">
        <f t="shared" ref="AA190:AA191" si="626">Z190*W190</f>
        <v>839.7</v>
      </c>
      <c r="AB190" s="307">
        <f t="shared" ref="AB190:AB191" si="627">ROUND(AA190*S190,0)</f>
        <v>1160633</v>
      </c>
      <c r="AC190" s="308">
        <f t="shared" ref="AC190:AC191" si="628">AA190</f>
        <v>839.7</v>
      </c>
      <c r="AD190" s="309">
        <f t="shared" si="554"/>
        <v>1160633</v>
      </c>
      <c r="AE190" s="425"/>
      <c r="AF190" s="425"/>
      <c r="AG190" s="310">
        <f t="shared" si="555"/>
        <v>442.08</v>
      </c>
      <c r="AH190" s="252">
        <f t="shared" si="556"/>
        <v>611043</v>
      </c>
      <c r="AI190" s="306">
        <f t="shared" ref="AI190:AI191" si="629">ROUND(AC190*0.15,2)</f>
        <v>125.96</v>
      </c>
      <c r="AJ190" s="252">
        <f t="shared" ref="AJ190:AJ191" si="630">ROUND(AD190*0.15,0)</f>
        <v>174095</v>
      </c>
      <c r="AK190" s="426"/>
      <c r="AL190" s="426"/>
      <c r="AM190" s="426"/>
      <c r="AN190" s="426"/>
      <c r="AO190" s="426"/>
      <c r="AP190" s="426"/>
      <c r="AQ190" s="427"/>
      <c r="AR190" s="427"/>
      <c r="AS190" s="427"/>
      <c r="AT190" s="426"/>
      <c r="AU190" s="410"/>
      <c r="AV190" s="410"/>
      <c r="AW190" s="410"/>
      <c r="AX190" s="410"/>
      <c r="AY190" s="410"/>
      <c r="AZ190" s="410"/>
      <c r="BA190" s="410"/>
      <c r="BB190" s="410"/>
      <c r="BC190" s="410"/>
      <c r="BD190" s="410"/>
      <c r="BE190" s="410"/>
    </row>
    <row r="191" ht="12.75" customHeight="1">
      <c r="A191" s="245" t="s">
        <v>668</v>
      </c>
      <c r="B191" s="246" t="s">
        <v>118</v>
      </c>
      <c r="C191" s="247" t="s">
        <v>119</v>
      </c>
      <c r="D191" s="247" t="s">
        <v>112</v>
      </c>
      <c r="E191" s="247" t="s">
        <v>244</v>
      </c>
      <c r="F191" s="248"/>
      <c r="G191" s="247" t="s">
        <v>127</v>
      </c>
      <c r="H191" s="247" t="s">
        <v>186</v>
      </c>
      <c r="I191" s="248" t="s">
        <v>105</v>
      </c>
      <c r="J191" s="300" t="s">
        <v>106</v>
      </c>
      <c r="K191" s="314">
        <f t="shared" ref="K191:R191" si="625">-K190</f>
        <v>-839.7</v>
      </c>
      <c r="L191" s="309">
        <f t="shared" si="625"/>
        <v>-1160633</v>
      </c>
      <c r="M191" s="315">
        <f t="shared" si="625"/>
        <v>-125.95</v>
      </c>
      <c r="N191" s="252">
        <f t="shared" si="625"/>
        <v>-174088</v>
      </c>
      <c r="O191" s="251">
        <f t="shared" si="625"/>
        <v>0</v>
      </c>
      <c r="P191" s="252">
        <f t="shared" si="625"/>
        <v>0</v>
      </c>
      <c r="Q191" s="251">
        <f t="shared" si="625"/>
        <v>-125.95</v>
      </c>
      <c r="R191" s="252">
        <f t="shared" si="625"/>
        <v>-174088</v>
      </c>
      <c r="S191" s="253">
        <v>1382.2</v>
      </c>
      <c r="T191" s="254">
        <v>15.0</v>
      </c>
      <c r="U191" s="255" t="s">
        <v>107</v>
      </c>
      <c r="V191" s="255"/>
      <c r="W191" s="304">
        <v>0.8397</v>
      </c>
      <c r="X191" s="304">
        <v>0.397618</v>
      </c>
      <c r="Y191" s="304">
        <v>0.442082</v>
      </c>
      <c r="Z191" s="305">
        <f>-Z190</f>
        <v>-1000</v>
      </c>
      <c r="AA191" s="306">
        <f t="shared" si="626"/>
        <v>-839.7</v>
      </c>
      <c r="AB191" s="307">
        <f t="shared" si="627"/>
        <v>-1160633</v>
      </c>
      <c r="AC191" s="308">
        <f t="shared" si="628"/>
        <v>-839.7</v>
      </c>
      <c r="AD191" s="309">
        <f t="shared" si="554"/>
        <v>-1160633</v>
      </c>
      <c r="AE191" s="425"/>
      <c r="AF191" s="425"/>
      <c r="AG191" s="310">
        <f t="shared" si="555"/>
        <v>-442.08</v>
      </c>
      <c r="AH191" s="252">
        <f t="shared" si="556"/>
        <v>-611043</v>
      </c>
      <c r="AI191" s="306">
        <f t="shared" si="629"/>
        <v>-125.96</v>
      </c>
      <c r="AJ191" s="252">
        <f t="shared" si="630"/>
        <v>-174095</v>
      </c>
      <c r="AK191" s="426"/>
      <c r="AL191" s="426"/>
      <c r="AM191" s="426"/>
      <c r="AN191" s="426"/>
      <c r="AO191" s="426"/>
      <c r="AP191" s="426"/>
      <c r="AQ191" s="427"/>
      <c r="AR191" s="427"/>
      <c r="AS191" s="427"/>
      <c r="AT191" s="426"/>
      <c r="AU191" s="410"/>
      <c r="AV191" s="410"/>
      <c r="AW191" s="410"/>
      <c r="AX191" s="410"/>
      <c r="AY191" s="410"/>
      <c r="AZ191" s="410"/>
      <c r="BA191" s="410"/>
      <c r="BB191" s="410"/>
      <c r="BC191" s="410"/>
      <c r="BD191" s="410"/>
      <c r="BE191" s="410"/>
    </row>
    <row r="192" ht="12.75" customHeight="1">
      <c r="A192" s="256" t="s">
        <v>669</v>
      </c>
      <c r="B192" s="257" t="s">
        <v>118</v>
      </c>
      <c r="C192" s="258" t="s">
        <v>119</v>
      </c>
      <c r="D192" s="258" t="s">
        <v>112</v>
      </c>
      <c r="E192" s="258" t="s">
        <v>244</v>
      </c>
      <c r="F192" s="259"/>
      <c r="G192" s="258" t="s">
        <v>127</v>
      </c>
      <c r="H192" s="258" t="s">
        <v>186</v>
      </c>
      <c r="I192" s="259" t="s">
        <v>105</v>
      </c>
      <c r="J192" s="316" t="s">
        <v>106</v>
      </c>
      <c r="K192" s="317">
        <f>ROUND(M192/0.15,2)</f>
        <v>397.53</v>
      </c>
      <c r="L192" s="318">
        <f>ROUND(N192/0.15,0)</f>
        <v>549467</v>
      </c>
      <c r="M192" s="319">
        <f t="shared" ref="M192:N192" si="631">Q192</f>
        <v>59.63</v>
      </c>
      <c r="N192" s="261">
        <f t="shared" si="631"/>
        <v>82420</v>
      </c>
      <c r="O192" s="262">
        <v>66.32</v>
      </c>
      <c r="P192" s="263">
        <v>91668.0</v>
      </c>
      <c r="Q192" s="260">
        <f t="shared" ref="Q192:R192" si="632">M190-O192</f>
        <v>59.63</v>
      </c>
      <c r="R192" s="261">
        <f t="shared" si="632"/>
        <v>82420</v>
      </c>
      <c r="S192" s="264">
        <v>1382.2</v>
      </c>
      <c r="T192" s="265">
        <v>15.0</v>
      </c>
      <c r="U192" s="266" t="s">
        <v>107</v>
      </c>
      <c r="V192" s="266" t="s">
        <v>1349</v>
      </c>
      <c r="W192" s="320">
        <v>0.8397</v>
      </c>
      <c r="X192" s="320">
        <v>0.397618</v>
      </c>
      <c r="Y192" s="320">
        <v>0.442082</v>
      </c>
      <c r="Z192" s="321">
        <f>Z190</f>
        <v>1000</v>
      </c>
      <c r="AA192" s="426"/>
      <c r="AB192" s="428"/>
      <c r="AC192" s="323">
        <f>IFERROR(ROUND(Z192*X192,2),0)</f>
        <v>397.62</v>
      </c>
      <c r="AD192" s="318">
        <f t="shared" si="554"/>
        <v>549590</v>
      </c>
      <c r="AE192" s="429"/>
      <c r="AF192" s="429"/>
      <c r="AG192" s="324">
        <f t="shared" si="555"/>
        <v>442.08</v>
      </c>
      <c r="AH192" s="261">
        <f t="shared" si="556"/>
        <v>611043</v>
      </c>
      <c r="AI192" s="426"/>
      <c r="AJ192" s="426"/>
      <c r="AK192" s="325">
        <f>ROUND(AC192*0.15,2)</f>
        <v>59.64</v>
      </c>
      <c r="AL192" s="261">
        <f>ROUND(AD192*0.15,0)</f>
        <v>82439</v>
      </c>
      <c r="AM192" s="325"/>
      <c r="AN192" s="325"/>
      <c r="AO192" s="325">
        <f>ROUND(AG192*0.15,2)</f>
        <v>66.31</v>
      </c>
      <c r="AP192" s="261">
        <f>ROUND(AH192*0.15,0)</f>
        <v>91656</v>
      </c>
      <c r="AQ192" s="326"/>
      <c r="AR192" s="326"/>
      <c r="AS192" s="326">
        <f>IFERROR(AC192/K192,IFERROR(AO192/O192,""))</f>
        <v>1.000226398</v>
      </c>
      <c r="AT192" s="426"/>
      <c r="AU192" s="410"/>
      <c r="AV192" s="410"/>
      <c r="AW192" s="410"/>
      <c r="AX192" s="410"/>
      <c r="AY192" s="410"/>
      <c r="AZ192" s="410"/>
      <c r="BA192" s="410"/>
      <c r="BB192" s="410"/>
      <c r="BC192" s="410"/>
      <c r="BD192" s="410"/>
      <c r="BE192" s="410"/>
    </row>
    <row r="193" ht="12.75" customHeight="1">
      <c r="A193" s="245" t="s">
        <v>671</v>
      </c>
      <c r="B193" s="246" t="s">
        <v>118</v>
      </c>
      <c r="C193" s="247" t="s">
        <v>119</v>
      </c>
      <c r="D193" s="247" t="s">
        <v>112</v>
      </c>
      <c r="E193" s="247" t="s">
        <v>244</v>
      </c>
      <c r="F193" s="248"/>
      <c r="G193" s="247" t="s">
        <v>103</v>
      </c>
      <c r="H193" s="247" t="s">
        <v>239</v>
      </c>
      <c r="I193" s="248" t="s">
        <v>105</v>
      </c>
      <c r="J193" s="300" t="s">
        <v>106</v>
      </c>
      <c r="K193" s="301">
        <v>231.38</v>
      </c>
      <c r="L193" s="302">
        <v>319813.0</v>
      </c>
      <c r="M193" s="303">
        <v>34.71</v>
      </c>
      <c r="N193" s="250">
        <v>47976.0</v>
      </c>
      <c r="O193" s="249">
        <v>0.0</v>
      </c>
      <c r="P193" s="250">
        <v>0.0</v>
      </c>
      <c r="Q193" s="251">
        <f t="shared" ref="Q193:R193" si="633">M193-O193</f>
        <v>34.71</v>
      </c>
      <c r="R193" s="252">
        <f t="shared" si="633"/>
        <v>47976</v>
      </c>
      <c r="S193" s="253">
        <v>1382.2</v>
      </c>
      <c r="T193" s="254">
        <v>15.0</v>
      </c>
      <c r="U193" s="255" t="s">
        <v>107</v>
      </c>
      <c r="V193" s="255"/>
      <c r="W193" s="304">
        <v>0.1006</v>
      </c>
      <c r="X193" s="304">
        <v>0.03239</v>
      </c>
      <c r="Y193" s="304">
        <v>0.06821</v>
      </c>
      <c r="Z193" s="305">
        <f>IFERROR(ROUND(K193/W193,0),0)</f>
        <v>2300</v>
      </c>
      <c r="AA193" s="306">
        <f t="shared" ref="AA193:AA194" si="635">Z193*W193</f>
        <v>231.38</v>
      </c>
      <c r="AB193" s="307">
        <f t="shared" ref="AB193:AB194" si="636">ROUND(AA193*S193,0)</f>
        <v>319813</v>
      </c>
      <c r="AC193" s="308">
        <f t="shared" ref="AC193:AC194" si="637">AA193</f>
        <v>231.38</v>
      </c>
      <c r="AD193" s="309">
        <f t="shared" si="554"/>
        <v>319813</v>
      </c>
      <c r="AE193" s="425"/>
      <c r="AF193" s="425"/>
      <c r="AG193" s="310">
        <f t="shared" si="555"/>
        <v>156.88</v>
      </c>
      <c r="AH193" s="252">
        <f t="shared" si="556"/>
        <v>216840</v>
      </c>
      <c r="AI193" s="306">
        <f t="shared" ref="AI193:AI194" si="638">ROUND(AC193*0.15,2)</f>
        <v>34.71</v>
      </c>
      <c r="AJ193" s="252">
        <f t="shared" ref="AJ193:AJ194" si="639">ROUND(AD193*0.15,0)</f>
        <v>47972</v>
      </c>
      <c r="AK193" s="426"/>
      <c r="AL193" s="426"/>
      <c r="AM193" s="426"/>
      <c r="AN193" s="426"/>
      <c r="AO193" s="426"/>
      <c r="AP193" s="426"/>
      <c r="AQ193" s="427"/>
      <c r="AR193" s="427"/>
      <c r="AS193" s="427"/>
      <c r="AT193" s="426"/>
      <c r="AU193" s="410"/>
      <c r="AV193" s="410"/>
      <c r="AW193" s="410"/>
      <c r="AX193" s="410"/>
      <c r="AY193" s="410"/>
      <c r="AZ193" s="410"/>
      <c r="BA193" s="410"/>
      <c r="BB193" s="410"/>
      <c r="BC193" s="410"/>
      <c r="BD193" s="410"/>
      <c r="BE193" s="410"/>
    </row>
    <row r="194" ht="12.75" customHeight="1">
      <c r="A194" s="245" t="s">
        <v>672</v>
      </c>
      <c r="B194" s="246" t="s">
        <v>118</v>
      </c>
      <c r="C194" s="247" t="s">
        <v>119</v>
      </c>
      <c r="D194" s="247" t="s">
        <v>112</v>
      </c>
      <c r="E194" s="247" t="s">
        <v>244</v>
      </c>
      <c r="F194" s="248"/>
      <c r="G194" s="247" t="s">
        <v>103</v>
      </c>
      <c r="H194" s="247" t="s">
        <v>239</v>
      </c>
      <c r="I194" s="248" t="s">
        <v>105</v>
      </c>
      <c r="J194" s="300" t="s">
        <v>106</v>
      </c>
      <c r="K194" s="314">
        <f t="shared" ref="K194:R194" si="634">-K193</f>
        <v>-231.38</v>
      </c>
      <c r="L194" s="309">
        <f t="shared" si="634"/>
        <v>-319813</v>
      </c>
      <c r="M194" s="315">
        <f t="shared" si="634"/>
        <v>-34.71</v>
      </c>
      <c r="N194" s="252">
        <f t="shared" si="634"/>
        <v>-47976</v>
      </c>
      <c r="O194" s="251">
        <f t="shared" si="634"/>
        <v>0</v>
      </c>
      <c r="P194" s="252">
        <f t="shared" si="634"/>
        <v>0</v>
      </c>
      <c r="Q194" s="251">
        <f t="shared" si="634"/>
        <v>-34.71</v>
      </c>
      <c r="R194" s="252">
        <f t="shared" si="634"/>
        <v>-47976</v>
      </c>
      <c r="S194" s="253">
        <v>1382.2</v>
      </c>
      <c r="T194" s="254">
        <v>15.0</v>
      </c>
      <c r="U194" s="255" t="s">
        <v>107</v>
      </c>
      <c r="V194" s="255"/>
      <c r="W194" s="304">
        <v>0.1006</v>
      </c>
      <c r="X194" s="304">
        <v>0.03239</v>
      </c>
      <c r="Y194" s="304">
        <v>0.06821</v>
      </c>
      <c r="Z194" s="305">
        <f>-Z193</f>
        <v>-2300</v>
      </c>
      <c r="AA194" s="306">
        <f t="shared" si="635"/>
        <v>-231.38</v>
      </c>
      <c r="AB194" s="307">
        <f t="shared" si="636"/>
        <v>-319813</v>
      </c>
      <c r="AC194" s="308">
        <f t="shared" si="637"/>
        <v>-231.38</v>
      </c>
      <c r="AD194" s="309">
        <f t="shared" si="554"/>
        <v>-319813</v>
      </c>
      <c r="AE194" s="425"/>
      <c r="AF194" s="425"/>
      <c r="AG194" s="310">
        <f t="shared" si="555"/>
        <v>-156.88</v>
      </c>
      <c r="AH194" s="252">
        <f t="shared" si="556"/>
        <v>-216840</v>
      </c>
      <c r="AI194" s="306">
        <f t="shared" si="638"/>
        <v>-34.71</v>
      </c>
      <c r="AJ194" s="252">
        <f t="shared" si="639"/>
        <v>-47972</v>
      </c>
      <c r="AK194" s="426"/>
      <c r="AL194" s="426"/>
      <c r="AM194" s="426"/>
      <c r="AN194" s="426"/>
      <c r="AO194" s="426"/>
      <c r="AP194" s="426"/>
      <c r="AQ194" s="427"/>
      <c r="AR194" s="427"/>
      <c r="AS194" s="427"/>
      <c r="AT194" s="426"/>
      <c r="AU194" s="410"/>
      <c r="AV194" s="410"/>
      <c r="AW194" s="410"/>
      <c r="AX194" s="410"/>
      <c r="AY194" s="410"/>
      <c r="AZ194" s="410"/>
      <c r="BA194" s="410"/>
      <c r="BB194" s="410"/>
      <c r="BC194" s="410"/>
      <c r="BD194" s="410"/>
      <c r="BE194" s="410"/>
    </row>
    <row r="195" ht="12.75" customHeight="1">
      <c r="A195" s="256" t="s">
        <v>673</v>
      </c>
      <c r="B195" s="257" t="s">
        <v>118</v>
      </c>
      <c r="C195" s="258" t="s">
        <v>119</v>
      </c>
      <c r="D195" s="258" t="s">
        <v>112</v>
      </c>
      <c r="E195" s="258" t="s">
        <v>244</v>
      </c>
      <c r="F195" s="259"/>
      <c r="G195" s="258" t="s">
        <v>103</v>
      </c>
      <c r="H195" s="258" t="s">
        <v>239</v>
      </c>
      <c r="I195" s="259" t="s">
        <v>105</v>
      </c>
      <c r="J195" s="316" t="s">
        <v>106</v>
      </c>
      <c r="K195" s="317">
        <f>ROUND(M195/0.15,2)</f>
        <v>74.47</v>
      </c>
      <c r="L195" s="318">
        <f>ROUND(N195/0.15,0)</f>
        <v>102927</v>
      </c>
      <c r="M195" s="319">
        <f t="shared" ref="M195:N195" si="640">Q195</f>
        <v>11.17</v>
      </c>
      <c r="N195" s="261">
        <f t="shared" si="640"/>
        <v>15439</v>
      </c>
      <c r="O195" s="262">
        <v>23.54</v>
      </c>
      <c r="P195" s="263">
        <v>32537.0</v>
      </c>
      <c r="Q195" s="260">
        <f t="shared" ref="Q195:R195" si="641">M193-O195</f>
        <v>11.17</v>
      </c>
      <c r="R195" s="261">
        <f t="shared" si="641"/>
        <v>15439</v>
      </c>
      <c r="S195" s="264">
        <v>1382.2</v>
      </c>
      <c r="T195" s="265">
        <v>15.0</v>
      </c>
      <c r="U195" s="266" t="s">
        <v>107</v>
      </c>
      <c r="V195" s="266" t="s">
        <v>1350</v>
      </c>
      <c r="W195" s="320">
        <v>0.1006</v>
      </c>
      <c r="X195" s="320">
        <v>0.03239</v>
      </c>
      <c r="Y195" s="320">
        <v>0.06821</v>
      </c>
      <c r="Z195" s="321">
        <f>Z193</f>
        <v>2300</v>
      </c>
      <c r="AA195" s="426"/>
      <c r="AB195" s="428"/>
      <c r="AC195" s="323">
        <f>IFERROR(ROUND(Z195*X195,2),0)</f>
        <v>74.5</v>
      </c>
      <c r="AD195" s="318">
        <f t="shared" si="554"/>
        <v>102974</v>
      </c>
      <c r="AE195" s="429"/>
      <c r="AF195" s="429"/>
      <c r="AG195" s="324">
        <f t="shared" si="555"/>
        <v>156.88</v>
      </c>
      <c r="AH195" s="261">
        <f t="shared" si="556"/>
        <v>216840</v>
      </c>
      <c r="AI195" s="426"/>
      <c r="AJ195" s="426"/>
      <c r="AK195" s="325">
        <f>ROUND(AC195*0.15,2)</f>
        <v>11.18</v>
      </c>
      <c r="AL195" s="261">
        <f>ROUND(AD195*0.15,0)</f>
        <v>15446</v>
      </c>
      <c r="AM195" s="325"/>
      <c r="AN195" s="325"/>
      <c r="AO195" s="325">
        <f>ROUND(AG195*0.15,2)</f>
        <v>23.53</v>
      </c>
      <c r="AP195" s="261">
        <f>ROUND(AH195*0.15,0)</f>
        <v>32526</v>
      </c>
      <c r="AQ195" s="326"/>
      <c r="AR195" s="326"/>
      <c r="AS195" s="326">
        <f>IFERROR(AC195/K195,IFERROR(AO195/O195,""))</f>
        <v>1.000402847</v>
      </c>
      <c r="AT195" s="426"/>
      <c r="AU195" s="410"/>
      <c r="AV195" s="410"/>
      <c r="AW195" s="410"/>
      <c r="AX195" s="410"/>
      <c r="AY195" s="410"/>
      <c r="AZ195" s="410"/>
      <c r="BA195" s="410"/>
      <c r="BB195" s="410"/>
      <c r="BC195" s="410"/>
      <c r="BD195" s="410"/>
      <c r="BE195" s="410"/>
    </row>
    <row r="196" ht="12.75" customHeight="1">
      <c r="A196" s="245" t="s">
        <v>675</v>
      </c>
      <c r="B196" s="246" t="s">
        <v>118</v>
      </c>
      <c r="C196" s="247" t="s">
        <v>119</v>
      </c>
      <c r="D196" s="247" t="s">
        <v>245</v>
      </c>
      <c r="E196" s="247" t="s">
        <v>246</v>
      </c>
      <c r="F196" s="248"/>
      <c r="G196" s="247" t="s">
        <v>103</v>
      </c>
      <c r="H196" s="247" t="s">
        <v>239</v>
      </c>
      <c r="I196" s="248" t="s">
        <v>105</v>
      </c>
      <c r="J196" s="300" t="s">
        <v>106</v>
      </c>
      <c r="K196" s="301">
        <v>100.0</v>
      </c>
      <c r="L196" s="302">
        <v>138630.0</v>
      </c>
      <c r="M196" s="303">
        <v>14.99</v>
      </c>
      <c r="N196" s="250">
        <v>20780.0</v>
      </c>
      <c r="O196" s="249">
        <v>0.0</v>
      </c>
      <c r="P196" s="250">
        <v>0.0</v>
      </c>
      <c r="Q196" s="251">
        <f t="shared" ref="Q196:R196" si="642">M196-O196</f>
        <v>14.99</v>
      </c>
      <c r="R196" s="252">
        <f t="shared" si="642"/>
        <v>20780</v>
      </c>
      <c r="S196" s="253">
        <v>1386.3</v>
      </c>
      <c r="T196" s="254">
        <v>15.0</v>
      </c>
      <c r="U196" s="255" t="s">
        <v>107</v>
      </c>
      <c r="V196" s="255"/>
      <c r="W196" s="304">
        <v>0.0949</v>
      </c>
      <c r="X196" s="304">
        <v>0.030555</v>
      </c>
      <c r="Y196" s="304">
        <v>0.064345</v>
      </c>
      <c r="Z196" s="305">
        <f>IFERROR(ROUND(K196/W196,0),0)</f>
        <v>1054</v>
      </c>
      <c r="AA196" s="306">
        <f t="shared" ref="AA196:AA197" si="644">Z196*W196</f>
        <v>100.0246</v>
      </c>
      <c r="AB196" s="307">
        <f t="shared" ref="AB196:AB197" si="645">ROUND(AA196*S196,0)</f>
        <v>138664</v>
      </c>
      <c r="AC196" s="308">
        <f t="shared" ref="AC196:AC197" si="646">AA196</f>
        <v>100.0246</v>
      </c>
      <c r="AD196" s="309">
        <f t="shared" si="554"/>
        <v>138664</v>
      </c>
      <c r="AE196" s="425"/>
      <c r="AF196" s="425"/>
      <c r="AG196" s="310">
        <f t="shared" si="555"/>
        <v>67.82</v>
      </c>
      <c r="AH196" s="252">
        <f t="shared" si="556"/>
        <v>94019</v>
      </c>
      <c r="AI196" s="306">
        <f t="shared" ref="AI196:AI197" si="647">ROUND(AC196*0.15,2)</f>
        <v>15</v>
      </c>
      <c r="AJ196" s="252">
        <f t="shared" ref="AJ196:AJ197" si="648">ROUND(AD196*0.15,0)</f>
        <v>20800</v>
      </c>
      <c r="AK196" s="426"/>
      <c r="AL196" s="426"/>
      <c r="AM196" s="426"/>
      <c r="AN196" s="426"/>
      <c r="AO196" s="426"/>
      <c r="AP196" s="426"/>
      <c r="AQ196" s="427"/>
      <c r="AR196" s="427"/>
      <c r="AS196" s="427"/>
      <c r="AT196" s="426"/>
      <c r="AU196" s="410"/>
      <c r="AV196" s="410"/>
      <c r="AW196" s="410"/>
      <c r="AX196" s="410"/>
      <c r="AY196" s="410"/>
      <c r="AZ196" s="410"/>
      <c r="BA196" s="410"/>
      <c r="BB196" s="410"/>
      <c r="BC196" s="410"/>
      <c r="BD196" s="410"/>
      <c r="BE196" s="410"/>
    </row>
    <row r="197" ht="12.75" customHeight="1">
      <c r="A197" s="245" t="s">
        <v>676</v>
      </c>
      <c r="B197" s="246" t="s">
        <v>118</v>
      </c>
      <c r="C197" s="247" t="s">
        <v>119</v>
      </c>
      <c r="D197" s="247" t="s">
        <v>245</v>
      </c>
      <c r="E197" s="247" t="s">
        <v>246</v>
      </c>
      <c r="F197" s="248"/>
      <c r="G197" s="247" t="s">
        <v>103</v>
      </c>
      <c r="H197" s="247" t="s">
        <v>239</v>
      </c>
      <c r="I197" s="248" t="s">
        <v>105</v>
      </c>
      <c r="J197" s="300" t="s">
        <v>106</v>
      </c>
      <c r="K197" s="314">
        <f t="shared" ref="K197:R197" si="643">-K196</f>
        <v>-100</v>
      </c>
      <c r="L197" s="309">
        <f t="shared" si="643"/>
        <v>-138630</v>
      </c>
      <c r="M197" s="315">
        <f t="shared" si="643"/>
        <v>-14.99</v>
      </c>
      <c r="N197" s="252">
        <f t="shared" si="643"/>
        <v>-20780</v>
      </c>
      <c r="O197" s="251">
        <f t="shared" si="643"/>
        <v>0</v>
      </c>
      <c r="P197" s="252">
        <f t="shared" si="643"/>
        <v>0</v>
      </c>
      <c r="Q197" s="251">
        <f t="shared" si="643"/>
        <v>-14.99</v>
      </c>
      <c r="R197" s="252">
        <f t="shared" si="643"/>
        <v>-20780</v>
      </c>
      <c r="S197" s="253">
        <v>1386.3</v>
      </c>
      <c r="T197" s="254">
        <v>15.0</v>
      </c>
      <c r="U197" s="255" t="s">
        <v>107</v>
      </c>
      <c r="V197" s="255"/>
      <c r="W197" s="304">
        <v>0.0949</v>
      </c>
      <c r="X197" s="304">
        <v>0.030555</v>
      </c>
      <c r="Y197" s="304">
        <v>0.064345</v>
      </c>
      <c r="Z197" s="305">
        <f>-Z196</f>
        <v>-1054</v>
      </c>
      <c r="AA197" s="306">
        <f t="shared" si="644"/>
        <v>-100.0246</v>
      </c>
      <c r="AB197" s="307">
        <f t="shared" si="645"/>
        <v>-138664</v>
      </c>
      <c r="AC197" s="308">
        <f t="shared" si="646"/>
        <v>-100.0246</v>
      </c>
      <c r="AD197" s="309">
        <f t="shared" si="554"/>
        <v>-138664</v>
      </c>
      <c r="AE197" s="425"/>
      <c r="AF197" s="425"/>
      <c r="AG197" s="310">
        <f t="shared" si="555"/>
        <v>-67.82</v>
      </c>
      <c r="AH197" s="252">
        <f t="shared" si="556"/>
        <v>-94019</v>
      </c>
      <c r="AI197" s="306">
        <f t="shared" si="647"/>
        <v>-15</v>
      </c>
      <c r="AJ197" s="252">
        <f t="shared" si="648"/>
        <v>-20800</v>
      </c>
      <c r="AK197" s="426"/>
      <c r="AL197" s="426"/>
      <c r="AM197" s="426"/>
      <c r="AN197" s="426"/>
      <c r="AO197" s="426"/>
      <c r="AP197" s="426"/>
      <c r="AQ197" s="427"/>
      <c r="AR197" s="427"/>
      <c r="AS197" s="427"/>
      <c r="AT197" s="426"/>
      <c r="AU197" s="410"/>
      <c r="AV197" s="410"/>
      <c r="AW197" s="410"/>
      <c r="AX197" s="410"/>
      <c r="AY197" s="410"/>
      <c r="AZ197" s="410"/>
      <c r="BA197" s="410"/>
      <c r="BB197" s="410"/>
      <c r="BC197" s="410"/>
      <c r="BD197" s="410"/>
      <c r="BE197" s="410"/>
    </row>
    <row r="198" ht="12.75" customHeight="1">
      <c r="A198" s="256" t="s">
        <v>677</v>
      </c>
      <c r="B198" s="257" t="s">
        <v>118</v>
      </c>
      <c r="C198" s="258" t="s">
        <v>119</v>
      </c>
      <c r="D198" s="258" t="s">
        <v>245</v>
      </c>
      <c r="E198" s="258" t="s">
        <v>246</v>
      </c>
      <c r="F198" s="259"/>
      <c r="G198" s="258" t="s">
        <v>103</v>
      </c>
      <c r="H198" s="258" t="s">
        <v>239</v>
      </c>
      <c r="I198" s="259" t="s">
        <v>105</v>
      </c>
      <c r="J198" s="316" t="s">
        <v>106</v>
      </c>
      <c r="K198" s="317">
        <f>ROUND(M198/0.15,2)</f>
        <v>32.07</v>
      </c>
      <c r="L198" s="318">
        <f>ROUND(N198/0.15,0)</f>
        <v>44447</v>
      </c>
      <c r="M198" s="319">
        <f t="shared" ref="M198:N198" si="649">Q198</f>
        <v>4.81</v>
      </c>
      <c r="N198" s="261">
        <f t="shared" si="649"/>
        <v>6667</v>
      </c>
      <c r="O198" s="262">
        <v>10.18</v>
      </c>
      <c r="P198" s="263">
        <v>14113.0</v>
      </c>
      <c r="Q198" s="260">
        <f t="shared" ref="Q198:R198" si="650">M196-O198</f>
        <v>4.81</v>
      </c>
      <c r="R198" s="261">
        <f t="shared" si="650"/>
        <v>6667</v>
      </c>
      <c r="S198" s="264">
        <v>1386.3</v>
      </c>
      <c r="T198" s="265">
        <v>15.0</v>
      </c>
      <c r="U198" s="266" t="s">
        <v>107</v>
      </c>
      <c r="V198" s="266" t="s">
        <v>1351</v>
      </c>
      <c r="W198" s="320">
        <v>0.0949</v>
      </c>
      <c r="X198" s="320">
        <v>0.030555</v>
      </c>
      <c r="Y198" s="320">
        <v>0.064345</v>
      </c>
      <c r="Z198" s="321">
        <f>Z196</f>
        <v>1054</v>
      </c>
      <c r="AA198" s="426"/>
      <c r="AB198" s="428"/>
      <c r="AC198" s="323">
        <f>IFERROR(ROUND(Z198*X198,2),0)</f>
        <v>32.2</v>
      </c>
      <c r="AD198" s="318">
        <f t="shared" si="554"/>
        <v>44639</v>
      </c>
      <c r="AE198" s="429"/>
      <c r="AF198" s="429"/>
      <c r="AG198" s="324">
        <f t="shared" si="555"/>
        <v>67.82</v>
      </c>
      <c r="AH198" s="261">
        <f t="shared" si="556"/>
        <v>94019</v>
      </c>
      <c r="AI198" s="426"/>
      <c r="AJ198" s="426"/>
      <c r="AK198" s="325">
        <f>ROUND(AC198*0.15,2)</f>
        <v>4.83</v>
      </c>
      <c r="AL198" s="261">
        <f>ROUND(AD198*0.15,0)</f>
        <v>6696</v>
      </c>
      <c r="AM198" s="325"/>
      <c r="AN198" s="325"/>
      <c r="AO198" s="325">
        <f>ROUND(AG198*0.15,2)</f>
        <v>10.17</v>
      </c>
      <c r="AP198" s="261">
        <f>ROUND(AH198*0.15,0)</f>
        <v>14103</v>
      </c>
      <c r="AQ198" s="326"/>
      <c r="AR198" s="326"/>
      <c r="AS198" s="326">
        <f>IFERROR(AC198/K198,IFERROR(AO198/O198,""))</f>
        <v>1.004053633</v>
      </c>
      <c r="AT198" s="426"/>
      <c r="AU198" s="410"/>
      <c r="AV198" s="410"/>
      <c r="AW198" s="410"/>
      <c r="AX198" s="410"/>
      <c r="AY198" s="410"/>
      <c r="AZ198" s="410"/>
      <c r="BA198" s="410"/>
      <c r="BB198" s="410"/>
      <c r="BC198" s="410"/>
      <c r="BD198" s="410"/>
      <c r="BE198" s="410"/>
    </row>
    <row r="199" ht="12.75" customHeight="1">
      <c r="A199" s="245" t="s">
        <v>679</v>
      </c>
      <c r="B199" s="246" t="s">
        <v>118</v>
      </c>
      <c r="C199" s="247" t="s">
        <v>119</v>
      </c>
      <c r="D199" s="247" t="s">
        <v>247</v>
      </c>
      <c r="E199" s="247" t="s">
        <v>248</v>
      </c>
      <c r="F199" s="248"/>
      <c r="G199" s="247" t="s">
        <v>103</v>
      </c>
      <c r="H199" s="247" t="s">
        <v>239</v>
      </c>
      <c r="I199" s="248" t="s">
        <v>105</v>
      </c>
      <c r="J199" s="300" t="s">
        <v>106</v>
      </c>
      <c r="K199" s="301">
        <v>94.89</v>
      </c>
      <c r="L199" s="302">
        <v>131678.0</v>
      </c>
      <c r="M199" s="303">
        <v>14.23</v>
      </c>
      <c r="N199" s="250">
        <v>19746.0</v>
      </c>
      <c r="O199" s="249">
        <v>0.0</v>
      </c>
      <c r="P199" s="250">
        <v>0.0</v>
      </c>
      <c r="Q199" s="251">
        <f t="shared" ref="Q199:R199" si="651">M199-O199</f>
        <v>14.23</v>
      </c>
      <c r="R199" s="252">
        <f t="shared" si="651"/>
        <v>19746</v>
      </c>
      <c r="S199" s="253">
        <v>1387.7</v>
      </c>
      <c r="T199" s="254">
        <v>15.0</v>
      </c>
      <c r="U199" s="255" t="s">
        <v>107</v>
      </c>
      <c r="V199" s="255"/>
      <c r="W199" s="304">
        <v>0.09</v>
      </c>
      <c r="X199" s="304">
        <v>0.028977</v>
      </c>
      <c r="Y199" s="304">
        <v>0.061023</v>
      </c>
      <c r="Z199" s="305">
        <f>IFERROR(ROUND(K199/W199,0),0)</f>
        <v>1054</v>
      </c>
      <c r="AA199" s="306">
        <f t="shared" ref="AA199:AA200" si="653">Z199*W199</f>
        <v>94.86</v>
      </c>
      <c r="AB199" s="307">
        <f t="shared" ref="AB199:AB200" si="654">ROUND(AA199*S199,0)</f>
        <v>131637</v>
      </c>
      <c r="AC199" s="308">
        <f t="shared" ref="AC199:AC200" si="655">AA199</f>
        <v>94.86</v>
      </c>
      <c r="AD199" s="309">
        <f t="shared" si="554"/>
        <v>131637</v>
      </c>
      <c r="AE199" s="425"/>
      <c r="AF199" s="425"/>
      <c r="AG199" s="310">
        <f t="shared" si="555"/>
        <v>64.32</v>
      </c>
      <c r="AH199" s="252">
        <f t="shared" si="556"/>
        <v>89257</v>
      </c>
      <c r="AI199" s="306">
        <f t="shared" ref="AI199:AI200" si="656">ROUND(AC199*0.15,2)</f>
        <v>14.23</v>
      </c>
      <c r="AJ199" s="252">
        <f t="shared" ref="AJ199:AJ200" si="657">ROUND(AD199*0.15,0)</f>
        <v>19746</v>
      </c>
      <c r="AK199" s="426"/>
      <c r="AL199" s="426"/>
      <c r="AM199" s="426"/>
      <c r="AN199" s="426"/>
      <c r="AO199" s="426"/>
      <c r="AP199" s="426"/>
      <c r="AQ199" s="427"/>
      <c r="AR199" s="427"/>
      <c r="AS199" s="427"/>
      <c r="AT199" s="426"/>
      <c r="AU199" s="410"/>
      <c r="AV199" s="410"/>
      <c r="AW199" s="410"/>
      <c r="AX199" s="410"/>
      <c r="AY199" s="410"/>
      <c r="AZ199" s="410"/>
      <c r="BA199" s="410"/>
      <c r="BB199" s="410"/>
      <c r="BC199" s="410"/>
      <c r="BD199" s="410"/>
      <c r="BE199" s="410"/>
    </row>
    <row r="200" ht="12.75" customHeight="1">
      <c r="A200" s="245" t="s">
        <v>680</v>
      </c>
      <c r="B200" s="246" t="s">
        <v>118</v>
      </c>
      <c r="C200" s="247" t="s">
        <v>119</v>
      </c>
      <c r="D200" s="247" t="s">
        <v>247</v>
      </c>
      <c r="E200" s="247" t="s">
        <v>248</v>
      </c>
      <c r="F200" s="248"/>
      <c r="G200" s="247" t="s">
        <v>103</v>
      </c>
      <c r="H200" s="247" t="s">
        <v>239</v>
      </c>
      <c r="I200" s="248" t="s">
        <v>105</v>
      </c>
      <c r="J200" s="300" t="s">
        <v>106</v>
      </c>
      <c r="K200" s="314">
        <f t="shared" ref="K200:R200" si="652">-K199</f>
        <v>-94.89</v>
      </c>
      <c r="L200" s="309">
        <f t="shared" si="652"/>
        <v>-131678</v>
      </c>
      <c r="M200" s="315">
        <f t="shared" si="652"/>
        <v>-14.23</v>
      </c>
      <c r="N200" s="252">
        <f t="shared" si="652"/>
        <v>-19746</v>
      </c>
      <c r="O200" s="251">
        <f t="shared" si="652"/>
        <v>0</v>
      </c>
      <c r="P200" s="252">
        <f t="shared" si="652"/>
        <v>0</v>
      </c>
      <c r="Q200" s="251">
        <f t="shared" si="652"/>
        <v>-14.23</v>
      </c>
      <c r="R200" s="252">
        <f t="shared" si="652"/>
        <v>-19746</v>
      </c>
      <c r="S200" s="253">
        <v>1387.7</v>
      </c>
      <c r="T200" s="254">
        <v>15.0</v>
      </c>
      <c r="U200" s="255" t="s">
        <v>107</v>
      </c>
      <c r="V200" s="255"/>
      <c r="W200" s="304">
        <v>0.09</v>
      </c>
      <c r="X200" s="304">
        <v>0.028977</v>
      </c>
      <c r="Y200" s="304">
        <v>0.061023</v>
      </c>
      <c r="Z200" s="305">
        <f>-Z199</f>
        <v>-1054</v>
      </c>
      <c r="AA200" s="306">
        <f t="shared" si="653"/>
        <v>-94.86</v>
      </c>
      <c r="AB200" s="307">
        <f t="shared" si="654"/>
        <v>-131637</v>
      </c>
      <c r="AC200" s="308">
        <f t="shared" si="655"/>
        <v>-94.86</v>
      </c>
      <c r="AD200" s="309">
        <f t="shared" si="554"/>
        <v>-131637</v>
      </c>
      <c r="AE200" s="425"/>
      <c r="AF200" s="425"/>
      <c r="AG200" s="310">
        <f t="shared" si="555"/>
        <v>-64.32</v>
      </c>
      <c r="AH200" s="252">
        <f t="shared" si="556"/>
        <v>-89257</v>
      </c>
      <c r="AI200" s="306">
        <f t="shared" si="656"/>
        <v>-14.23</v>
      </c>
      <c r="AJ200" s="252">
        <f t="shared" si="657"/>
        <v>-19746</v>
      </c>
      <c r="AK200" s="426"/>
      <c r="AL200" s="426"/>
      <c r="AM200" s="426"/>
      <c r="AN200" s="426"/>
      <c r="AO200" s="426"/>
      <c r="AP200" s="426"/>
      <c r="AQ200" s="427"/>
      <c r="AR200" s="427"/>
      <c r="AS200" s="427"/>
      <c r="AT200" s="426"/>
      <c r="AU200" s="410"/>
      <c r="AV200" s="410"/>
      <c r="AW200" s="410"/>
      <c r="AX200" s="410"/>
      <c r="AY200" s="410"/>
      <c r="AZ200" s="410"/>
      <c r="BA200" s="410"/>
      <c r="BB200" s="410"/>
      <c r="BC200" s="410"/>
      <c r="BD200" s="410"/>
      <c r="BE200" s="410"/>
    </row>
    <row r="201" ht="12.75" customHeight="1">
      <c r="A201" s="256" t="s">
        <v>681</v>
      </c>
      <c r="B201" s="257" t="s">
        <v>118</v>
      </c>
      <c r="C201" s="258" t="s">
        <v>119</v>
      </c>
      <c r="D201" s="258" t="s">
        <v>247</v>
      </c>
      <c r="E201" s="258" t="s">
        <v>248</v>
      </c>
      <c r="F201" s="259"/>
      <c r="G201" s="258" t="s">
        <v>103</v>
      </c>
      <c r="H201" s="258" t="s">
        <v>239</v>
      </c>
      <c r="I201" s="259" t="s">
        <v>105</v>
      </c>
      <c r="J201" s="316" t="s">
        <v>106</v>
      </c>
      <c r="K201" s="317">
        <f>ROUND(M201/0.15,2)</f>
        <v>30.47</v>
      </c>
      <c r="L201" s="318">
        <f>ROUND(N201/0.15,0)</f>
        <v>42273</v>
      </c>
      <c r="M201" s="319">
        <f t="shared" ref="M201:N201" si="658">Q201</f>
        <v>4.57</v>
      </c>
      <c r="N201" s="261">
        <f t="shared" si="658"/>
        <v>6341</v>
      </c>
      <c r="O201" s="262">
        <v>9.66</v>
      </c>
      <c r="P201" s="263">
        <v>13405.0</v>
      </c>
      <c r="Q201" s="260">
        <f t="shared" ref="Q201:R201" si="659">M199-O201</f>
        <v>4.57</v>
      </c>
      <c r="R201" s="261">
        <f t="shared" si="659"/>
        <v>6341</v>
      </c>
      <c r="S201" s="264">
        <v>1387.7</v>
      </c>
      <c r="T201" s="265">
        <v>15.0</v>
      </c>
      <c r="U201" s="266" t="s">
        <v>107</v>
      </c>
      <c r="V201" s="266" t="s">
        <v>1352</v>
      </c>
      <c r="W201" s="320">
        <v>0.09</v>
      </c>
      <c r="X201" s="320">
        <v>0.028977</v>
      </c>
      <c r="Y201" s="320">
        <v>0.061023</v>
      </c>
      <c r="Z201" s="321">
        <f>Z199</f>
        <v>1054</v>
      </c>
      <c r="AA201" s="426"/>
      <c r="AB201" s="428"/>
      <c r="AC201" s="323">
        <f>IFERROR(ROUND(Z201*X201,2),0)</f>
        <v>30.54</v>
      </c>
      <c r="AD201" s="318">
        <f t="shared" si="554"/>
        <v>42380</v>
      </c>
      <c r="AE201" s="429"/>
      <c r="AF201" s="429"/>
      <c r="AG201" s="324">
        <f t="shared" si="555"/>
        <v>64.32</v>
      </c>
      <c r="AH201" s="261">
        <f t="shared" si="556"/>
        <v>89257</v>
      </c>
      <c r="AI201" s="426"/>
      <c r="AJ201" s="426"/>
      <c r="AK201" s="325">
        <f>ROUND(AC201*0.15,2)</f>
        <v>4.58</v>
      </c>
      <c r="AL201" s="261">
        <f>ROUND(AD201*0.15,0)</f>
        <v>6357</v>
      </c>
      <c r="AM201" s="325"/>
      <c r="AN201" s="325"/>
      <c r="AO201" s="325">
        <f>ROUND(AG201*0.15,2)</f>
        <v>9.65</v>
      </c>
      <c r="AP201" s="261">
        <f>ROUND(AH201*0.15,0)</f>
        <v>13389</v>
      </c>
      <c r="AQ201" s="326"/>
      <c r="AR201" s="326"/>
      <c r="AS201" s="326">
        <f>IFERROR(AC201/K201,IFERROR(AO201/O201,""))</f>
        <v>1.002297342</v>
      </c>
      <c r="AT201" s="426"/>
      <c r="AU201" s="410"/>
      <c r="AV201" s="410"/>
      <c r="AW201" s="410"/>
      <c r="AX201" s="410"/>
      <c r="AY201" s="410"/>
      <c r="AZ201" s="410"/>
      <c r="BA201" s="410"/>
      <c r="BB201" s="410"/>
      <c r="BC201" s="410"/>
      <c r="BD201" s="410"/>
      <c r="BE201" s="410"/>
    </row>
    <row r="202" ht="12.75" customHeight="1">
      <c r="A202" s="245" t="s">
        <v>683</v>
      </c>
      <c r="B202" s="246" t="s">
        <v>118</v>
      </c>
      <c r="C202" s="247" t="s">
        <v>119</v>
      </c>
      <c r="D202" s="247" t="s">
        <v>114</v>
      </c>
      <c r="E202" s="247" t="s">
        <v>249</v>
      </c>
      <c r="F202" s="248"/>
      <c r="G202" s="247" t="s">
        <v>103</v>
      </c>
      <c r="H202" s="247" t="s">
        <v>239</v>
      </c>
      <c r="I202" s="248" t="s">
        <v>105</v>
      </c>
      <c r="J202" s="300" t="s">
        <v>106</v>
      </c>
      <c r="K202" s="301">
        <v>90.0</v>
      </c>
      <c r="L202" s="302">
        <v>125262.0</v>
      </c>
      <c r="M202" s="303">
        <v>13.5</v>
      </c>
      <c r="N202" s="250">
        <v>18789.0</v>
      </c>
      <c r="O202" s="249">
        <v>0.0</v>
      </c>
      <c r="P202" s="250">
        <v>0.0</v>
      </c>
      <c r="Q202" s="251">
        <f t="shared" ref="Q202:R202" si="660">M202-O202</f>
        <v>13.5</v>
      </c>
      <c r="R202" s="252">
        <f t="shared" si="660"/>
        <v>18789</v>
      </c>
      <c r="S202" s="253">
        <v>1391.8</v>
      </c>
      <c r="T202" s="254">
        <v>15.0</v>
      </c>
      <c r="U202" s="255" t="s">
        <v>107</v>
      </c>
      <c r="V202" s="255"/>
      <c r="W202" s="304">
        <v>0.0928</v>
      </c>
      <c r="X202" s="304">
        <v>0.029879</v>
      </c>
      <c r="Y202" s="304">
        <v>0.062921</v>
      </c>
      <c r="Z202" s="305">
        <f>IFERROR(ROUND(K202/W202,0),0)</f>
        <v>970</v>
      </c>
      <c r="AA202" s="306">
        <f t="shared" ref="AA202:AA203" si="662">Z202*W202</f>
        <v>90.016</v>
      </c>
      <c r="AB202" s="307">
        <f t="shared" ref="AB202:AB203" si="663">ROUND(AA202*S202,0)</f>
        <v>125284</v>
      </c>
      <c r="AC202" s="308">
        <f t="shared" ref="AC202:AC203" si="664">AA202</f>
        <v>90.016</v>
      </c>
      <c r="AD202" s="309">
        <f t="shared" si="554"/>
        <v>125284</v>
      </c>
      <c r="AE202" s="425"/>
      <c r="AF202" s="425"/>
      <c r="AG202" s="310">
        <f t="shared" si="555"/>
        <v>61.03</v>
      </c>
      <c r="AH202" s="252">
        <f t="shared" si="556"/>
        <v>84942</v>
      </c>
      <c r="AI202" s="306">
        <f t="shared" ref="AI202:AI203" si="665">ROUND(AC202*0.15,2)</f>
        <v>13.5</v>
      </c>
      <c r="AJ202" s="252">
        <f t="shared" ref="AJ202:AJ203" si="666">ROUND(AD202*0.15,0)</f>
        <v>18793</v>
      </c>
      <c r="AK202" s="426"/>
      <c r="AL202" s="426"/>
      <c r="AM202" s="426"/>
      <c r="AN202" s="426"/>
      <c r="AO202" s="426"/>
      <c r="AP202" s="426"/>
      <c r="AQ202" s="427"/>
      <c r="AR202" s="427"/>
      <c r="AS202" s="427"/>
      <c r="AT202" s="426"/>
      <c r="AU202" s="410"/>
      <c r="AV202" s="410"/>
      <c r="AW202" s="410"/>
      <c r="AX202" s="410"/>
      <c r="AY202" s="410"/>
      <c r="AZ202" s="410"/>
      <c r="BA202" s="410"/>
      <c r="BB202" s="410"/>
      <c r="BC202" s="410"/>
      <c r="BD202" s="410"/>
      <c r="BE202" s="410"/>
    </row>
    <row r="203" ht="12.75" customHeight="1">
      <c r="A203" s="245" t="s">
        <v>684</v>
      </c>
      <c r="B203" s="246" t="s">
        <v>118</v>
      </c>
      <c r="C203" s="247" t="s">
        <v>119</v>
      </c>
      <c r="D203" s="247" t="s">
        <v>114</v>
      </c>
      <c r="E203" s="247" t="s">
        <v>249</v>
      </c>
      <c r="F203" s="248"/>
      <c r="G203" s="247" t="s">
        <v>103</v>
      </c>
      <c r="H203" s="247" t="s">
        <v>239</v>
      </c>
      <c r="I203" s="248" t="s">
        <v>105</v>
      </c>
      <c r="J203" s="300" t="s">
        <v>106</v>
      </c>
      <c r="K203" s="314">
        <f t="shared" ref="K203:R203" si="661">-K202</f>
        <v>-90</v>
      </c>
      <c r="L203" s="309">
        <f t="shared" si="661"/>
        <v>-125262</v>
      </c>
      <c r="M203" s="315">
        <f t="shared" si="661"/>
        <v>-13.5</v>
      </c>
      <c r="N203" s="252">
        <f t="shared" si="661"/>
        <v>-18789</v>
      </c>
      <c r="O203" s="251">
        <f t="shared" si="661"/>
        <v>0</v>
      </c>
      <c r="P203" s="252">
        <f t="shared" si="661"/>
        <v>0</v>
      </c>
      <c r="Q203" s="251">
        <f t="shared" si="661"/>
        <v>-13.5</v>
      </c>
      <c r="R203" s="252">
        <f t="shared" si="661"/>
        <v>-18789</v>
      </c>
      <c r="S203" s="253">
        <v>1391.8</v>
      </c>
      <c r="T203" s="254">
        <v>15.0</v>
      </c>
      <c r="U203" s="255" t="s">
        <v>107</v>
      </c>
      <c r="V203" s="255"/>
      <c r="W203" s="304">
        <v>0.0928</v>
      </c>
      <c r="X203" s="304">
        <v>0.029879</v>
      </c>
      <c r="Y203" s="304">
        <v>0.062921</v>
      </c>
      <c r="Z203" s="305">
        <f>-Z202</f>
        <v>-970</v>
      </c>
      <c r="AA203" s="306">
        <f t="shared" si="662"/>
        <v>-90.016</v>
      </c>
      <c r="AB203" s="307">
        <f t="shared" si="663"/>
        <v>-125284</v>
      </c>
      <c r="AC203" s="308">
        <f t="shared" si="664"/>
        <v>-90.016</v>
      </c>
      <c r="AD203" s="309">
        <f t="shared" si="554"/>
        <v>-125284</v>
      </c>
      <c r="AE203" s="425"/>
      <c r="AF203" s="425"/>
      <c r="AG203" s="310">
        <f t="shared" si="555"/>
        <v>-61.03</v>
      </c>
      <c r="AH203" s="252">
        <f t="shared" si="556"/>
        <v>-84942</v>
      </c>
      <c r="AI203" s="306">
        <f t="shared" si="665"/>
        <v>-13.5</v>
      </c>
      <c r="AJ203" s="252">
        <f t="shared" si="666"/>
        <v>-18793</v>
      </c>
      <c r="AK203" s="426"/>
      <c r="AL203" s="426"/>
      <c r="AM203" s="426"/>
      <c r="AN203" s="426"/>
      <c r="AO203" s="426"/>
      <c r="AP203" s="426"/>
      <c r="AQ203" s="427"/>
      <c r="AR203" s="427"/>
      <c r="AS203" s="427"/>
      <c r="AT203" s="426"/>
      <c r="AU203" s="410"/>
      <c r="AV203" s="410"/>
      <c r="AW203" s="410"/>
      <c r="AX203" s="410"/>
      <c r="AY203" s="410"/>
      <c r="AZ203" s="410"/>
      <c r="BA203" s="410"/>
      <c r="BB203" s="410"/>
      <c r="BC203" s="410"/>
      <c r="BD203" s="410"/>
      <c r="BE203" s="410"/>
    </row>
    <row r="204" ht="12.75" customHeight="1">
      <c r="A204" s="256" t="s">
        <v>685</v>
      </c>
      <c r="B204" s="257" t="s">
        <v>118</v>
      </c>
      <c r="C204" s="258" t="s">
        <v>119</v>
      </c>
      <c r="D204" s="258" t="s">
        <v>114</v>
      </c>
      <c r="E204" s="258" t="s">
        <v>249</v>
      </c>
      <c r="F204" s="259"/>
      <c r="G204" s="258" t="s">
        <v>103</v>
      </c>
      <c r="H204" s="258" t="s">
        <v>239</v>
      </c>
      <c r="I204" s="259" t="s">
        <v>105</v>
      </c>
      <c r="J204" s="316" t="s">
        <v>106</v>
      </c>
      <c r="K204" s="317">
        <f>ROUND(M204/0.15,2)</f>
        <v>28.93</v>
      </c>
      <c r="L204" s="318">
        <f>ROUND(N204/0.15,0)</f>
        <v>40267</v>
      </c>
      <c r="M204" s="319">
        <f t="shared" ref="M204:N204" si="667">Q204</f>
        <v>4.34</v>
      </c>
      <c r="N204" s="261">
        <f t="shared" si="667"/>
        <v>6040</v>
      </c>
      <c r="O204" s="262">
        <v>9.16</v>
      </c>
      <c r="P204" s="263">
        <v>12749.0</v>
      </c>
      <c r="Q204" s="260">
        <f t="shared" ref="Q204:R204" si="668">M202-O204</f>
        <v>4.34</v>
      </c>
      <c r="R204" s="261">
        <f t="shared" si="668"/>
        <v>6040</v>
      </c>
      <c r="S204" s="264">
        <v>1391.8</v>
      </c>
      <c r="T204" s="265">
        <v>15.0</v>
      </c>
      <c r="U204" s="266" t="s">
        <v>107</v>
      </c>
      <c r="V204" s="266" t="s">
        <v>1353</v>
      </c>
      <c r="W204" s="320">
        <v>0.0928</v>
      </c>
      <c r="X204" s="320">
        <v>0.029879</v>
      </c>
      <c r="Y204" s="320">
        <v>0.062921</v>
      </c>
      <c r="Z204" s="321">
        <f>Z202</f>
        <v>970</v>
      </c>
      <c r="AA204" s="426"/>
      <c r="AB204" s="428"/>
      <c r="AC204" s="323">
        <f>IFERROR(ROUND(Z204*X204,2),0)</f>
        <v>28.98</v>
      </c>
      <c r="AD204" s="318">
        <f t="shared" si="554"/>
        <v>40334</v>
      </c>
      <c r="AE204" s="429"/>
      <c r="AF204" s="429"/>
      <c r="AG204" s="324">
        <f t="shared" si="555"/>
        <v>61.03</v>
      </c>
      <c r="AH204" s="261">
        <f t="shared" si="556"/>
        <v>84942</v>
      </c>
      <c r="AI204" s="426"/>
      <c r="AJ204" s="426"/>
      <c r="AK204" s="325">
        <f>ROUND(AC204*0.15,2)</f>
        <v>4.35</v>
      </c>
      <c r="AL204" s="261">
        <f>ROUND(AD204*0.15,0)</f>
        <v>6050</v>
      </c>
      <c r="AM204" s="325"/>
      <c r="AN204" s="325"/>
      <c r="AO204" s="325">
        <f>ROUND(AG204*0.15,2)</f>
        <v>9.15</v>
      </c>
      <c r="AP204" s="261">
        <f>ROUND(AH204*0.15,0)</f>
        <v>12741</v>
      </c>
      <c r="AQ204" s="326"/>
      <c r="AR204" s="326"/>
      <c r="AS204" s="326">
        <f>IFERROR(AC204/K204,IFERROR(AO204/O204,""))</f>
        <v>1.00172831</v>
      </c>
      <c r="AT204" s="426"/>
      <c r="AU204" s="410"/>
      <c r="AV204" s="410"/>
      <c r="AW204" s="410"/>
      <c r="AX204" s="410"/>
      <c r="AY204" s="410"/>
      <c r="AZ204" s="410"/>
      <c r="BA204" s="410"/>
      <c r="BB204" s="410"/>
      <c r="BC204" s="410"/>
      <c r="BD204" s="410"/>
      <c r="BE204" s="410"/>
    </row>
    <row r="205" ht="12.75" customHeight="1">
      <c r="A205" s="245" t="s">
        <v>687</v>
      </c>
      <c r="B205" s="246" t="s">
        <v>118</v>
      </c>
      <c r="C205" s="247" t="s">
        <v>119</v>
      </c>
      <c r="D205" s="247" t="s">
        <v>114</v>
      </c>
      <c r="E205" s="247" t="s">
        <v>114</v>
      </c>
      <c r="F205" s="248"/>
      <c r="G205" s="247" t="s">
        <v>116</v>
      </c>
      <c r="H205" s="247" t="s">
        <v>117</v>
      </c>
      <c r="I205" s="248" t="s">
        <v>105</v>
      </c>
      <c r="J205" s="300" t="s">
        <v>106</v>
      </c>
      <c r="K205" s="301">
        <v>861.12</v>
      </c>
      <c r="L205" s="302">
        <v>1198506.0</v>
      </c>
      <c r="M205" s="303">
        <v>129.17</v>
      </c>
      <c r="N205" s="250">
        <v>179778.0</v>
      </c>
      <c r="O205" s="249">
        <v>0.0</v>
      </c>
      <c r="P205" s="250">
        <v>0.0</v>
      </c>
      <c r="Q205" s="251">
        <f t="shared" ref="Q205:R205" si="669">M205-O205</f>
        <v>129.17</v>
      </c>
      <c r="R205" s="252">
        <f t="shared" si="669"/>
        <v>179778</v>
      </c>
      <c r="S205" s="253">
        <v>1391.8</v>
      </c>
      <c r="T205" s="254">
        <v>15.0</v>
      </c>
      <c r="U205" s="255" t="s">
        <v>107</v>
      </c>
      <c r="V205" s="255"/>
      <c r="W205" s="304">
        <v>0.743154</v>
      </c>
      <c r="X205" s="304">
        <v>0.743154</v>
      </c>
      <c r="Y205" s="304">
        <v>0.0</v>
      </c>
      <c r="Z205" s="305">
        <f>IFERROR(ROUND(K205/W205,0),0)</f>
        <v>1159</v>
      </c>
      <c r="AA205" s="306">
        <f t="shared" ref="AA205:AA206" si="671">Z205*W205</f>
        <v>861.315486</v>
      </c>
      <c r="AB205" s="307">
        <f t="shared" ref="AB205:AB206" si="672">ROUND(AA205*S205,0)</f>
        <v>1198779</v>
      </c>
      <c r="AC205" s="308">
        <f t="shared" ref="AC205:AC206" si="673">AA205</f>
        <v>861.315486</v>
      </c>
      <c r="AD205" s="309">
        <f t="shared" si="554"/>
        <v>1198779</v>
      </c>
      <c r="AE205" s="425"/>
      <c r="AF205" s="425"/>
      <c r="AG205" s="310">
        <f t="shared" si="555"/>
        <v>0</v>
      </c>
      <c r="AH205" s="252">
        <f t="shared" si="556"/>
        <v>0</v>
      </c>
      <c r="AI205" s="306">
        <f t="shared" ref="AI205:AI206" si="674">ROUND(AC205*0.15,2)</f>
        <v>129.2</v>
      </c>
      <c r="AJ205" s="252">
        <f t="shared" ref="AJ205:AJ206" si="675">ROUND(AD205*0.15,0)</f>
        <v>179817</v>
      </c>
      <c r="AK205" s="426"/>
      <c r="AL205" s="426"/>
      <c r="AM205" s="426"/>
      <c r="AN205" s="426"/>
      <c r="AO205" s="426"/>
      <c r="AP205" s="426"/>
      <c r="AQ205" s="427"/>
      <c r="AR205" s="427"/>
      <c r="AS205" s="427"/>
      <c r="AT205" s="430" t="s">
        <v>1274</v>
      </c>
      <c r="AU205" s="431"/>
      <c r="AV205" s="431"/>
      <c r="AW205" s="431"/>
      <c r="AX205" s="431"/>
      <c r="AY205" s="431"/>
      <c r="AZ205" s="431"/>
      <c r="BA205" s="431"/>
      <c r="BB205" s="431"/>
      <c r="BC205" s="431"/>
      <c r="BD205" s="431"/>
      <c r="BE205" s="431"/>
    </row>
    <row r="206" ht="12.75" customHeight="1">
      <c r="A206" s="245" t="s">
        <v>688</v>
      </c>
      <c r="B206" s="246" t="s">
        <v>118</v>
      </c>
      <c r="C206" s="247" t="s">
        <v>119</v>
      </c>
      <c r="D206" s="247" t="s">
        <v>114</v>
      </c>
      <c r="E206" s="247" t="s">
        <v>114</v>
      </c>
      <c r="F206" s="248"/>
      <c r="G206" s="247" t="s">
        <v>116</v>
      </c>
      <c r="H206" s="247" t="s">
        <v>117</v>
      </c>
      <c r="I206" s="248" t="s">
        <v>105</v>
      </c>
      <c r="J206" s="300" t="s">
        <v>106</v>
      </c>
      <c r="K206" s="314">
        <f t="shared" ref="K206:R206" si="670">-K205</f>
        <v>-861.12</v>
      </c>
      <c r="L206" s="309">
        <f t="shared" si="670"/>
        <v>-1198506</v>
      </c>
      <c r="M206" s="315">
        <f t="shared" si="670"/>
        <v>-129.17</v>
      </c>
      <c r="N206" s="252">
        <f t="shared" si="670"/>
        <v>-179778</v>
      </c>
      <c r="O206" s="251">
        <f t="shared" si="670"/>
        <v>0</v>
      </c>
      <c r="P206" s="252">
        <f t="shared" si="670"/>
        <v>0</v>
      </c>
      <c r="Q206" s="251">
        <f t="shared" si="670"/>
        <v>-129.17</v>
      </c>
      <c r="R206" s="252">
        <f t="shared" si="670"/>
        <v>-179778</v>
      </c>
      <c r="S206" s="253">
        <v>1391.8</v>
      </c>
      <c r="T206" s="254">
        <v>15.0</v>
      </c>
      <c r="U206" s="255" t="s">
        <v>107</v>
      </c>
      <c r="V206" s="255"/>
      <c r="W206" s="304">
        <v>0.743154</v>
      </c>
      <c r="X206" s="304">
        <v>0.743154</v>
      </c>
      <c r="Y206" s="304">
        <v>0.0</v>
      </c>
      <c r="Z206" s="305">
        <f>-Z205</f>
        <v>-1159</v>
      </c>
      <c r="AA206" s="306">
        <f t="shared" si="671"/>
        <v>-861.315486</v>
      </c>
      <c r="AB206" s="307">
        <f t="shared" si="672"/>
        <v>-1198779</v>
      </c>
      <c r="AC206" s="308">
        <f t="shared" si="673"/>
        <v>-861.315486</v>
      </c>
      <c r="AD206" s="309">
        <f t="shared" si="554"/>
        <v>-1198779</v>
      </c>
      <c r="AE206" s="425"/>
      <c r="AF206" s="425"/>
      <c r="AG206" s="310">
        <f t="shared" si="555"/>
        <v>0</v>
      </c>
      <c r="AH206" s="252">
        <f t="shared" si="556"/>
        <v>0</v>
      </c>
      <c r="AI206" s="306">
        <f t="shared" si="674"/>
        <v>-129.2</v>
      </c>
      <c r="AJ206" s="252">
        <f t="shared" si="675"/>
        <v>-179817</v>
      </c>
      <c r="AK206" s="426"/>
      <c r="AL206" s="426"/>
      <c r="AM206" s="426"/>
      <c r="AN206" s="426"/>
      <c r="AO206" s="426"/>
      <c r="AP206" s="426"/>
      <c r="AQ206" s="427"/>
      <c r="AR206" s="427"/>
      <c r="AS206" s="427"/>
      <c r="AT206" s="430" t="s">
        <v>1274</v>
      </c>
      <c r="AU206" s="431"/>
      <c r="AV206" s="431"/>
      <c r="AW206" s="431"/>
      <c r="AX206" s="431"/>
      <c r="AY206" s="431"/>
      <c r="AZ206" s="431"/>
      <c r="BA206" s="431"/>
      <c r="BB206" s="431"/>
      <c r="BC206" s="431"/>
      <c r="BD206" s="431"/>
      <c r="BE206" s="431"/>
    </row>
    <row r="207" ht="12.75" customHeight="1">
      <c r="A207" s="256" t="s">
        <v>689</v>
      </c>
      <c r="B207" s="257" t="s">
        <v>118</v>
      </c>
      <c r="C207" s="258" t="s">
        <v>119</v>
      </c>
      <c r="D207" s="258" t="s">
        <v>114</v>
      </c>
      <c r="E207" s="258" t="s">
        <v>114</v>
      </c>
      <c r="F207" s="259"/>
      <c r="G207" s="258" t="s">
        <v>116</v>
      </c>
      <c r="H207" s="258" t="s">
        <v>117</v>
      </c>
      <c r="I207" s="259" t="s">
        <v>105</v>
      </c>
      <c r="J207" s="316" t="s">
        <v>106</v>
      </c>
      <c r="K207" s="317">
        <f>ROUND(M207/0.15,2)</f>
        <v>828.2</v>
      </c>
      <c r="L207" s="318">
        <f>ROUND(N207/0.15,0)</f>
        <v>1152687</v>
      </c>
      <c r="M207" s="319">
        <f t="shared" ref="M207:N207" si="676">Q207</f>
        <v>124.23</v>
      </c>
      <c r="N207" s="261">
        <f t="shared" si="676"/>
        <v>172903</v>
      </c>
      <c r="O207" s="262">
        <v>4.94</v>
      </c>
      <c r="P207" s="263">
        <v>6875.0</v>
      </c>
      <c r="Q207" s="260">
        <f t="shared" ref="Q207:R207" si="677">M205-O207</f>
        <v>124.23</v>
      </c>
      <c r="R207" s="261">
        <f t="shared" si="677"/>
        <v>172903</v>
      </c>
      <c r="S207" s="264">
        <v>1391.8</v>
      </c>
      <c r="T207" s="265">
        <v>15.0</v>
      </c>
      <c r="U207" s="266" t="s">
        <v>107</v>
      </c>
      <c r="V207" s="266" t="s">
        <v>1354</v>
      </c>
      <c r="W207" s="320">
        <v>0.743154</v>
      </c>
      <c r="X207" s="320">
        <v>0.743154</v>
      </c>
      <c r="Y207" s="320">
        <v>0.0</v>
      </c>
      <c r="Z207" s="321">
        <f>Z205</f>
        <v>1159</v>
      </c>
      <c r="AA207" s="426"/>
      <c r="AB207" s="428"/>
      <c r="AC207" s="432">
        <f t="shared" ref="AC207:AD207" si="678">K207</f>
        <v>828.2</v>
      </c>
      <c r="AD207" s="433">
        <f t="shared" si="678"/>
        <v>1152687</v>
      </c>
      <c r="AE207" s="434"/>
      <c r="AF207" s="434"/>
      <c r="AG207" s="348">
        <f t="shared" ref="AG207:AH207" si="679">round(AO207/0.15,2)</f>
        <v>32.93</v>
      </c>
      <c r="AH207" s="348">
        <f t="shared" si="679"/>
        <v>45833.33</v>
      </c>
      <c r="AI207" s="435"/>
      <c r="AJ207" s="435"/>
      <c r="AK207" s="436">
        <f>ROUND(AC207*0.15,2)</f>
        <v>124.23</v>
      </c>
      <c r="AL207" s="437">
        <f>ROUND(AD207*0.15,0)</f>
        <v>172903</v>
      </c>
      <c r="AM207" s="436"/>
      <c r="AN207" s="436"/>
      <c r="AO207" s="436">
        <f t="shared" ref="AO207:AP207" si="680">O207</f>
        <v>4.94</v>
      </c>
      <c r="AP207" s="436">
        <f t="shared" si="680"/>
        <v>6875</v>
      </c>
      <c r="AQ207" s="438"/>
      <c r="AR207" s="438"/>
      <c r="AS207" s="438">
        <f>IFERROR(AC207/K207,IFERROR(AO207/O207,""))</f>
        <v>1</v>
      </c>
      <c r="AT207" s="430" t="s">
        <v>1274</v>
      </c>
      <c r="AU207" s="431"/>
      <c r="AV207" s="431"/>
      <c r="AW207" s="431"/>
      <c r="AX207" s="431"/>
      <c r="AY207" s="431"/>
      <c r="AZ207" s="431"/>
      <c r="BA207" s="431"/>
      <c r="BB207" s="431"/>
      <c r="BC207" s="431"/>
      <c r="BD207" s="431"/>
      <c r="BE207" s="431"/>
    </row>
    <row r="208" ht="12.75" customHeight="1">
      <c r="A208" s="439" t="s">
        <v>1355</v>
      </c>
      <c r="B208" s="440" t="str">
        <f t="shared" ref="B208:J208" si="681">B207</f>
        <v>미래에셋증권</v>
      </c>
      <c r="C208" s="441" t="str">
        <f t="shared" si="681"/>
        <v>584-2176-0816-0</v>
      </c>
      <c r="D208" s="441" t="str">
        <f t="shared" si="681"/>
        <v>2025-09-08</v>
      </c>
      <c r="E208" s="441" t="str">
        <f t="shared" si="681"/>
        <v>2025-09-08</v>
      </c>
      <c r="F208" s="441" t="str">
        <f t="shared" si="681"/>
        <v/>
      </c>
      <c r="G208" s="441" t="str">
        <f t="shared" si="681"/>
        <v>BITO</v>
      </c>
      <c r="H208" s="441" t="str">
        <f t="shared" si="681"/>
        <v>PROSHARES BITCOIN ETF</v>
      </c>
      <c r="I208" s="441" t="str">
        <f t="shared" si="681"/>
        <v>배당소득</v>
      </c>
      <c r="J208" s="440" t="str">
        <f t="shared" si="681"/>
        <v>USD</v>
      </c>
      <c r="K208" s="442"/>
      <c r="L208" s="443"/>
      <c r="M208" s="444"/>
      <c r="N208" s="445"/>
      <c r="O208" s="446"/>
      <c r="P208" s="447"/>
      <c r="Q208" s="446"/>
      <c r="R208" s="448"/>
      <c r="S208" s="449"/>
      <c r="T208" s="450"/>
      <c r="U208" s="451"/>
      <c r="V208" s="451"/>
      <c r="W208" s="452"/>
      <c r="X208" s="452"/>
      <c r="Y208" s="452"/>
      <c r="Z208" s="448"/>
      <c r="AA208" s="446"/>
      <c r="AB208" s="453"/>
      <c r="AC208" s="454"/>
      <c r="AD208" s="455"/>
      <c r="AE208" s="456"/>
      <c r="AF208" s="457"/>
      <c r="AG208" s="458">
        <f>IFERROR(ROUND(AO208/0.15,2),0)</f>
        <v>-32.93</v>
      </c>
      <c r="AH208" s="458">
        <f>IFERROR(ROUND(AP208/0.15,0),0)</f>
        <v>-45833</v>
      </c>
      <c r="AI208" s="457"/>
      <c r="AJ208" s="459"/>
      <c r="AK208" s="457"/>
      <c r="AL208" s="459"/>
      <c r="AM208" s="457"/>
      <c r="AN208" s="457"/>
      <c r="AO208" s="460">
        <f t="shared" ref="AO208:AP208" si="682">-AO207</f>
        <v>-4.94</v>
      </c>
      <c r="AP208" s="460">
        <f t="shared" si="682"/>
        <v>-6875</v>
      </c>
      <c r="AQ208" s="459"/>
      <c r="AR208" s="459"/>
      <c r="AS208" s="459"/>
      <c r="AT208" s="430" t="s">
        <v>1274</v>
      </c>
      <c r="AU208" s="431"/>
      <c r="AV208" s="431"/>
      <c r="AW208" s="431"/>
      <c r="AX208" s="431"/>
      <c r="AY208" s="431"/>
      <c r="AZ208" s="431"/>
      <c r="BA208" s="431"/>
      <c r="BB208" s="431"/>
      <c r="BC208" s="431"/>
      <c r="BD208" s="431"/>
      <c r="BE208" s="431"/>
    </row>
    <row r="209" ht="12.75" customHeight="1">
      <c r="A209" s="439" t="s">
        <v>1356</v>
      </c>
      <c r="B209" s="440" t="str">
        <f t="shared" ref="B209:J209" si="683">B208</f>
        <v>미래에셋증권</v>
      </c>
      <c r="C209" s="441" t="str">
        <f t="shared" si="683"/>
        <v>584-2176-0816-0</v>
      </c>
      <c r="D209" s="441" t="str">
        <f t="shared" si="683"/>
        <v>2025-09-08</v>
      </c>
      <c r="E209" s="441" t="str">
        <f t="shared" si="683"/>
        <v>2025-09-08</v>
      </c>
      <c r="F209" s="441" t="str">
        <f t="shared" si="683"/>
        <v/>
      </c>
      <c r="G209" s="441" t="str">
        <f t="shared" si="683"/>
        <v>BITO</v>
      </c>
      <c r="H209" s="441" t="str">
        <f t="shared" si="683"/>
        <v>PROSHARES BITCOIN ETF</v>
      </c>
      <c r="I209" s="441" t="str">
        <f t="shared" si="683"/>
        <v>배당소득</v>
      </c>
      <c r="J209" s="440" t="str">
        <f t="shared" si="683"/>
        <v>USD</v>
      </c>
      <c r="K209" s="442"/>
      <c r="L209" s="443"/>
      <c r="M209" s="444"/>
      <c r="N209" s="445"/>
      <c r="O209" s="446"/>
      <c r="P209" s="447"/>
      <c r="Q209" s="446"/>
      <c r="R209" s="448"/>
      <c r="S209" s="449"/>
      <c r="T209" s="450"/>
      <c r="U209" s="451"/>
      <c r="V209" s="451"/>
      <c r="W209" s="452"/>
      <c r="X209" s="452"/>
      <c r="Y209" s="452"/>
      <c r="Z209" s="448"/>
      <c r="AA209" s="446"/>
      <c r="AB209" s="453"/>
      <c r="AC209" s="454"/>
      <c r="AD209" s="461"/>
      <c r="AE209" s="462">
        <f>IFERROR(ROUND(AM209/0.15,2),0)</f>
        <v>32.93</v>
      </c>
      <c r="AF209" s="458">
        <f>IFERROR(ROUND(AN209/0.15,0),0)</f>
        <v>45833</v>
      </c>
      <c r="AG209" s="467"/>
      <c r="AH209" s="467"/>
      <c r="AI209" s="457"/>
      <c r="AJ209" s="459"/>
      <c r="AK209" s="457"/>
      <c r="AL209" s="459"/>
      <c r="AM209" s="460">
        <f t="shared" ref="AM209:AN209" si="684">AO207</f>
        <v>4.94</v>
      </c>
      <c r="AN209" s="460">
        <f t="shared" si="684"/>
        <v>6875</v>
      </c>
      <c r="AO209" s="457"/>
      <c r="AP209" s="465"/>
      <c r="AQ209" s="466">
        <f>AF209</f>
        <v>45833</v>
      </c>
      <c r="AR209" s="466">
        <f>ROUND(AQ209*0.14,0)</f>
        <v>6417</v>
      </c>
      <c r="AS209" s="459"/>
      <c r="AT209" s="430" t="s">
        <v>1274</v>
      </c>
      <c r="AU209" s="431"/>
      <c r="AV209" s="431"/>
      <c r="AW209" s="431"/>
      <c r="AX209" s="431"/>
      <c r="AY209" s="431"/>
      <c r="AZ209" s="431"/>
      <c r="BA209" s="431"/>
      <c r="BB209" s="431"/>
      <c r="BC209" s="431"/>
      <c r="BD209" s="431"/>
      <c r="BE209" s="431"/>
    </row>
    <row r="210" ht="12.75" customHeight="1">
      <c r="A210" s="267" t="s">
        <v>691</v>
      </c>
      <c r="B210" s="268" t="s">
        <v>118</v>
      </c>
      <c r="C210" s="269" t="s">
        <v>119</v>
      </c>
      <c r="D210" s="269" t="s">
        <v>250</v>
      </c>
      <c r="E210" s="269" t="s">
        <v>250</v>
      </c>
      <c r="F210" s="270"/>
      <c r="G210" s="269" t="s">
        <v>251</v>
      </c>
      <c r="H210" s="270" t="s">
        <v>252</v>
      </c>
      <c r="I210" s="270" t="s">
        <v>105</v>
      </c>
      <c r="J210" s="354" t="s">
        <v>106</v>
      </c>
      <c r="K210" s="355">
        <v>1.66</v>
      </c>
      <c r="L210" s="356">
        <v>2303.0</v>
      </c>
      <c r="M210" s="357">
        <v>0.25</v>
      </c>
      <c r="N210" s="272">
        <v>346.0</v>
      </c>
      <c r="O210" s="271">
        <v>0.0</v>
      </c>
      <c r="P210" s="272">
        <v>0.0</v>
      </c>
      <c r="Q210" s="273">
        <f t="shared" ref="Q210:R210" si="685">M210-O210</f>
        <v>0.25</v>
      </c>
      <c r="R210" s="274">
        <f t="shared" si="685"/>
        <v>346</v>
      </c>
      <c r="S210" s="275">
        <v>1387.6</v>
      </c>
      <c r="T210" s="276">
        <v>15.0</v>
      </c>
      <c r="U210" s="277" t="s">
        <v>107</v>
      </c>
      <c r="V210" s="277"/>
      <c r="W210" s="468"/>
      <c r="X210" s="468"/>
      <c r="Y210" s="468"/>
      <c r="Z210" s="468"/>
      <c r="AA210" s="468"/>
      <c r="AB210" s="469"/>
      <c r="AC210" s="470">
        <f t="shared" ref="AC210:AD210" si="686">K210</f>
        <v>1.66</v>
      </c>
      <c r="AD210" s="471">
        <f t="shared" si="686"/>
        <v>2303</v>
      </c>
      <c r="AE210" s="472"/>
      <c r="AF210" s="472"/>
      <c r="AG210" s="473"/>
      <c r="AH210" s="468"/>
      <c r="AI210" s="468"/>
      <c r="AJ210" s="468"/>
      <c r="AK210" s="474">
        <f t="shared" ref="AK210:AL210" si="687">Q210</f>
        <v>0.25</v>
      </c>
      <c r="AL210" s="475">
        <f t="shared" si="687"/>
        <v>346</v>
      </c>
      <c r="AM210" s="468"/>
      <c r="AN210" s="468"/>
      <c r="AO210" s="468"/>
      <c r="AP210" s="468"/>
      <c r="AQ210" s="476"/>
      <c r="AR210" s="476"/>
      <c r="AS210" s="476"/>
      <c r="AT210" s="468"/>
      <c r="AU210" s="477"/>
      <c r="AV210" s="477"/>
      <c r="AW210" s="477"/>
      <c r="AX210" s="477"/>
      <c r="AY210" s="477"/>
      <c r="AZ210" s="477"/>
      <c r="BA210" s="477"/>
      <c r="BB210" s="477"/>
      <c r="BC210" s="477"/>
      <c r="BD210" s="477"/>
      <c r="BE210" s="477"/>
    </row>
    <row r="211" ht="12.75" customHeight="1">
      <c r="A211" s="245" t="s">
        <v>692</v>
      </c>
      <c r="B211" s="246" t="s">
        <v>118</v>
      </c>
      <c r="C211" s="247" t="s">
        <v>119</v>
      </c>
      <c r="D211" s="247" t="s">
        <v>253</v>
      </c>
      <c r="E211" s="247" t="s">
        <v>254</v>
      </c>
      <c r="F211" s="248"/>
      <c r="G211" s="247" t="s">
        <v>103</v>
      </c>
      <c r="H211" s="247" t="s">
        <v>239</v>
      </c>
      <c r="I211" s="248" t="s">
        <v>105</v>
      </c>
      <c r="J211" s="300" t="s">
        <v>106</v>
      </c>
      <c r="K211" s="301">
        <v>92.8</v>
      </c>
      <c r="L211" s="302">
        <v>128871.0</v>
      </c>
      <c r="M211" s="303">
        <v>13.92</v>
      </c>
      <c r="N211" s="250">
        <v>19330.0</v>
      </c>
      <c r="O211" s="249">
        <v>0.0</v>
      </c>
      <c r="P211" s="250">
        <v>0.0</v>
      </c>
      <c r="Q211" s="251">
        <f t="shared" ref="Q211:R211" si="688">M211-O211</f>
        <v>13.92</v>
      </c>
      <c r="R211" s="252">
        <f t="shared" si="688"/>
        <v>19330</v>
      </c>
      <c r="S211" s="253">
        <v>1388.7</v>
      </c>
      <c r="T211" s="254">
        <v>15.0</v>
      </c>
      <c r="U211" s="255" t="s">
        <v>107</v>
      </c>
      <c r="V211" s="255"/>
      <c r="W211" s="304">
        <v>0.0928</v>
      </c>
      <c r="X211" s="304">
        <v>0.029879</v>
      </c>
      <c r="Y211" s="304">
        <v>0.062921</v>
      </c>
      <c r="Z211" s="305">
        <f>IFERROR(ROUND(K211/W211,0),0)</f>
        <v>1000</v>
      </c>
      <c r="AA211" s="306">
        <f t="shared" ref="AA211:AA212" si="690">Z211*W211</f>
        <v>92.8</v>
      </c>
      <c r="AB211" s="307">
        <f t="shared" ref="AB211:AB212" si="691">ROUND(AA211*S211,0)</f>
        <v>128871</v>
      </c>
      <c r="AC211" s="308">
        <f t="shared" ref="AC211:AC212" si="692">AA211</f>
        <v>92.8</v>
      </c>
      <c r="AD211" s="309">
        <f t="shared" ref="AD211:AD216" si="693">ROUND(AC211*S211,0)</f>
        <v>128871</v>
      </c>
      <c r="AE211" s="425"/>
      <c r="AF211" s="425"/>
      <c r="AG211" s="310">
        <f t="shared" ref="AG211:AG216" si="694">IFERROR(ROUND(Z211*Y211,2),0)</f>
        <v>62.92</v>
      </c>
      <c r="AH211" s="252">
        <f t="shared" ref="AH211:AH216" si="695">ROUND(AG211*S211,0)</f>
        <v>87377</v>
      </c>
      <c r="AI211" s="306">
        <f t="shared" ref="AI211:AI212" si="696">ROUND(AC211*0.15,2)</f>
        <v>13.92</v>
      </c>
      <c r="AJ211" s="252">
        <f t="shared" ref="AJ211:AJ212" si="697">ROUND(AD211*0.15,0)</f>
        <v>19331</v>
      </c>
      <c r="AK211" s="426"/>
      <c r="AL211" s="426"/>
      <c r="AM211" s="426"/>
      <c r="AN211" s="426"/>
      <c r="AO211" s="426"/>
      <c r="AP211" s="426"/>
      <c r="AQ211" s="427"/>
      <c r="AR211" s="427"/>
      <c r="AS211" s="427"/>
      <c r="AT211" s="426"/>
      <c r="AU211" s="410"/>
      <c r="AV211" s="410"/>
      <c r="AW211" s="410"/>
      <c r="AX211" s="410"/>
      <c r="AY211" s="410"/>
      <c r="AZ211" s="410"/>
      <c r="BA211" s="410"/>
      <c r="BB211" s="410"/>
      <c r="BC211" s="410"/>
      <c r="BD211" s="410"/>
      <c r="BE211" s="410"/>
    </row>
    <row r="212" ht="12.75" customHeight="1">
      <c r="A212" s="245" t="s">
        <v>693</v>
      </c>
      <c r="B212" s="246" t="s">
        <v>118</v>
      </c>
      <c r="C212" s="247" t="s">
        <v>119</v>
      </c>
      <c r="D212" s="247" t="s">
        <v>253</v>
      </c>
      <c r="E212" s="247" t="s">
        <v>254</v>
      </c>
      <c r="F212" s="248"/>
      <c r="G212" s="247" t="s">
        <v>103</v>
      </c>
      <c r="H212" s="247" t="s">
        <v>239</v>
      </c>
      <c r="I212" s="248" t="s">
        <v>105</v>
      </c>
      <c r="J212" s="300" t="s">
        <v>106</v>
      </c>
      <c r="K212" s="314">
        <f t="shared" ref="K212:R212" si="689">-K211</f>
        <v>-92.8</v>
      </c>
      <c r="L212" s="309">
        <f t="shared" si="689"/>
        <v>-128871</v>
      </c>
      <c r="M212" s="315">
        <f t="shared" si="689"/>
        <v>-13.92</v>
      </c>
      <c r="N212" s="252">
        <f t="shared" si="689"/>
        <v>-19330</v>
      </c>
      <c r="O212" s="251">
        <f t="shared" si="689"/>
        <v>0</v>
      </c>
      <c r="P212" s="252">
        <f t="shared" si="689"/>
        <v>0</v>
      </c>
      <c r="Q212" s="251">
        <f t="shared" si="689"/>
        <v>-13.92</v>
      </c>
      <c r="R212" s="252">
        <f t="shared" si="689"/>
        <v>-19330</v>
      </c>
      <c r="S212" s="253">
        <v>1388.7</v>
      </c>
      <c r="T212" s="254">
        <v>15.0</v>
      </c>
      <c r="U212" s="255" t="s">
        <v>107</v>
      </c>
      <c r="V212" s="255"/>
      <c r="W212" s="304">
        <v>0.0928</v>
      </c>
      <c r="X212" s="304">
        <v>0.029879</v>
      </c>
      <c r="Y212" s="304">
        <v>0.062921</v>
      </c>
      <c r="Z212" s="305">
        <f>-Z211</f>
        <v>-1000</v>
      </c>
      <c r="AA212" s="306">
        <f t="shared" si="690"/>
        <v>-92.8</v>
      </c>
      <c r="AB212" s="307">
        <f t="shared" si="691"/>
        <v>-128871</v>
      </c>
      <c r="AC212" s="308">
        <f t="shared" si="692"/>
        <v>-92.8</v>
      </c>
      <c r="AD212" s="309">
        <f t="shared" si="693"/>
        <v>-128871</v>
      </c>
      <c r="AE212" s="425"/>
      <c r="AF212" s="425"/>
      <c r="AG212" s="310">
        <f t="shared" si="694"/>
        <v>-62.92</v>
      </c>
      <c r="AH212" s="252">
        <f t="shared" si="695"/>
        <v>-87377</v>
      </c>
      <c r="AI212" s="306">
        <f t="shared" si="696"/>
        <v>-13.92</v>
      </c>
      <c r="AJ212" s="252">
        <f t="shared" si="697"/>
        <v>-19331</v>
      </c>
      <c r="AK212" s="426"/>
      <c r="AL212" s="426"/>
      <c r="AM212" s="426"/>
      <c r="AN212" s="426"/>
      <c r="AO212" s="426"/>
      <c r="AP212" s="426"/>
      <c r="AQ212" s="427"/>
      <c r="AR212" s="427"/>
      <c r="AS212" s="427"/>
      <c r="AT212" s="426"/>
      <c r="AU212" s="410"/>
      <c r="AV212" s="410"/>
      <c r="AW212" s="410"/>
      <c r="AX212" s="410"/>
      <c r="AY212" s="410"/>
      <c r="AZ212" s="410"/>
      <c r="BA212" s="410"/>
      <c r="BB212" s="410"/>
      <c r="BC212" s="410"/>
      <c r="BD212" s="410"/>
      <c r="BE212" s="410"/>
    </row>
    <row r="213" ht="12.75" customHeight="1">
      <c r="A213" s="256" t="s">
        <v>694</v>
      </c>
      <c r="B213" s="257" t="s">
        <v>118</v>
      </c>
      <c r="C213" s="258" t="s">
        <v>119</v>
      </c>
      <c r="D213" s="258" t="s">
        <v>253</v>
      </c>
      <c r="E213" s="258" t="s">
        <v>254</v>
      </c>
      <c r="F213" s="259"/>
      <c r="G213" s="258" t="s">
        <v>103</v>
      </c>
      <c r="H213" s="258" t="s">
        <v>239</v>
      </c>
      <c r="I213" s="259" t="s">
        <v>105</v>
      </c>
      <c r="J213" s="316" t="s">
        <v>106</v>
      </c>
      <c r="K213" s="317">
        <f>ROUND(M213/0.15,2)</f>
        <v>29.87</v>
      </c>
      <c r="L213" s="318">
        <f>ROUND(N213/0.15,0)</f>
        <v>41473</v>
      </c>
      <c r="M213" s="319">
        <f t="shared" ref="M213:N213" si="698">Q213</f>
        <v>4.48</v>
      </c>
      <c r="N213" s="261">
        <f t="shared" si="698"/>
        <v>6221</v>
      </c>
      <c r="O213" s="262">
        <v>9.44</v>
      </c>
      <c r="P213" s="263">
        <v>13109.0</v>
      </c>
      <c r="Q213" s="260">
        <f t="shared" ref="Q213:R213" si="699">M211-O213</f>
        <v>4.48</v>
      </c>
      <c r="R213" s="261">
        <f t="shared" si="699"/>
        <v>6221</v>
      </c>
      <c r="S213" s="264">
        <v>1388.7</v>
      </c>
      <c r="T213" s="265">
        <v>15.0</v>
      </c>
      <c r="U213" s="266" t="s">
        <v>107</v>
      </c>
      <c r="V213" s="266" t="s">
        <v>1357</v>
      </c>
      <c r="W213" s="320">
        <v>0.0928</v>
      </c>
      <c r="X213" s="320">
        <v>0.029879</v>
      </c>
      <c r="Y213" s="320">
        <v>0.062921</v>
      </c>
      <c r="Z213" s="321">
        <f>Z211</f>
        <v>1000</v>
      </c>
      <c r="AA213" s="426"/>
      <c r="AB213" s="428"/>
      <c r="AC213" s="323">
        <f>IFERROR(ROUND(Z213*X213,2),0)</f>
        <v>29.88</v>
      </c>
      <c r="AD213" s="318">
        <f t="shared" si="693"/>
        <v>41494</v>
      </c>
      <c r="AE213" s="429"/>
      <c r="AF213" s="429"/>
      <c r="AG213" s="324">
        <f t="shared" si="694"/>
        <v>62.92</v>
      </c>
      <c r="AH213" s="261">
        <f t="shared" si="695"/>
        <v>87377</v>
      </c>
      <c r="AI213" s="426"/>
      <c r="AJ213" s="426"/>
      <c r="AK213" s="325">
        <f>ROUND(AC213*0.15,2)</f>
        <v>4.48</v>
      </c>
      <c r="AL213" s="261">
        <f>ROUND(AD213*0.15,0)</f>
        <v>6224</v>
      </c>
      <c r="AM213" s="325"/>
      <c r="AN213" s="325"/>
      <c r="AO213" s="325">
        <f>ROUND(AG213*0.15,2)</f>
        <v>9.44</v>
      </c>
      <c r="AP213" s="261">
        <f>ROUND(AH213*0.15,0)</f>
        <v>13107</v>
      </c>
      <c r="AQ213" s="326"/>
      <c r="AR213" s="326"/>
      <c r="AS213" s="326">
        <f>IFERROR(AC213/K213,IFERROR(AO213/O213,""))</f>
        <v>1.000334784</v>
      </c>
      <c r="AT213" s="426"/>
      <c r="AU213" s="410"/>
      <c r="AV213" s="410"/>
      <c r="AW213" s="410"/>
      <c r="AX213" s="410"/>
      <c r="AY213" s="410"/>
      <c r="AZ213" s="410"/>
      <c r="BA213" s="410"/>
      <c r="BB213" s="410"/>
      <c r="BC213" s="410"/>
      <c r="BD213" s="410"/>
      <c r="BE213" s="410"/>
    </row>
    <row r="214" ht="12.75" customHeight="1">
      <c r="A214" s="245" t="s">
        <v>696</v>
      </c>
      <c r="B214" s="246" t="s">
        <v>118</v>
      </c>
      <c r="C214" s="247" t="s">
        <v>119</v>
      </c>
      <c r="D214" s="247" t="s">
        <v>255</v>
      </c>
      <c r="E214" s="247" t="s">
        <v>256</v>
      </c>
      <c r="F214" s="248"/>
      <c r="G214" s="247" t="s">
        <v>103</v>
      </c>
      <c r="H214" s="247" t="s">
        <v>239</v>
      </c>
      <c r="I214" s="248" t="s">
        <v>105</v>
      </c>
      <c r="J214" s="300" t="s">
        <v>106</v>
      </c>
      <c r="K214" s="301">
        <v>92.6</v>
      </c>
      <c r="L214" s="302">
        <v>129084.0</v>
      </c>
      <c r="M214" s="303">
        <v>13.89</v>
      </c>
      <c r="N214" s="250">
        <v>19362.0</v>
      </c>
      <c r="O214" s="249">
        <v>0.0</v>
      </c>
      <c r="P214" s="250">
        <v>0.0</v>
      </c>
      <c r="Q214" s="251">
        <f t="shared" ref="Q214:R214" si="700">M214-O214</f>
        <v>13.89</v>
      </c>
      <c r="R214" s="252">
        <f t="shared" si="700"/>
        <v>19362</v>
      </c>
      <c r="S214" s="253">
        <v>1394.0</v>
      </c>
      <c r="T214" s="254">
        <v>15.0</v>
      </c>
      <c r="U214" s="255" t="s">
        <v>107</v>
      </c>
      <c r="V214" s="255"/>
      <c r="W214" s="304">
        <v>0.0926</v>
      </c>
      <c r="X214" s="304">
        <v>0.029814</v>
      </c>
      <c r="Y214" s="304">
        <v>0.062786</v>
      </c>
      <c r="Z214" s="305">
        <f>IFERROR(ROUND(K214/W214,0),0)</f>
        <v>1000</v>
      </c>
      <c r="AA214" s="306">
        <f t="shared" ref="AA214:AA215" si="702">Z214*W214</f>
        <v>92.6</v>
      </c>
      <c r="AB214" s="307">
        <f t="shared" ref="AB214:AB215" si="703">ROUND(AA214*S214,0)</f>
        <v>129084</v>
      </c>
      <c r="AC214" s="308">
        <f t="shared" ref="AC214:AC215" si="704">AA214</f>
        <v>92.6</v>
      </c>
      <c r="AD214" s="309">
        <f t="shared" si="693"/>
        <v>129084</v>
      </c>
      <c r="AE214" s="425"/>
      <c r="AF214" s="425"/>
      <c r="AG214" s="310">
        <f t="shared" si="694"/>
        <v>62.79</v>
      </c>
      <c r="AH214" s="252">
        <f t="shared" si="695"/>
        <v>87529</v>
      </c>
      <c r="AI214" s="306">
        <f t="shared" ref="AI214:AI215" si="705">ROUND(AC214*0.15,2)</f>
        <v>13.89</v>
      </c>
      <c r="AJ214" s="252">
        <f t="shared" ref="AJ214:AJ215" si="706">ROUND(AD214*0.15,0)</f>
        <v>19363</v>
      </c>
      <c r="AK214" s="426"/>
      <c r="AL214" s="426"/>
      <c r="AM214" s="426"/>
      <c r="AN214" s="426"/>
      <c r="AO214" s="426"/>
      <c r="AP214" s="426"/>
      <c r="AQ214" s="427"/>
      <c r="AR214" s="427"/>
      <c r="AS214" s="427"/>
      <c r="AT214" s="426"/>
      <c r="AU214" s="410"/>
      <c r="AV214" s="410"/>
      <c r="AW214" s="410"/>
      <c r="AX214" s="410"/>
      <c r="AY214" s="410"/>
      <c r="AZ214" s="410"/>
      <c r="BA214" s="410"/>
      <c r="BB214" s="410"/>
      <c r="BC214" s="410"/>
      <c r="BD214" s="410"/>
      <c r="BE214" s="410"/>
    </row>
    <row r="215" ht="12.75" customHeight="1">
      <c r="A215" s="245" t="s">
        <v>697</v>
      </c>
      <c r="B215" s="246" t="s">
        <v>118</v>
      </c>
      <c r="C215" s="247" t="s">
        <v>119</v>
      </c>
      <c r="D215" s="247" t="s">
        <v>255</v>
      </c>
      <c r="E215" s="247" t="s">
        <v>256</v>
      </c>
      <c r="F215" s="248"/>
      <c r="G215" s="247" t="s">
        <v>103</v>
      </c>
      <c r="H215" s="247" t="s">
        <v>239</v>
      </c>
      <c r="I215" s="248" t="s">
        <v>105</v>
      </c>
      <c r="J215" s="300" t="s">
        <v>106</v>
      </c>
      <c r="K215" s="314">
        <f t="shared" ref="K215:R215" si="701">-K214</f>
        <v>-92.6</v>
      </c>
      <c r="L215" s="309">
        <f t="shared" si="701"/>
        <v>-129084</v>
      </c>
      <c r="M215" s="315">
        <f t="shared" si="701"/>
        <v>-13.89</v>
      </c>
      <c r="N215" s="252">
        <f t="shared" si="701"/>
        <v>-19362</v>
      </c>
      <c r="O215" s="251">
        <f t="shared" si="701"/>
        <v>0</v>
      </c>
      <c r="P215" s="252">
        <f t="shared" si="701"/>
        <v>0</v>
      </c>
      <c r="Q215" s="251">
        <f t="shared" si="701"/>
        <v>-13.89</v>
      </c>
      <c r="R215" s="252">
        <f t="shared" si="701"/>
        <v>-19362</v>
      </c>
      <c r="S215" s="253">
        <v>1394.0</v>
      </c>
      <c r="T215" s="254">
        <v>15.0</v>
      </c>
      <c r="U215" s="255" t="s">
        <v>107</v>
      </c>
      <c r="V215" s="255"/>
      <c r="W215" s="304">
        <v>0.0926</v>
      </c>
      <c r="X215" s="304">
        <v>0.029814</v>
      </c>
      <c r="Y215" s="304">
        <v>0.062786</v>
      </c>
      <c r="Z215" s="305">
        <f>-Z214</f>
        <v>-1000</v>
      </c>
      <c r="AA215" s="306">
        <f t="shared" si="702"/>
        <v>-92.6</v>
      </c>
      <c r="AB215" s="307">
        <f t="shared" si="703"/>
        <v>-129084</v>
      </c>
      <c r="AC215" s="308">
        <f t="shared" si="704"/>
        <v>-92.6</v>
      </c>
      <c r="AD215" s="309">
        <f t="shared" si="693"/>
        <v>-129084</v>
      </c>
      <c r="AE215" s="425"/>
      <c r="AF215" s="425"/>
      <c r="AG215" s="310">
        <f t="shared" si="694"/>
        <v>-62.79</v>
      </c>
      <c r="AH215" s="252">
        <f t="shared" si="695"/>
        <v>-87529</v>
      </c>
      <c r="AI215" s="306">
        <f t="shared" si="705"/>
        <v>-13.89</v>
      </c>
      <c r="AJ215" s="252">
        <f t="shared" si="706"/>
        <v>-19363</v>
      </c>
      <c r="AK215" s="426"/>
      <c r="AL215" s="426"/>
      <c r="AM215" s="426"/>
      <c r="AN215" s="426"/>
      <c r="AO215" s="426"/>
      <c r="AP215" s="426"/>
      <c r="AQ215" s="427"/>
      <c r="AR215" s="427"/>
      <c r="AS215" s="427"/>
      <c r="AT215" s="426"/>
      <c r="AU215" s="410"/>
      <c r="AV215" s="410"/>
      <c r="AW215" s="410"/>
      <c r="AX215" s="410"/>
      <c r="AY215" s="410"/>
      <c r="AZ215" s="410"/>
      <c r="BA215" s="410"/>
      <c r="BB215" s="410"/>
      <c r="BC215" s="410"/>
      <c r="BD215" s="410"/>
      <c r="BE215" s="410"/>
    </row>
    <row r="216" ht="12.75" customHeight="1">
      <c r="A216" s="256" t="s">
        <v>698</v>
      </c>
      <c r="B216" s="257" t="s">
        <v>118</v>
      </c>
      <c r="C216" s="258" t="s">
        <v>119</v>
      </c>
      <c r="D216" s="258" t="s">
        <v>255</v>
      </c>
      <c r="E216" s="258" t="s">
        <v>256</v>
      </c>
      <c r="F216" s="259"/>
      <c r="G216" s="258" t="s">
        <v>103</v>
      </c>
      <c r="H216" s="258" t="s">
        <v>239</v>
      </c>
      <c r="I216" s="259" t="s">
        <v>105</v>
      </c>
      <c r="J216" s="316" t="s">
        <v>106</v>
      </c>
      <c r="K216" s="317">
        <f>ROUND(M216/0.15,2)</f>
        <v>29.8</v>
      </c>
      <c r="L216" s="318">
        <f>ROUND(N216/0.15,0)</f>
        <v>41540</v>
      </c>
      <c r="M216" s="319">
        <f t="shared" ref="M216:N216" si="707">Q216</f>
        <v>4.47</v>
      </c>
      <c r="N216" s="261">
        <f t="shared" si="707"/>
        <v>6231</v>
      </c>
      <c r="O216" s="262">
        <v>9.42</v>
      </c>
      <c r="P216" s="263">
        <v>13131.0</v>
      </c>
      <c r="Q216" s="260">
        <f t="shared" ref="Q216:R216" si="708">M214-O216</f>
        <v>4.47</v>
      </c>
      <c r="R216" s="261">
        <f t="shared" si="708"/>
        <v>6231</v>
      </c>
      <c r="S216" s="264">
        <v>1394.0</v>
      </c>
      <c r="T216" s="265">
        <v>15.0</v>
      </c>
      <c r="U216" s="266" t="s">
        <v>107</v>
      </c>
      <c r="V216" s="266" t="s">
        <v>1358</v>
      </c>
      <c r="W216" s="320">
        <v>0.0926</v>
      </c>
      <c r="X216" s="320">
        <v>0.029814</v>
      </c>
      <c r="Y216" s="320">
        <v>0.062786</v>
      </c>
      <c r="Z216" s="321">
        <f>Z214</f>
        <v>1000</v>
      </c>
      <c r="AA216" s="426"/>
      <c r="AB216" s="428"/>
      <c r="AC216" s="323">
        <f>IFERROR(ROUND(Z216*X216,2),0)</f>
        <v>29.81</v>
      </c>
      <c r="AD216" s="318">
        <f t="shared" si="693"/>
        <v>41555</v>
      </c>
      <c r="AE216" s="429"/>
      <c r="AF216" s="429"/>
      <c r="AG216" s="324">
        <f t="shared" si="694"/>
        <v>62.79</v>
      </c>
      <c r="AH216" s="261">
        <f t="shared" si="695"/>
        <v>87529</v>
      </c>
      <c r="AI216" s="426"/>
      <c r="AJ216" s="426"/>
      <c r="AK216" s="325">
        <f>ROUND(AC216*0.15,2)</f>
        <v>4.47</v>
      </c>
      <c r="AL216" s="261">
        <f>ROUND(AD216*0.15,0)</f>
        <v>6233</v>
      </c>
      <c r="AM216" s="325"/>
      <c r="AN216" s="325"/>
      <c r="AO216" s="325">
        <f>ROUND(AG216*0.15,2)</f>
        <v>9.42</v>
      </c>
      <c r="AP216" s="261">
        <f>ROUND(AH216*0.15,0)</f>
        <v>13129</v>
      </c>
      <c r="AQ216" s="326"/>
      <c r="AR216" s="326"/>
      <c r="AS216" s="326">
        <f>IFERROR(AC216/K216,IFERROR(AO216/O216,""))</f>
        <v>1.00033557</v>
      </c>
      <c r="AT216" s="426"/>
      <c r="AU216" s="410"/>
      <c r="AV216" s="410"/>
      <c r="AW216" s="410"/>
      <c r="AX216" s="410"/>
      <c r="AY216" s="410"/>
      <c r="AZ216" s="410"/>
      <c r="BA216" s="410"/>
      <c r="BB216" s="410"/>
      <c r="BC216" s="410"/>
      <c r="BD216" s="410"/>
      <c r="BE216" s="410"/>
    </row>
    <row r="217" ht="12.75" customHeight="1">
      <c r="A217" s="267" t="s">
        <v>700</v>
      </c>
      <c r="B217" s="268" t="s">
        <v>118</v>
      </c>
      <c r="C217" s="269" t="s">
        <v>119</v>
      </c>
      <c r="D217" s="269" t="s">
        <v>257</v>
      </c>
      <c r="E217" s="269" t="s">
        <v>255</v>
      </c>
      <c r="F217" s="270"/>
      <c r="G217" s="269" t="s">
        <v>216</v>
      </c>
      <c r="H217" s="270" t="s">
        <v>217</v>
      </c>
      <c r="I217" s="270" t="s">
        <v>105</v>
      </c>
      <c r="J217" s="354" t="s">
        <v>106</v>
      </c>
      <c r="K217" s="355">
        <v>37.57</v>
      </c>
      <c r="L217" s="356">
        <v>52406.0</v>
      </c>
      <c r="M217" s="357">
        <v>5.64</v>
      </c>
      <c r="N217" s="272">
        <v>7867.0</v>
      </c>
      <c r="O217" s="271">
        <v>0.0</v>
      </c>
      <c r="P217" s="272">
        <v>0.0</v>
      </c>
      <c r="Q217" s="273">
        <f t="shared" ref="Q217:R217" si="709">M217-O217</f>
        <v>5.64</v>
      </c>
      <c r="R217" s="274">
        <f t="shared" si="709"/>
        <v>7867</v>
      </c>
      <c r="S217" s="275">
        <v>1394.9</v>
      </c>
      <c r="T217" s="276">
        <v>15.0</v>
      </c>
      <c r="U217" s="277" t="s">
        <v>107</v>
      </c>
      <c r="V217" s="277"/>
      <c r="W217" s="468"/>
      <c r="X217" s="468"/>
      <c r="Y217" s="468"/>
      <c r="Z217" s="468"/>
      <c r="AA217" s="468"/>
      <c r="AB217" s="469"/>
      <c r="AC217" s="470">
        <f t="shared" ref="AC217:AD217" si="710">K217</f>
        <v>37.57</v>
      </c>
      <c r="AD217" s="471">
        <f t="shared" si="710"/>
        <v>52406</v>
      </c>
      <c r="AE217" s="472"/>
      <c r="AF217" s="472"/>
      <c r="AG217" s="473"/>
      <c r="AH217" s="468"/>
      <c r="AI217" s="468"/>
      <c r="AJ217" s="468"/>
      <c r="AK217" s="474">
        <f t="shared" ref="AK217:AL217" si="711">Q217</f>
        <v>5.64</v>
      </c>
      <c r="AL217" s="475">
        <f t="shared" si="711"/>
        <v>7867</v>
      </c>
      <c r="AM217" s="468"/>
      <c r="AN217" s="468"/>
      <c r="AO217" s="468"/>
      <c r="AP217" s="468"/>
      <c r="AQ217" s="476"/>
      <c r="AR217" s="476"/>
      <c r="AS217" s="476"/>
      <c r="AT217" s="468"/>
      <c r="AU217" s="477"/>
      <c r="AV217" s="477"/>
      <c r="AW217" s="477"/>
      <c r="AX217" s="477"/>
      <c r="AY217" s="477"/>
      <c r="AZ217" s="477"/>
      <c r="BA217" s="477"/>
      <c r="BB217" s="477"/>
      <c r="BC217" s="477"/>
      <c r="BD217" s="477"/>
      <c r="BE217" s="477"/>
    </row>
    <row r="218" ht="12.75" customHeight="1">
      <c r="A218" s="245" t="s">
        <v>701</v>
      </c>
      <c r="B218" s="246" t="s">
        <v>118</v>
      </c>
      <c r="C218" s="247" t="s">
        <v>119</v>
      </c>
      <c r="D218" s="247" t="s">
        <v>258</v>
      </c>
      <c r="E218" s="247" t="s">
        <v>259</v>
      </c>
      <c r="F218" s="248"/>
      <c r="G218" s="247" t="s">
        <v>103</v>
      </c>
      <c r="H218" s="247" t="s">
        <v>239</v>
      </c>
      <c r="I218" s="248" t="s">
        <v>105</v>
      </c>
      <c r="J218" s="300" t="s">
        <v>106</v>
      </c>
      <c r="K218" s="301">
        <v>92.1</v>
      </c>
      <c r="L218" s="302">
        <v>130008.0</v>
      </c>
      <c r="M218" s="303">
        <v>13.82</v>
      </c>
      <c r="N218" s="250">
        <v>19508.0</v>
      </c>
      <c r="O218" s="249">
        <v>0.0</v>
      </c>
      <c r="P218" s="250">
        <v>0.0</v>
      </c>
      <c r="Q218" s="251">
        <f t="shared" ref="Q218:R218" si="712">M218-O218</f>
        <v>13.82</v>
      </c>
      <c r="R218" s="252">
        <f t="shared" si="712"/>
        <v>19508</v>
      </c>
      <c r="S218" s="253">
        <v>1411.6</v>
      </c>
      <c r="T218" s="254">
        <v>15.0</v>
      </c>
      <c r="U218" s="255" t="s">
        <v>107</v>
      </c>
      <c r="V218" s="255"/>
      <c r="W218" s="304">
        <v>0.0913</v>
      </c>
      <c r="X218" s="304">
        <v>0.029396</v>
      </c>
      <c r="Y218" s="304">
        <v>0.061904</v>
      </c>
      <c r="Z218" s="305">
        <f>IFERROR(ROUND(K218/W218,0),0)</f>
        <v>1009</v>
      </c>
      <c r="AA218" s="306">
        <f t="shared" ref="AA218:AA219" si="714">Z218*W218</f>
        <v>92.1217</v>
      </c>
      <c r="AB218" s="307">
        <f t="shared" ref="AB218:AB219" si="715">ROUND(AA218*S218,0)</f>
        <v>130039</v>
      </c>
      <c r="AC218" s="308">
        <f t="shared" ref="AC218:AC219" si="716">AA218</f>
        <v>92.1217</v>
      </c>
      <c r="AD218" s="309">
        <f t="shared" ref="AD218:AD220" si="717">ROUND(AC218*S218,0)</f>
        <v>130039</v>
      </c>
      <c r="AE218" s="425"/>
      <c r="AF218" s="425"/>
      <c r="AG218" s="310">
        <f t="shared" ref="AG218:AG220" si="718">IFERROR(ROUND(Z218*Y218,2),0)</f>
        <v>62.46</v>
      </c>
      <c r="AH218" s="252">
        <f t="shared" ref="AH218:AH220" si="719">ROUND(AG218*S218,0)</f>
        <v>88169</v>
      </c>
      <c r="AI218" s="306">
        <f t="shared" ref="AI218:AI219" si="720">ROUND(AC218*0.15,2)</f>
        <v>13.82</v>
      </c>
      <c r="AJ218" s="252">
        <f t="shared" ref="AJ218:AJ219" si="721">ROUND(AD218*0.15,0)</f>
        <v>19506</v>
      </c>
      <c r="AK218" s="426"/>
      <c r="AL218" s="426"/>
      <c r="AM218" s="426"/>
      <c r="AN218" s="426"/>
      <c r="AO218" s="426"/>
      <c r="AP218" s="426"/>
      <c r="AQ218" s="427"/>
      <c r="AR218" s="427"/>
      <c r="AS218" s="427"/>
      <c r="AT218" s="426"/>
      <c r="AU218" s="410"/>
      <c r="AV218" s="410"/>
      <c r="AW218" s="410"/>
      <c r="AX218" s="410"/>
      <c r="AY218" s="410"/>
      <c r="AZ218" s="410"/>
      <c r="BA218" s="410"/>
      <c r="BB218" s="410"/>
      <c r="BC218" s="410"/>
      <c r="BD218" s="410"/>
      <c r="BE218" s="410"/>
    </row>
    <row r="219" ht="12.75" customHeight="1">
      <c r="A219" s="245" t="s">
        <v>702</v>
      </c>
      <c r="B219" s="246" t="s">
        <v>118</v>
      </c>
      <c r="C219" s="247" t="s">
        <v>119</v>
      </c>
      <c r="D219" s="247" t="s">
        <v>258</v>
      </c>
      <c r="E219" s="247" t="s">
        <v>259</v>
      </c>
      <c r="F219" s="248"/>
      <c r="G219" s="247" t="s">
        <v>103</v>
      </c>
      <c r="H219" s="247" t="s">
        <v>239</v>
      </c>
      <c r="I219" s="248" t="s">
        <v>105</v>
      </c>
      <c r="J219" s="300" t="s">
        <v>106</v>
      </c>
      <c r="K219" s="314">
        <f t="shared" ref="K219:R219" si="713">-K218</f>
        <v>-92.1</v>
      </c>
      <c r="L219" s="309">
        <f t="shared" si="713"/>
        <v>-130008</v>
      </c>
      <c r="M219" s="315">
        <f t="shared" si="713"/>
        <v>-13.82</v>
      </c>
      <c r="N219" s="252">
        <f t="shared" si="713"/>
        <v>-19508</v>
      </c>
      <c r="O219" s="251">
        <f t="shared" si="713"/>
        <v>0</v>
      </c>
      <c r="P219" s="252">
        <f t="shared" si="713"/>
        <v>0</v>
      </c>
      <c r="Q219" s="251">
        <f t="shared" si="713"/>
        <v>-13.82</v>
      </c>
      <c r="R219" s="252">
        <f t="shared" si="713"/>
        <v>-19508</v>
      </c>
      <c r="S219" s="253">
        <v>1411.6</v>
      </c>
      <c r="T219" s="254">
        <v>15.0</v>
      </c>
      <c r="U219" s="255" t="s">
        <v>107</v>
      </c>
      <c r="V219" s="255"/>
      <c r="W219" s="304">
        <v>0.0913</v>
      </c>
      <c r="X219" s="304">
        <v>0.029396</v>
      </c>
      <c r="Y219" s="304">
        <v>0.061904</v>
      </c>
      <c r="Z219" s="305">
        <f>-Z218</f>
        <v>-1009</v>
      </c>
      <c r="AA219" s="306">
        <f t="shared" si="714"/>
        <v>-92.1217</v>
      </c>
      <c r="AB219" s="307">
        <f t="shared" si="715"/>
        <v>-130039</v>
      </c>
      <c r="AC219" s="308">
        <f t="shared" si="716"/>
        <v>-92.1217</v>
      </c>
      <c r="AD219" s="309">
        <f t="shared" si="717"/>
        <v>-130039</v>
      </c>
      <c r="AE219" s="425"/>
      <c r="AF219" s="425"/>
      <c r="AG219" s="310">
        <f t="shared" si="718"/>
        <v>-62.46</v>
      </c>
      <c r="AH219" s="252">
        <f t="shared" si="719"/>
        <v>-88169</v>
      </c>
      <c r="AI219" s="306">
        <f t="shared" si="720"/>
        <v>-13.82</v>
      </c>
      <c r="AJ219" s="252">
        <f t="shared" si="721"/>
        <v>-19506</v>
      </c>
      <c r="AK219" s="426"/>
      <c r="AL219" s="426"/>
      <c r="AM219" s="426"/>
      <c r="AN219" s="426"/>
      <c r="AO219" s="426"/>
      <c r="AP219" s="426"/>
      <c r="AQ219" s="427"/>
      <c r="AR219" s="427"/>
      <c r="AS219" s="427"/>
      <c r="AT219" s="426"/>
      <c r="AU219" s="410"/>
      <c r="AV219" s="410"/>
      <c r="AW219" s="410"/>
      <c r="AX219" s="410"/>
      <c r="AY219" s="410"/>
      <c r="AZ219" s="410"/>
      <c r="BA219" s="410"/>
      <c r="BB219" s="410"/>
      <c r="BC219" s="410"/>
      <c r="BD219" s="410"/>
      <c r="BE219" s="410"/>
    </row>
    <row r="220" ht="12.75" customHeight="1">
      <c r="A220" s="256" t="s">
        <v>703</v>
      </c>
      <c r="B220" s="257" t="s">
        <v>118</v>
      </c>
      <c r="C220" s="258" t="s">
        <v>119</v>
      </c>
      <c r="D220" s="258" t="s">
        <v>258</v>
      </c>
      <c r="E220" s="258" t="s">
        <v>259</v>
      </c>
      <c r="F220" s="259"/>
      <c r="G220" s="258" t="s">
        <v>103</v>
      </c>
      <c r="H220" s="258" t="s">
        <v>239</v>
      </c>
      <c r="I220" s="259" t="s">
        <v>105</v>
      </c>
      <c r="J220" s="316" t="s">
        <v>106</v>
      </c>
      <c r="K220" s="317">
        <f>ROUND(M220/0.15,2)</f>
        <v>29.67</v>
      </c>
      <c r="L220" s="318">
        <f>ROUND(N220/0.15,0)</f>
        <v>41873</v>
      </c>
      <c r="M220" s="319">
        <f t="shared" ref="M220:N220" si="722">Q220</f>
        <v>4.45</v>
      </c>
      <c r="N220" s="261">
        <f t="shared" si="722"/>
        <v>6281</v>
      </c>
      <c r="O220" s="262">
        <v>9.37</v>
      </c>
      <c r="P220" s="263">
        <v>13227.0</v>
      </c>
      <c r="Q220" s="260">
        <f t="shared" ref="Q220:R220" si="723">M218-O220</f>
        <v>4.45</v>
      </c>
      <c r="R220" s="261">
        <f t="shared" si="723"/>
        <v>6281</v>
      </c>
      <c r="S220" s="264">
        <v>1411.6</v>
      </c>
      <c r="T220" s="265">
        <v>15.0</v>
      </c>
      <c r="U220" s="266" t="s">
        <v>107</v>
      </c>
      <c r="V220" s="266" t="s">
        <v>1359</v>
      </c>
      <c r="W220" s="320">
        <v>0.0913</v>
      </c>
      <c r="X220" s="320">
        <v>0.029396</v>
      </c>
      <c r="Y220" s="320">
        <v>0.061904</v>
      </c>
      <c r="Z220" s="321">
        <f>Z218</f>
        <v>1009</v>
      </c>
      <c r="AA220" s="426"/>
      <c r="AB220" s="428"/>
      <c r="AC220" s="323">
        <f>IFERROR(ROUND(Z220*X220,2),0)</f>
        <v>29.66</v>
      </c>
      <c r="AD220" s="318">
        <f t="shared" si="717"/>
        <v>41868</v>
      </c>
      <c r="AE220" s="429"/>
      <c r="AF220" s="429"/>
      <c r="AG220" s="324">
        <f t="shared" si="718"/>
        <v>62.46</v>
      </c>
      <c r="AH220" s="261">
        <f t="shared" si="719"/>
        <v>88169</v>
      </c>
      <c r="AI220" s="426"/>
      <c r="AJ220" s="426"/>
      <c r="AK220" s="325">
        <f>ROUND(AC220*0.15,2)</f>
        <v>4.45</v>
      </c>
      <c r="AL220" s="261">
        <f>ROUND(AD220*0.15,0)</f>
        <v>6280</v>
      </c>
      <c r="AM220" s="325"/>
      <c r="AN220" s="325"/>
      <c r="AO220" s="325">
        <f>ROUND(AG220*0.15,2)</f>
        <v>9.37</v>
      </c>
      <c r="AP220" s="261">
        <f>ROUND(AH220*0.15,0)</f>
        <v>13225</v>
      </c>
      <c r="AQ220" s="326"/>
      <c r="AR220" s="326"/>
      <c r="AS220" s="326">
        <f>IFERROR(AC220/K220,IFERROR(AO220/O220,""))</f>
        <v>0.9996629592</v>
      </c>
      <c r="AT220" s="426"/>
      <c r="AU220" s="410"/>
      <c r="AV220" s="410"/>
      <c r="AW220" s="410"/>
      <c r="AX220" s="410"/>
      <c r="AY220" s="410"/>
      <c r="AZ220" s="410"/>
      <c r="BA220" s="410"/>
      <c r="BB220" s="410"/>
      <c r="BC220" s="410"/>
      <c r="BD220" s="410"/>
      <c r="BE220" s="410"/>
    </row>
    <row r="221" ht="12.75" customHeight="1">
      <c r="A221" s="267" t="s">
        <v>705</v>
      </c>
      <c r="B221" s="268" t="s">
        <v>118</v>
      </c>
      <c r="C221" s="269" t="s">
        <v>119</v>
      </c>
      <c r="D221" s="269" t="s">
        <v>260</v>
      </c>
      <c r="E221" s="269" t="s">
        <v>261</v>
      </c>
      <c r="F221" s="270"/>
      <c r="G221" s="269" t="s">
        <v>262</v>
      </c>
      <c r="H221" s="270" t="s">
        <v>263</v>
      </c>
      <c r="I221" s="270" t="s">
        <v>105</v>
      </c>
      <c r="J221" s="354" t="s">
        <v>106</v>
      </c>
      <c r="K221" s="355">
        <v>0.04</v>
      </c>
      <c r="L221" s="356">
        <v>56.0</v>
      </c>
      <c r="M221" s="357">
        <v>0.01</v>
      </c>
      <c r="N221" s="272">
        <v>14.0</v>
      </c>
      <c r="O221" s="271">
        <v>0.0</v>
      </c>
      <c r="P221" s="272">
        <v>0.0</v>
      </c>
      <c r="Q221" s="273">
        <f t="shared" ref="Q221:R221" si="724">M221-O221</f>
        <v>0.01</v>
      </c>
      <c r="R221" s="274">
        <f t="shared" si="724"/>
        <v>14</v>
      </c>
      <c r="S221" s="275">
        <v>1401.9</v>
      </c>
      <c r="T221" s="276">
        <v>15.0</v>
      </c>
      <c r="U221" s="277" t="s">
        <v>107</v>
      </c>
      <c r="V221" s="277"/>
      <c r="W221" s="468"/>
      <c r="X221" s="468"/>
      <c r="Y221" s="468"/>
      <c r="Z221" s="468"/>
      <c r="AA221" s="468"/>
      <c r="AB221" s="469"/>
      <c r="AC221" s="470">
        <f t="shared" ref="AC221:AD221" si="725">K221</f>
        <v>0.04</v>
      </c>
      <c r="AD221" s="471">
        <f t="shared" si="725"/>
        <v>56</v>
      </c>
      <c r="AE221" s="472"/>
      <c r="AF221" s="472"/>
      <c r="AG221" s="473"/>
      <c r="AH221" s="468"/>
      <c r="AI221" s="468"/>
      <c r="AJ221" s="468"/>
      <c r="AK221" s="474">
        <f t="shared" ref="AK221:AL221" si="726">Q221</f>
        <v>0.01</v>
      </c>
      <c r="AL221" s="475">
        <f t="shared" si="726"/>
        <v>14</v>
      </c>
      <c r="AM221" s="468"/>
      <c r="AN221" s="468"/>
      <c r="AO221" s="468"/>
      <c r="AP221" s="468"/>
      <c r="AQ221" s="476"/>
      <c r="AR221" s="476"/>
      <c r="AS221" s="476"/>
      <c r="AT221" s="468"/>
      <c r="AU221" s="477"/>
      <c r="AV221" s="477"/>
      <c r="AW221" s="477"/>
      <c r="AX221" s="477"/>
      <c r="AY221" s="477"/>
      <c r="AZ221" s="477"/>
      <c r="BA221" s="477"/>
      <c r="BB221" s="477"/>
      <c r="BC221" s="477"/>
      <c r="BD221" s="477"/>
      <c r="BE221" s="477"/>
    </row>
    <row r="222" ht="12.75" customHeight="1">
      <c r="A222" s="267" t="s">
        <v>706</v>
      </c>
      <c r="B222" s="268" t="s">
        <v>118</v>
      </c>
      <c r="C222" s="269" t="s">
        <v>119</v>
      </c>
      <c r="D222" s="269" t="s">
        <v>264</v>
      </c>
      <c r="E222" s="269" t="s">
        <v>265</v>
      </c>
      <c r="F222" s="270"/>
      <c r="G222" s="269" t="s">
        <v>266</v>
      </c>
      <c r="H222" s="269" t="s">
        <v>267</v>
      </c>
      <c r="I222" s="270" t="s">
        <v>105</v>
      </c>
      <c r="J222" s="354" t="s">
        <v>106</v>
      </c>
      <c r="K222" s="355">
        <v>2.47</v>
      </c>
      <c r="L222" s="356">
        <v>3508.0</v>
      </c>
      <c r="M222" s="357">
        <v>0.52</v>
      </c>
      <c r="N222" s="272">
        <v>738.0</v>
      </c>
      <c r="O222" s="271">
        <v>0.0</v>
      </c>
      <c r="P222" s="272">
        <v>0.0</v>
      </c>
      <c r="Q222" s="273">
        <f t="shared" ref="Q222:R222" si="727">M222-O222</f>
        <v>0.52</v>
      </c>
      <c r="R222" s="274">
        <f t="shared" si="727"/>
        <v>738</v>
      </c>
      <c r="S222" s="275">
        <v>1420.5</v>
      </c>
      <c r="T222" s="276">
        <v>21.0</v>
      </c>
      <c r="U222" s="277" t="s">
        <v>107</v>
      </c>
      <c r="V222" s="277"/>
      <c r="W222" s="468"/>
      <c r="X222" s="468"/>
      <c r="Y222" s="468"/>
      <c r="Z222" s="468"/>
      <c r="AA222" s="468"/>
      <c r="AB222" s="469"/>
      <c r="AC222" s="470">
        <f t="shared" ref="AC222:AD222" si="728">K222</f>
        <v>2.47</v>
      </c>
      <c r="AD222" s="471">
        <f t="shared" si="728"/>
        <v>3508</v>
      </c>
      <c r="AE222" s="472"/>
      <c r="AF222" s="472"/>
      <c r="AG222" s="473"/>
      <c r="AH222" s="468"/>
      <c r="AI222" s="468"/>
      <c r="AJ222" s="468"/>
      <c r="AK222" s="474">
        <f t="shared" ref="AK222:AL222" si="729">Q222</f>
        <v>0.52</v>
      </c>
      <c r="AL222" s="475">
        <f t="shared" si="729"/>
        <v>738</v>
      </c>
      <c r="AM222" s="468"/>
      <c r="AN222" s="468"/>
      <c r="AO222" s="468"/>
      <c r="AP222" s="468"/>
      <c r="AQ222" s="476"/>
      <c r="AR222" s="476"/>
      <c r="AS222" s="476"/>
      <c r="AT222" s="468"/>
      <c r="AU222" s="477"/>
      <c r="AV222" s="477"/>
      <c r="AW222" s="477"/>
      <c r="AX222" s="477"/>
      <c r="AY222" s="477"/>
      <c r="AZ222" s="477"/>
      <c r="BA222" s="477"/>
      <c r="BB222" s="477"/>
      <c r="BC222" s="477"/>
      <c r="BD222" s="477"/>
      <c r="BE222" s="477"/>
    </row>
    <row r="223" ht="12.75" customHeight="1">
      <c r="A223" s="267" t="s">
        <v>707</v>
      </c>
      <c r="B223" s="268" t="s">
        <v>118</v>
      </c>
      <c r="C223" s="269" t="s">
        <v>119</v>
      </c>
      <c r="D223" s="269" t="s">
        <v>268</v>
      </c>
      <c r="E223" s="270"/>
      <c r="F223" s="270"/>
      <c r="G223" s="269" t="s">
        <v>269</v>
      </c>
      <c r="H223" s="270" t="s">
        <v>1360</v>
      </c>
      <c r="I223" s="270" t="s">
        <v>105</v>
      </c>
      <c r="J223" s="354" t="s">
        <v>150</v>
      </c>
      <c r="K223" s="355">
        <v>0.0</v>
      </c>
      <c r="L223" s="356">
        <v>3.0</v>
      </c>
      <c r="M223" s="357">
        <v>0.0</v>
      </c>
      <c r="N223" s="272">
        <v>0.0</v>
      </c>
      <c r="O223" s="271">
        <v>0.0</v>
      </c>
      <c r="P223" s="272">
        <v>0.0</v>
      </c>
      <c r="Q223" s="273">
        <f t="shared" ref="Q223:R223" si="730">M223-O223</f>
        <v>0</v>
      </c>
      <c r="R223" s="274">
        <f t="shared" si="730"/>
        <v>0</v>
      </c>
      <c r="S223" s="275">
        <v>1.0</v>
      </c>
      <c r="T223" s="276">
        <v>14.0</v>
      </c>
      <c r="U223" s="277" t="s">
        <v>151</v>
      </c>
      <c r="V223" s="277"/>
      <c r="W223" s="468"/>
      <c r="X223" s="468"/>
      <c r="Y223" s="468"/>
      <c r="Z223" s="468"/>
      <c r="AA223" s="468"/>
      <c r="AB223" s="469"/>
      <c r="AC223" s="470">
        <f t="shared" ref="AC223:AD223" si="731">K223</f>
        <v>0</v>
      </c>
      <c r="AD223" s="471">
        <f t="shared" si="731"/>
        <v>3</v>
      </c>
      <c r="AE223" s="472"/>
      <c r="AF223" s="472"/>
      <c r="AG223" s="473"/>
      <c r="AH223" s="468"/>
      <c r="AI223" s="468"/>
      <c r="AJ223" s="468"/>
      <c r="AK223" s="474">
        <f t="shared" ref="AK223:AL223" si="732">Q223</f>
        <v>0</v>
      </c>
      <c r="AL223" s="475">
        <f t="shared" si="732"/>
        <v>0</v>
      </c>
      <c r="AM223" s="468"/>
      <c r="AN223" s="468"/>
      <c r="AO223" s="468"/>
      <c r="AP223" s="468"/>
      <c r="AQ223" s="476"/>
      <c r="AR223" s="476"/>
      <c r="AS223" s="476"/>
      <c r="AT223" s="468"/>
      <c r="AU223" s="477"/>
      <c r="AV223" s="477"/>
      <c r="AW223" s="477"/>
      <c r="AX223" s="477"/>
      <c r="AY223" s="477"/>
      <c r="AZ223" s="477"/>
      <c r="BA223" s="477"/>
      <c r="BB223" s="477"/>
      <c r="BC223" s="477"/>
      <c r="BD223" s="477"/>
      <c r="BE223" s="477"/>
    </row>
    <row r="224" ht="12.75" customHeight="1">
      <c r="A224" s="267" t="s">
        <v>709</v>
      </c>
      <c r="B224" s="268" t="s">
        <v>118</v>
      </c>
      <c r="C224" s="269" t="s">
        <v>119</v>
      </c>
      <c r="D224" s="269" t="s">
        <v>268</v>
      </c>
      <c r="E224" s="270"/>
      <c r="F224" s="270"/>
      <c r="G224" s="269" t="s">
        <v>271</v>
      </c>
      <c r="H224" s="270" t="s">
        <v>1361</v>
      </c>
      <c r="I224" s="270" t="s">
        <v>105</v>
      </c>
      <c r="J224" s="354" t="s">
        <v>150</v>
      </c>
      <c r="K224" s="355">
        <v>0.0</v>
      </c>
      <c r="L224" s="356">
        <v>0.0</v>
      </c>
      <c r="M224" s="357">
        <v>0.0</v>
      </c>
      <c r="N224" s="272">
        <v>0.0</v>
      </c>
      <c r="O224" s="271">
        <v>0.0</v>
      </c>
      <c r="P224" s="272">
        <v>0.0</v>
      </c>
      <c r="Q224" s="273">
        <f t="shared" ref="Q224:R224" si="733">M224-O224</f>
        <v>0</v>
      </c>
      <c r="R224" s="274">
        <f t="shared" si="733"/>
        <v>0</v>
      </c>
      <c r="S224" s="275">
        <v>1.0</v>
      </c>
      <c r="T224" s="276">
        <v>14.0</v>
      </c>
      <c r="U224" s="277" t="s">
        <v>151</v>
      </c>
      <c r="V224" s="277"/>
      <c r="W224" s="468"/>
      <c r="X224" s="468"/>
      <c r="Y224" s="468"/>
      <c r="Z224" s="468"/>
      <c r="AA224" s="468"/>
      <c r="AB224" s="469"/>
      <c r="AC224" s="470">
        <f t="shared" ref="AC224:AD224" si="734">K224</f>
        <v>0</v>
      </c>
      <c r="AD224" s="471">
        <f t="shared" si="734"/>
        <v>0</v>
      </c>
      <c r="AE224" s="472"/>
      <c r="AF224" s="472"/>
      <c r="AG224" s="473"/>
      <c r="AH224" s="468"/>
      <c r="AI224" s="468"/>
      <c r="AJ224" s="468"/>
      <c r="AK224" s="474">
        <f t="shared" ref="AK224:AL224" si="735">Q224</f>
        <v>0</v>
      </c>
      <c r="AL224" s="475">
        <f t="shared" si="735"/>
        <v>0</v>
      </c>
      <c r="AM224" s="468"/>
      <c r="AN224" s="468"/>
      <c r="AO224" s="468"/>
      <c r="AP224" s="468"/>
      <c r="AQ224" s="476"/>
      <c r="AR224" s="476"/>
      <c r="AS224" s="476"/>
      <c r="AT224" s="468"/>
      <c r="AU224" s="477"/>
      <c r="AV224" s="477"/>
      <c r="AW224" s="477"/>
      <c r="AX224" s="477"/>
      <c r="AY224" s="477"/>
      <c r="AZ224" s="477"/>
      <c r="BA224" s="477"/>
      <c r="BB224" s="477"/>
      <c r="BC224" s="477"/>
      <c r="BD224" s="477"/>
      <c r="BE224" s="477"/>
    </row>
    <row r="225" ht="12.75" customHeight="1">
      <c r="A225" s="267" t="s">
        <v>711</v>
      </c>
      <c r="B225" s="268" t="s">
        <v>118</v>
      </c>
      <c r="C225" s="269" t="s">
        <v>119</v>
      </c>
      <c r="D225" s="269" t="s">
        <v>273</v>
      </c>
      <c r="E225" s="270"/>
      <c r="F225" s="270"/>
      <c r="G225" s="269" t="s">
        <v>271</v>
      </c>
      <c r="H225" s="270" t="s">
        <v>1362</v>
      </c>
      <c r="I225" s="270" t="s">
        <v>105</v>
      </c>
      <c r="J225" s="354" t="s">
        <v>150</v>
      </c>
      <c r="K225" s="355">
        <v>0.0</v>
      </c>
      <c r="L225" s="356">
        <v>0.0</v>
      </c>
      <c r="M225" s="357">
        <v>0.0</v>
      </c>
      <c r="N225" s="272">
        <v>0.0</v>
      </c>
      <c r="O225" s="271">
        <v>0.0</v>
      </c>
      <c r="P225" s="272">
        <v>0.0</v>
      </c>
      <c r="Q225" s="273">
        <f t="shared" ref="Q225:R225" si="736">M225-O225</f>
        <v>0</v>
      </c>
      <c r="R225" s="274">
        <f t="shared" si="736"/>
        <v>0</v>
      </c>
      <c r="S225" s="275">
        <v>1.0</v>
      </c>
      <c r="T225" s="276">
        <v>14.0</v>
      </c>
      <c r="U225" s="277" t="s">
        <v>151</v>
      </c>
      <c r="V225" s="277"/>
      <c r="W225" s="468"/>
      <c r="X225" s="468"/>
      <c r="Y225" s="468"/>
      <c r="Z225" s="468"/>
      <c r="AA225" s="468"/>
      <c r="AB225" s="469"/>
      <c r="AC225" s="470">
        <f t="shared" ref="AC225:AD225" si="737">K225</f>
        <v>0</v>
      </c>
      <c r="AD225" s="471">
        <f t="shared" si="737"/>
        <v>0</v>
      </c>
      <c r="AE225" s="472"/>
      <c r="AF225" s="472"/>
      <c r="AG225" s="473"/>
      <c r="AH225" s="468"/>
      <c r="AI225" s="468"/>
      <c r="AJ225" s="468"/>
      <c r="AK225" s="474">
        <f t="shared" ref="AK225:AL225" si="738">Q225</f>
        <v>0</v>
      </c>
      <c r="AL225" s="475">
        <f t="shared" si="738"/>
        <v>0</v>
      </c>
      <c r="AM225" s="468"/>
      <c r="AN225" s="468"/>
      <c r="AO225" s="468"/>
      <c r="AP225" s="468"/>
      <c r="AQ225" s="476"/>
      <c r="AR225" s="476"/>
      <c r="AS225" s="476"/>
      <c r="AT225" s="468"/>
      <c r="AU225" s="477"/>
      <c r="AV225" s="477"/>
      <c r="AW225" s="477"/>
      <c r="AX225" s="477"/>
      <c r="AY225" s="477"/>
      <c r="AZ225" s="477"/>
      <c r="BA225" s="477"/>
      <c r="BB225" s="477"/>
      <c r="BC225" s="477"/>
      <c r="BD225" s="477"/>
      <c r="BE225" s="477"/>
    </row>
    <row r="226" ht="12.75" customHeight="1">
      <c r="A226" s="245" t="s">
        <v>713</v>
      </c>
      <c r="B226" s="246" t="s">
        <v>118</v>
      </c>
      <c r="C226" s="247" t="s">
        <v>119</v>
      </c>
      <c r="D226" s="247" t="s">
        <v>275</v>
      </c>
      <c r="E226" s="247" t="s">
        <v>276</v>
      </c>
      <c r="F226" s="248"/>
      <c r="G226" s="247" t="s">
        <v>116</v>
      </c>
      <c r="H226" s="247" t="s">
        <v>117</v>
      </c>
      <c r="I226" s="248" t="s">
        <v>105</v>
      </c>
      <c r="J226" s="300" t="s">
        <v>106</v>
      </c>
      <c r="K226" s="301">
        <v>989.11</v>
      </c>
      <c r="L226" s="302">
        <v>1438165.0</v>
      </c>
      <c r="M226" s="303">
        <v>148.37</v>
      </c>
      <c r="N226" s="250">
        <v>215729.0</v>
      </c>
      <c r="O226" s="249">
        <v>0.0</v>
      </c>
      <c r="P226" s="250">
        <v>0.0</v>
      </c>
      <c r="Q226" s="251">
        <f t="shared" ref="Q226:R226" si="739">M226-O226</f>
        <v>148.37</v>
      </c>
      <c r="R226" s="252">
        <f t="shared" si="739"/>
        <v>215729</v>
      </c>
      <c r="S226" s="253">
        <v>1454.0</v>
      </c>
      <c r="T226" s="254">
        <v>15.0</v>
      </c>
      <c r="U226" s="255" t="s">
        <v>107</v>
      </c>
      <c r="V226" s="255"/>
      <c r="W226" s="304">
        <v>0.776571</v>
      </c>
      <c r="X226" s="304">
        <v>0.776571</v>
      </c>
      <c r="Y226" s="304">
        <v>0.0</v>
      </c>
      <c r="Z226" s="305">
        <f>IFERROR(ROUND(K226/W226,0),0)</f>
        <v>1274</v>
      </c>
      <c r="AA226" s="306">
        <f t="shared" ref="AA226:AA227" si="741">Z226*W226</f>
        <v>989.351454</v>
      </c>
      <c r="AB226" s="307">
        <f t="shared" ref="AB226:AB227" si="742">ROUND(AA226*S226,0)</f>
        <v>1438517</v>
      </c>
      <c r="AC226" s="308">
        <f t="shared" ref="AC226:AC227" si="743">AA226</f>
        <v>989.351454</v>
      </c>
      <c r="AD226" s="309">
        <f t="shared" ref="AD226:AD227" si="744">ROUND(AC226*S226,0)</f>
        <v>1438517</v>
      </c>
      <c r="AE226" s="425"/>
      <c r="AF226" s="425"/>
      <c r="AG226" s="310">
        <f t="shared" ref="AG226:AG227" si="745">IFERROR(ROUND(Z226*Y226,2),0)</f>
        <v>0</v>
      </c>
      <c r="AH226" s="252">
        <f t="shared" ref="AH226:AH227" si="746">ROUND(AG226*S226,0)</f>
        <v>0</v>
      </c>
      <c r="AI226" s="306">
        <f t="shared" ref="AI226:AI227" si="747">ROUND(AC226*0.15,2)</f>
        <v>148.4</v>
      </c>
      <c r="AJ226" s="252">
        <f t="shared" ref="AJ226:AJ227" si="748">ROUND(AD226*0.15,0)</f>
        <v>215778</v>
      </c>
      <c r="AK226" s="426"/>
      <c r="AL226" s="426"/>
      <c r="AM226" s="426"/>
      <c r="AN226" s="426"/>
      <c r="AO226" s="426"/>
      <c r="AP226" s="426"/>
      <c r="AQ226" s="427"/>
      <c r="AR226" s="427"/>
      <c r="AS226" s="427"/>
      <c r="AT226" s="430" t="s">
        <v>1274</v>
      </c>
      <c r="AU226" s="431"/>
      <c r="AV226" s="431"/>
      <c r="AW226" s="431"/>
      <c r="AX226" s="431"/>
      <c r="AY226" s="431"/>
      <c r="AZ226" s="431"/>
      <c r="BA226" s="431"/>
      <c r="BB226" s="431"/>
      <c r="BC226" s="431"/>
      <c r="BD226" s="431"/>
      <c r="BE226" s="431"/>
    </row>
    <row r="227" ht="12.75" customHeight="1">
      <c r="A227" s="245" t="s">
        <v>714</v>
      </c>
      <c r="B227" s="246" t="s">
        <v>118</v>
      </c>
      <c r="C227" s="247" t="s">
        <v>119</v>
      </c>
      <c r="D227" s="247" t="s">
        <v>275</v>
      </c>
      <c r="E227" s="247" t="s">
        <v>276</v>
      </c>
      <c r="F227" s="248"/>
      <c r="G227" s="247" t="s">
        <v>116</v>
      </c>
      <c r="H227" s="247" t="s">
        <v>117</v>
      </c>
      <c r="I227" s="248" t="s">
        <v>105</v>
      </c>
      <c r="J227" s="300" t="s">
        <v>106</v>
      </c>
      <c r="K227" s="314">
        <f t="shared" ref="K227:R227" si="740">-K226</f>
        <v>-989.11</v>
      </c>
      <c r="L227" s="309">
        <f t="shared" si="740"/>
        <v>-1438165</v>
      </c>
      <c r="M227" s="315">
        <f t="shared" si="740"/>
        <v>-148.37</v>
      </c>
      <c r="N227" s="252">
        <f t="shared" si="740"/>
        <v>-215729</v>
      </c>
      <c r="O227" s="251">
        <f t="shared" si="740"/>
        <v>0</v>
      </c>
      <c r="P227" s="252">
        <f t="shared" si="740"/>
        <v>0</v>
      </c>
      <c r="Q227" s="251">
        <f t="shared" si="740"/>
        <v>-148.37</v>
      </c>
      <c r="R227" s="252">
        <f t="shared" si="740"/>
        <v>-215729</v>
      </c>
      <c r="S227" s="253">
        <v>1454.0</v>
      </c>
      <c r="T227" s="254">
        <v>15.0</v>
      </c>
      <c r="U227" s="255" t="s">
        <v>107</v>
      </c>
      <c r="V227" s="255"/>
      <c r="W227" s="304">
        <v>0.776571</v>
      </c>
      <c r="X227" s="304">
        <v>0.776571</v>
      </c>
      <c r="Y227" s="304">
        <v>0.0</v>
      </c>
      <c r="Z227" s="305">
        <f>-Z226</f>
        <v>-1274</v>
      </c>
      <c r="AA227" s="306">
        <f t="shared" si="741"/>
        <v>-989.351454</v>
      </c>
      <c r="AB227" s="307">
        <f t="shared" si="742"/>
        <v>-1438517</v>
      </c>
      <c r="AC227" s="308">
        <f t="shared" si="743"/>
        <v>-989.351454</v>
      </c>
      <c r="AD227" s="309">
        <f t="shared" si="744"/>
        <v>-1438517</v>
      </c>
      <c r="AE227" s="425"/>
      <c r="AF227" s="425"/>
      <c r="AG227" s="310">
        <f t="shared" si="745"/>
        <v>0</v>
      </c>
      <c r="AH227" s="252">
        <f t="shared" si="746"/>
        <v>0</v>
      </c>
      <c r="AI227" s="306">
        <f t="shared" si="747"/>
        <v>-148.4</v>
      </c>
      <c r="AJ227" s="252">
        <f t="shared" si="748"/>
        <v>-215778</v>
      </c>
      <c r="AK227" s="426"/>
      <c r="AL227" s="426"/>
      <c r="AM227" s="426"/>
      <c r="AN227" s="426"/>
      <c r="AO227" s="426"/>
      <c r="AP227" s="426"/>
      <c r="AQ227" s="427"/>
      <c r="AR227" s="427"/>
      <c r="AS227" s="427"/>
      <c r="AT227" s="430" t="s">
        <v>1274</v>
      </c>
      <c r="AU227" s="431"/>
      <c r="AV227" s="431"/>
      <c r="AW227" s="431"/>
      <c r="AX227" s="431"/>
      <c r="AY227" s="431"/>
      <c r="AZ227" s="431"/>
      <c r="BA227" s="431"/>
      <c r="BB227" s="431"/>
      <c r="BC227" s="431"/>
      <c r="BD227" s="431"/>
      <c r="BE227" s="431"/>
    </row>
    <row r="228" ht="12.75" customHeight="1">
      <c r="A228" s="256" t="s">
        <v>715</v>
      </c>
      <c r="B228" s="257" t="s">
        <v>118</v>
      </c>
      <c r="C228" s="258" t="s">
        <v>119</v>
      </c>
      <c r="D228" s="258" t="s">
        <v>275</v>
      </c>
      <c r="E228" s="258" t="s">
        <v>276</v>
      </c>
      <c r="F228" s="259"/>
      <c r="G228" s="258" t="s">
        <v>116</v>
      </c>
      <c r="H228" s="258" t="s">
        <v>117</v>
      </c>
      <c r="I228" s="259" t="s">
        <v>105</v>
      </c>
      <c r="J228" s="316" t="s">
        <v>106</v>
      </c>
      <c r="K228" s="317">
        <f>ROUND(M228/0.15,2)</f>
        <v>954.73</v>
      </c>
      <c r="L228" s="318">
        <f>ROUND(N228/0.15,0)</f>
        <v>1388173</v>
      </c>
      <c r="M228" s="319">
        <f t="shared" ref="M228:N228" si="749">Q228</f>
        <v>143.21</v>
      </c>
      <c r="N228" s="261">
        <f t="shared" si="749"/>
        <v>208226</v>
      </c>
      <c r="O228" s="262">
        <v>5.16</v>
      </c>
      <c r="P228" s="263">
        <v>7503.0</v>
      </c>
      <c r="Q228" s="260">
        <f t="shared" ref="Q228:R228" si="750">M226-O228</f>
        <v>143.21</v>
      </c>
      <c r="R228" s="261">
        <f t="shared" si="750"/>
        <v>208226</v>
      </c>
      <c r="S228" s="264">
        <v>1454.0</v>
      </c>
      <c r="T228" s="265">
        <v>15.0</v>
      </c>
      <c r="U228" s="266" t="s">
        <v>107</v>
      </c>
      <c r="V228" s="266" t="s">
        <v>1363</v>
      </c>
      <c r="W228" s="320">
        <v>0.776571</v>
      </c>
      <c r="X228" s="320">
        <v>0.776571</v>
      </c>
      <c r="Y228" s="320">
        <v>0.0</v>
      </c>
      <c r="Z228" s="321">
        <f>Z226</f>
        <v>1274</v>
      </c>
      <c r="AA228" s="426"/>
      <c r="AB228" s="428"/>
      <c r="AC228" s="432">
        <f t="shared" ref="AC228:AD228" si="751">K228</f>
        <v>954.73</v>
      </c>
      <c r="AD228" s="433">
        <f t="shared" si="751"/>
        <v>1388173</v>
      </c>
      <c r="AE228" s="434"/>
      <c r="AF228" s="434"/>
      <c r="AG228" s="348">
        <f t="shared" ref="AG228:AH228" si="752">round(AO228/0.15,2)</f>
        <v>34.4</v>
      </c>
      <c r="AH228" s="348">
        <f t="shared" si="752"/>
        <v>50020</v>
      </c>
      <c r="AI228" s="435"/>
      <c r="AJ228" s="435"/>
      <c r="AK228" s="436">
        <f>ROUND(AC228*0.15,2)</f>
        <v>143.21</v>
      </c>
      <c r="AL228" s="437">
        <f>ROUND(AD228*0.15,0)</f>
        <v>208226</v>
      </c>
      <c r="AM228" s="436"/>
      <c r="AN228" s="436"/>
      <c r="AO228" s="436">
        <f t="shared" ref="AO228:AP228" si="753">O228</f>
        <v>5.16</v>
      </c>
      <c r="AP228" s="436">
        <f t="shared" si="753"/>
        <v>7503</v>
      </c>
      <c r="AQ228" s="438"/>
      <c r="AR228" s="438"/>
      <c r="AS228" s="438">
        <f>IFERROR(AC228/K228,IFERROR(AO228/O228,""))</f>
        <v>1</v>
      </c>
      <c r="AT228" s="430" t="s">
        <v>1274</v>
      </c>
      <c r="AU228" s="431"/>
      <c r="AV228" s="431"/>
      <c r="AW228" s="431"/>
      <c r="AX228" s="431"/>
      <c r="AY228" s="431"/>
      <c r="AZ228" s="431"/>
      <c r="BA228" s="431"/>
      <c r="BB228" s="431"/>
      <c r="BC228" s="431"/>
      <c r="BD228" s="431"/>
      <c r="BE228" s="431"/>
    </row>
    <row r="229" ht="12.75" customHeight="1">
      <c r="A229" s="439" t="s">
        <v>1364</v>
      </c>
      <c r="B229" s="440" t="str">
        <f t="shared" ref="B229:J229" si="754">B228</f>
        <v>미래에셋증권</v>
      </c>
      <c r="C229" s="441" t="str">
        <f t="shared" si="754"/>
        <v>584-2176-0816-0</v>
      </c>
      <c r="D229" s="441" t="str">
        <f t="shared" si="754"/>
        <v>2025-11-10</v>
      </c>
      <c r="E229" s="441" t="str">
        <f t="shared" si="754"/>
        <v>2025-11-07</v>
      </c>
      <c r="F229" s="441" t="str">
        <f t="shared" si="754"/>
        <v/>
      </c>
      <c r="G229" s="441" t="str">
        <f t="shared" si="754"/>
        <v>BITO</v>
      </c>
      <c r="H229" s="441" t="str">
        <f t="shared" si="754"/>
        <v>PROSHARES BITCOIN ETF</v>
      </c>
      <c r="I229" s="441" t="str">
        <f t="shared" si="754"/>
        <v>배당소득</v>
      </c>
      <c r="J229" s="440" t="str">
        <f t="shared" si="754"/>
        <v>USD</v>
      </c>
      <c r="K229" s="442"/>
      <c r="L229" s="443"/>
      <c r="M229" s="444"/>
      <c r="N229" s="445"/>
      <c r="O229" s="446"/>
      <c r="P229" s="447"/>
      <c r="Q229" s="446"/>
      <c r="R229" s="448"/>
      <c r="S229" s="449"/>
      <c r="T229" s="450"/>
      <c r="U229" s="451"/>
      <c r="V229" s="451"/>
      <c r="W229" s="452"/>
      <c r="X229" s="452"/>
      <c r="Y229" s="452"/>
      <c r="Z229" s="448"/>
      <c r="AA229" s="446"/>
      <c r="AB229" s="453"/>
      <c r="AC229" s="454"/>
      <c r="AD229" s="455"/>
      <c r="AE229" s="456"/>
      <c r="AF229" s="457"/>
      <c r="AG229" s="458">
        <f>IFERROR(ROUND(AO229/0.15,2),0)</f>
        <v>-34.4</v>
      </c>
      <c r="AH229" s="458">
        <f>IFERROR(ROUND(AP229/0.15,0),0)</f>
        <v>-50020</v>
      </c>
      <c r="AI229" s="457"/>
      <c r="AJ229" s="459"/>
      <c r="AK229" s="457"/>
      <c r="AL229" s="459"/>
      <c r="AM229" s="457"/>
      <c r="AN229" s="457"/>
      <c r="AO229" s="460">
        <f t="shared" ref="AO229:AP229" si="755">-AO228</f>
        <v>-5.16</v>
      </c>
      <c r="AP229" s="460">
        <f t="shared" si="755"/>
        <v>-7503</v>
      </c>
      <c r="AQ229" s="459"/>
      <c r="AR229" s="459"/>
      <c r="AS229" s="459"/>
      <c r="AT229" s="430" t="s">
        <v>1274</v>
      </c>
      <c r="AU229" s="431"/>
      <c r="AV229" s="431"/>
      <c r="AW229" s="431"/>
      <c r="AX229" s="431"/>
      <c r="AY229" s="431"/>
      <c r="AZ229" s="431"/>
      <c r="BA229" s="431"/>
      <c r="BB229" s="431"/>
      <c r="BC229" s="431"/>
      <c r="BD229" s="431"/>
      <c r="BE229" s="431"/>
    </row>
    <row r="230" ht="12.75" customHeight="1">
      <c r="A230" s="439" t="s">
        <v>1365</v>
      </c>
      <c r="B230" s="440" t="str">
        <f t="shared" ref="B230:J230" si="756">B229</f>
        <v>미래에셋증권</v>
      </c>
      <c r="C230" s="441" t="str">
        <f t="shared" si="756"/>
        <v>584-2176-0816-0</v>
      </c>
      <c r="D230" s="441" t="str">
        <f t="shared" si="756"/>
        <v>2025-11-10</v>
      </c>
      <c r="E230" s="441" t="str">
        <f t="shared" si="756"/>
        <v>2025-11-07</v>
      </c>
      <c r="F230" s="441" t="str">
        <f t="shared" si="756"/>
        <v/>
      </c>
      <c r="G230" s="441" t="str">
        <f t="shared" si="756"/>
        <v>BITO</v>
      </c>
      <c r="H230" s="441" t="str">
        <f t="shared" si="756"/>
        <v>PROSHARES BITCOIN ETF</v>
      </c>
      <c r="I230" s="441" t="str">
        <f t="shared" si="756"/>
        <v>배당소득</v>
      </c>
      <c r="J230" s="440" t="str">
        <f t="shared" si="756"/>
        <v>USD</v>
      </c>
      <c r="K230" s="442"/>
      <c r="L230" s="443"/>
      <c r="M230" s="444"/>
      <c r="N230" s="445"/>
      <c r="O230" s="446"/>
      <c r="P230" s="447"/>
      <c r="Q230" s="446"/>
      <c r="R230" s="448"/>
      <c r="S230" s="449"/>
      <c r="T230" s="450"/>
      <c r="U230" s="451"/>
      <c r="V230" s="451"/>
      <c r="W230" s="452"/>
      <c r="X230" s="452"/>
      <c r="Y230" s="452"/>
      <c r="Z230" s="448"/>
      <c r="AA230" s="446"/>
      <c r="AB230" s="453"/>
      <c r="AC230" s="454"/>
      <c r="AD230" s="461"/>
      <c r="AE230" s="462">
        <f>IFERROR(ROUND(AM230/0.15,2),0)</f>
        <v>34.4</v>
      </c>
      <c r="AF230" s="458">
        <f>IFERROR(ROUND(AN230/0.15,0),0)</f>
        <v>50020</v>
      </c>
      <c r="AG230" s="463"/>
      <c r="AH230" s="464"/>
      <c r="AI230" s="457"/>
      <c r="AJ230" s="459"/>
      <c r="AK230" s="457"/>
      <c r="AL230" s="459"/>
      <c r="AM230" s="460">
        <f t="shared" ref="AM230:AN230" si="757">AO228</f>
        <v>5.16</v>
      </c>
      <c r="AN230" s="460">
        <f t="shared" si="757"/>
        <v>7503</v>
      </c>
      <c r="AO230" s="457"/>
      <c r="AP230" s="465"/>
      <c r="AQ230" s="466">
        <f>AF230</f>
        <v>50020</v>
      </c>
      <c r="AR230" s="466">
        <f>ROUND(AQ230*0.14,0)</f>
        <v>7003</v>
      </c>
      <c r="AS230" s="459"/>
      <c r="AT230" s="430" t="s">
        <v>1274</v>
      </c>
      <c r="AU230" s="431"/>
      <c r="AV230" s="431"/>
      <c r="AW230" s="431"/>
      <c r="AX230" s="431"/>
      <c r="AY230" s="431"/>
      <c r="AZ230" s="431"/>
      <c r="BA230" s="431"/>
      <c r="BB230" s="431"/>
      <c r="BC230" s="431"/>
      <c r="BD230" s="431"/>
      <c r="BE230" s="431"/>
    </row>
    <row r="231" ht="12.75" customHeight="1">
      <c r="A231" s="245" t="s">
        <v>717</v>
      </c>
      <c r="B231" s="246" t="s">
        <v>118</v>
      </c>
      <c r="C231" s="247" t="s">
        <v>119</v>
      </c>
      <c r="D231" s="247" t="s">
        <v>277</v>
      </c>
      <c r="E231" s="247" t="s">
        <v>278</v>
      </c>
      <c r="F231" s="248"/>
      <c r="G231" s="247" t="s">
        <v>279</v>
      </c>
      <c r="H231" s="247" t="s">
        <v>280</v>
      </c>
      <c r="I231" s="248" t="s">
        <v>105</v>
      </c>
      <c r="J231" s="300" t="s">
        <v>106</v>
      </c>
      <c r="K231" s="301">
        <v>0.45</v>
      </c>
      <c r="L231" s="302">
        <v>661.0</v>
      </c>
      <c r="M231" s="303">
        <v>0.07</v>
      </c>
      <c r="N231" s="250">
        <v>102.0</v>
      </c>
      <c r="O231" s="249">
        <v>0.0</v>
      </c>
      <c r="P231" s="250">
        <v>0.0</v>
      </c>
      <c r="Q231" s="251">
        <f t="shared" ref="Q231:R231" si="758">M231-O231</f>
        <v>0.07</v>
      </c>
      <c r="R231" s="252">
        <f t="shared" si="758"/>
        <v>102</v>
      </c>
      <c r="S231" s="253">
        <v>1469.5</v>
      </c>
      <c r="T231" s="254">
        <v>15.0</v>
      </c>
      <c r="U231" s="255" t="s">
        <v>107</v>
      </c>
      <c r="V231" s="255"/>
      <c r="W231" s="304">
        <v>0.4595</v>
      </c>
      <c r="X231" s="304">
        <v>0.34704</v>
      </c>
      <c r="Y231" s="304">
        <v>0.11246</v>
      </c>
      <c r="Z231" s="305">
        <f>IFERROR(ROUND(K231/W231,0),0)</f>
        <v>1</v>
      </c>
      <c r="AA231" s="306">
        <f t="shared" ref="AA231:AA232" si="760">Z231*W231</f>
        <v>0.4595</v>
      </c>
      <c r="AB231" s="307">
        <f t="shared" ref="AB231:AB232" si="761">ROUND(AA231*S231,0)</f>
        <v>675</v>
      </c>
      <c r="AC231" s="308">
        <f t="shared" ref="AC231:AC232" si="762">AA231</f>
        <v>0.4595</v>
      </c>
      <c r="AD231" s="309">
        <f t="shared" ref="AD231:AD233" si="763">ROUND(AC231*S231,0)</f>
        <v>675</v>
      </c>
      <c r="AE231" s="425"/>
      <c r="AF231" s="425"/>
      <c r="AG231" s="310">
        <f t="shared" ref="AG231:AG233" si="764">IFERROR(ROUND(Z231*Y231,2),0)</f>
        <v>0.11</v>
      </c>
      <c r="AH231" s="252">
        <f t="shared" ref="AH231:AH233" si="765">ROUND(AG231*S231,0)</f>
        <v>162</v>
      </c>
      <c r="AI231" s="306">
        <f t="shared" ref="AI231:AI232" si="766">ROUND(AC231*0.15,2)</f>
        <v>0.07</v>
      </c>
      <c r="AJ231" s="252">
        <f t="shared" ref="AJ231:AJ232" si="767">ROUND(AD231*0.15,0)</f>
        <v>101</v>
      </c>
      <c r="AK231" s="426"/>
      <c r="AL231" s="426"/>
      <c r="AM231" s="426"/>
      <c r="AN231" s="426"/>
      <c r="AO231" s="426"/>
      <c r="AP231" s="426"/>
      <c r="AQ231" s="427"/>
      <c r="AR231" s="427"/>
      <c r="AS231" s="427"/>
      <c r="AT231" s="426"/>
      <c r="AU231" s="410"/>
      <c r="AV231" s="410"/>
      <c r="AW231" s="410"/>
      <c r="AX231" s="410"/>
      <c r="AY231" s="410"/>
      <c r="AZ231" s="410"/>
      <c r="BA231" s="410"/>
      <c r="BB231" s="410"/>
      <c r="BC231" s="410"/>
      <c r="BD231" s="410"/>
      <c r="BE231" s="410"/>
    </row>
    <row r="232" ht="12.75" customHeight="1">
      <c r="A232" s="245" t="s">
        <v>718</v>
      </c>
      <c r="B232" s="246" t="s">
        <v>118</v>
      </c>
      <c r="C232" s="247" t="s">
        <v>119</v>
      </c>
      <c r="D232" s="247" t="s">
        <v>277</v>
      </c>
      <c r="E232" s="247" t="s">
        <v>278</v>
      </c>
      <c r="F232" s="248"/>
      <c r="G232" s="247" t="s">
        <v>279</v>
      </c>
      <c r="H232" s="247" t="s">
        <v>280</v>
      </c>
      <c r="I232" s="248" t="s">
        <v>105</v>
      </c>
      <c r="J232" s="300" t="s">
        <v>106</v>
      </c>
      <c r="K232" s="314">
        <f t="shared" ref="K232:R232" si="759">-K231</f>
        <v>-0.45</v>
      </c>
      <c r="L232" s="309">
        <f t="shared" si="759"/>
        <v>-661</v>
      </c>
      <c r="M232" s="315">
        <f t="shared" si="759"/>
        <v>-0.07</v>
      </c>
      <c r="N232" s="252">
        <f t="shared" si="759"/>
        <v>-102</v>
      </c>
      <c r="O232" s="251">
        <f t="shared" si="759"/>
        <v>0</v>
      </c>
      <c r="P232" s="252">
        <f t="shared" si="759"/>
        <v>0</v>
      </c>
      <c r="Q232" s="251">
        <f t="shared" si="759"/>
        <v>-0.07</v>
      </c>
      <c r="R232" s="252">
        <f t="shared" si="759"/>
        <v>-102</v>
      </c>
      <c r="S232" s="253">
        <v>1469.5</v>
      </c>
      <c r="T232" s="254">
        <v>15.0</v>
      </c>
      <c r="U232" s="255" t="s">
        <v>107</v>
      </c>
      <c r="V232" s="255"/>
      <c r="W232" s="304">
        <v>0.4595</v>
      </c>
      <c r="X232" s="304">
        <v>0.34704</v>
      </c>
      <c r="Y232" s="304">
        <v>0.11246</v>
      </c>
      <c r="Z232" s="305">
        <f>-Z231</f>
        <v>-1</v>
      </c>
      <c r="AA232" s="306">
        <f t="shared" si="760"/>
        <v>-0.4595</v>
      </c>
      <c r="AB232" s="307">
        <f t="shared" si="761"/>
        <v>-675</v>
      </c>
      <c r="AC232" s="308">
        <f t="shared" si="762"/>
        <v>-0.4595</v>
      </c>
      <c r="AD232" s="309">
        <f t="shared" si="763"/>
        <v>-675</v>
      </c>
      <c r="AE232" s="425"/>
      <c r="AF232" s="425"/>
      <c r="AG232" s="310">
        <f t="shared" si="764"/>
        <v>-0.11</v>
      </c>
      <c r="AH232" s="252">
        <f t="shared" si="765"/>
        <v>-162</v>
      </c>
      <c r="AI232" s="306">
        <f t="shared" si="766"/>
        <v>-0.07</v>
      </c>
      <c r="AJ232" s="252">
        <f t="shared" si="767"/>
        <v>-101</v>
      </c>
      <c r="AK232" s="426"/>
      <c r="AL232" s="426"/>
      <c r="AM232" s="426"/>
      <c r="AN232" s="426"/>
      <c r="AO232" s="426"/>
      <c r="AP232" s="426"/>
      <c r="AQ232" s="427"/>
      <c r="AR232" s="427"/>
      <c r="AS232" s="427"/>
      <c r="AT232" s="426"/>
      <c r="AU232" s="410"/>
      <c r="AV232" s="410"/>
      <c r="AW232" s="410"/>
      <c r="AX232" s="410"/>
      <c r="AY232" s="410"/>
      <c r="AZ232" s="410"/>
      <c r="BA232" s="410"/>
      <c r="BB232" s="410"/>
      <c r="BC232" s="410"/>
      <c r="BD232" s="410"/>
      <c r="BE232" s="410"/>
    </row>
    <row r="233" ht="12.75" customHeight="1">
      <c r="A233" s="256" t="s">
        <v>719</v>
      </c>
      <c r="B233" s="257" t="s">
        <v>118</v>
      </c>
      <c r="C233" s="258" t="s">
        <v>119</v>
      </c>
      <c r="D233" s="258" t="s">
        <v>277</v>
      </c>
      <c r="E233" s="258" t="s">
        <v>278</v>
      </c>
      <c r="F233" s="259"/>
      <c r="G233" s="258" t="s">
        <v>279</v>
      </c>
      <c r="H233" s="258" t="s">
        <v>280</v>
      </c>
      <c r="I233" s="259" t="s">
        <v>105</v>
      </c>
      <c r="J233" s="316" t="s">
        <v>106</v>
      </c>
      <c r="K233" s="317">
        <f>ROUND(M233/0.15,2)</f>
        <v>0.4</v>
      </c>
      <c r="L233" s="318">
        <f>ROUND(N233/0.15,0)</f>
        <v>580</v>
      </c>
      <c r="M233" s="319">
        <f t="shared" ref="M233:N233" si="768">Q233</f>
        <v>0.06</v>
      </c>
      <c r="N233" s="261">
        <f t="shared" si="768"/>
        <v>87</v>
      </c>
      <c r="O233" s="262">
        <v>0.01</v>
      </c>
      <c r="P233" s="263">
        <v>15.0</v>
      </c>
      <c r="Q233" s="260">
        <f t="shared" ref="Q233:R233" si="769">M231-O233</f>
        <v>0.06</v>
      </c>
      <c r="R233" s="261">
        <f t="shared" si="769"/>
        <v>87</v>
      </c>
      <c r="S233" s="264">
        <v>1469.5</v>
      </c>
      <c r="T233" s="265">
        <v>15.0</v>
      </c>
      <c r="U233" s="266" t="s">
        <v>107</v>
      </c>
      <c r="V233" s="266" t="s">
        <v>1366</v>
      </c>
      <c r="W233" s="320">
        <v>0.4595</v>
      </c>
      <c r="X233" s="320">
        <v>0.34704</v>
      </c>
      <c r="Y233" s="320">
        <v>0.11246</v>
      </c>
      <c r="Z233" s="321">
        <f>Z231</f>
        <v>1</v>
      </c>
      <c r="AA233" s="426"/>
      <c r="AB233" s="428"/>
      <c r="AC233" s="323">
        <f>IFERROR(ROUND(Z233*X233,2),0)</f>
        <v>0.35</v>
      </c>
      <c r="AD233" s="318">
        <f t="shared" si="763"/>
        <v>514</v>
      </c>
      <c r="AE233" s="429"/>
      <c r="AF233" s="429"/>
      <c r="AG233" s="324">
        <f t="shared" si="764"/>
        <v>0.11</v>
      </c>
      <c r="AH233" s="261">
        <f t="shared" si="765"/>
        <v>162</v>
      </c>
      <c r="AI233" s="426"/>
      <c r="AJ233" s="426"/>
      <c r="AK233" s="325">
        <f>ROUND(AC233*0.15,2)</f>
        <v>0.05</v>
      </c>
      <c r="AL233" s="261">
        <f>ROUND(AD233*0.15,0)</f>
        <v>77</v>
      </c>
      <c r="AM233" s="325"/>
      <c r="AN233" s="325"/>
      <c r="AO233" s="325">
        <f>ROUND(AG233*0.15,2)</f>
        <v>0.02</v>
      </c>
      <c r="AP233" s="261">
        <f>ROUND(AH233*0.15,0)</f>
        <v>24</v>
      </c>
      <c r="AQ233" s="326"/>
      <c r="AR233" s="326"/>
      <c r="AS233" s="326">
        <f>IFERROR(AC233/K233,IFERROR(AO233/O233,""))</f>
        <v>0.875</v>
      </c>
      <c r="AT233" s="426" t="s">
        <v>1055</v>
      </c>
      <c r="AU233" s="410"/>
      <c r="AV233" s="410"/>
      <c r="AW233" s="410"/>
      <c r="AX233" s="410"/>
      <c r="AY233" s="410"/>
      <c r="AZ233" s="410"/>
      <c r="BA233" s="410"/>
      <c r="BB233" s="410"/>
      <c r="BC233" s="410"/>
      <c r="BD233" s="410"/>
      <c r="BE233" s="410"/>
    </row>
    <row r="234" ht="12.75" customHeight="1">
      <c r="A234" s="267" t="s">
        <v>721</v>
      </c>
      <c r="B234" s="268" t="s">
        <v>118</v>
      </c>
      <c r="C234" s="269" t="s">
        <v>119</v>
      </c>
      <c r="D234" s="269" t="s">
        <v>277</v>
      </c>
      <c r="E234" s="269" t="s">
        <v>278</v>
      </c>
      <c r="F234" s="270"/>
      <c r="G234" s="269" t="s">
        <v>281</v>
      </c>
      <c r="H234" s="269" t="s">
        <v>282</v>
      </c>
      <c r="I234" s="270" t="s">
        <v>105</v>
      </c>
      <c r="J234" s="354" t="s">
        <v>106</v>
      </c>
      <c r="K234" s="355">
        <v>0.65</v>
      </c>
      <c r="L234" s="356">
        <v>955.0</v>
      </c>
      <c r="M234" s="357">
        <v>0.1</v>
      </c>
      <c r="N234" s="272">
        <v>146.0</v>
      </c>
      <c r="O234" s="271">
        <v>0.0</v>
      </c>
      <c r="P234" s="272">
        <v>0.0</v>
      </c>
      <c r="Q234" s="273">
        <f t="shared" ref="Q234:R234" si="770">M234-O234</f>
        <v>0.1</v>
      </c>
      <c r="R234" s="274">
        <f t="shared" si="770"/>
        <v>146</v>
      </c>
      <c r="S234" s="275">
        <v>1469.5</v>
      </c>
      <c r="T234" s="276">
        <v>15.0</v>
      </c>
      <c r="U234" s="277" t="s">
        <v>107</v>
      </c>
      <c r="V234" s="277"/>
      <c r="W234" s="468"/>
      <c r="X234" s="468"/>
      <c r="Y234" s="468"/>
      <c r="Z234" s="468"/>
      <c r="AA234" s="468"/>
      <c r="AB234" s="469"/>
      <c r="AC234" s="470">
        <f t="shared" ref="AC234:AD234" si="771">K234</f>
        <v>0.65</v>
      </c>
      <c r="AD234" s="471">
        <f t="shared" si="771"/>
        <v>955</v>
      </c>
      <c r="AE234" s="472"/>
      <c r="AF234" s="472"/>
      <c r="AG234" s="473"/>
      <c r="AH234" s="468"/>
      <c r="AI234" s="468"/>
      <c r="AJ234" s="468"/>
      <c r="AK234" s="474">
        <f t="shared" ref="AK234:AL234" si="772">Q234</f>
        <v>0.1</v>
      </c>
      <c r="AL234" s="475">
        <f t="shared" si="772"/>
        <v>146</v>
      </c>
      <c r="AM234" s="468"/>
      <c r="AN234" s="468"/>
      <c r="AO234" s="468"/>
      <c r="AP234" s="468"/>
      <c r="AQ234" s="476"/>
      <c r="AR234" s="476"/>
      <c r="AS234" s="476"/>
      <c r="AT234" s="468"/>
      <c r="AU234" s="477"/>
      <c r="AV234" s="477"/>
      <c r="AW234" s="477"/>
      <c r="AX234" s="477"/>
      <c r="AY234" s="477"/>
      <c r="AZ234" s="477"/>
      <c r="BA234" s="477"/>
      <c r="BB234" s="477"/>
      <c r="BC234" s="477"/>
      <c r="BD234" s="477"/>
      <c r="BE234" s="477"/>
    </row>
    <row r="235" ht="12.75" customHeight="1">
      <c r="A235" s="267" t="s">
        <v>722</v>
      </c>
      <c r="B235" s="268" t="s">
        <v>118</v>
      </c>
      <c r="C235" s="269" t="s">
        <v>119</v>
      </c>
      <c r="D235" s="269" t="s">
        <v>283</v>
      </c>
      <c r="E235" s="269" t="s">
        <v>277</v>
      </c>
      <c r="F235" s="270"/>
      <c r="G235" s="269" t="s">
        <v>284</v>
      </c>
      <c r="H235" s="269" t="s">
        <v>285</v>
      </c>
      <c r="I235" s="270" t="s">
        <v>105</v>
      </c>
      <c r="J235" s="354" t="s">
        <v>106</v>
      </c>
      <c r="K235" s="355">
        <v>1.84</v>
      </c>
      <c r="L235" s="356">
        <v>2683.0</v>
      </c>
      <c r="M235" s="357">
        <v>0.28</v>
      </c>
      <c r="N235" s="272">
        <v>408.0</v>
      </c>
      <c r="O235" s="271">
        <v>0.0</v>
      </c>
      <c r="P235" s="272">
        <v>0.0</v>
      </c>
      <c r="Q235" s="273">
        <f t="shared" ref="Q235:R235" si="773">M235-O235</f>
        <v>0.28</v>
      </c>
      <c r="R235" s="274">
        <f t="shared" si="773"/>
        <v>408</v>
      </c>
      <c r="S235" s="275">
        <v>1458.5</v>
      </c>
      <c r="T235" s="276">
        <v>15.0</v>
      </c>
      <c r="U235" s="277" t="s">
        <v>107</v>
      </c>
      <c r="V235" s="277"/>
      <c r="W235" s="468"/>
      <c r="X235" s="468"/>
      <c r="Y235" s="468"/>
      <c r="Z235" s="468"/>
      <c r="AA235" s="468"/>
      <c r="AB235" s="469"/>
      <c r="AC235" s="470">
        <f t="shared" ref="AC235:AD235" si="774">K235</f>
        <v>1.84</v>
      </c>
      <c r="AD235" s="471">
        <f t="shared" si="774"/>
        <v>2683</v>
      </c>
      <c r="AE235" s="472"/>
      <c r="AF235" s="472"/>
      <c r="AG235" s="473"/>
      <c r="AH235" s="468"/>
      <c r="AI235" s="468"/>
      <c r="AJ235" s="468"/>
      <c r="AK235" s="474">
        <f t="shared" ref="AK235:AL235" si="775">Q235</f>
        <v>0.28</v>
      </c>
      <c r="AL235" s="475">
        <f t="shared" si="775"/>
        <v>408</v>
      </c>
      <c r="AM235" s="468"/>
      <c r="AN235" s="468"/>
      <c r="AO235" s="468"/>
      <c r="AP235" s="468"/>
      <c r="AQ235" s="476"/>
      <c r="AR235" s="476"/>
      <c r="AS235" s="476"/>
      <c r="AT235" s="468"/>
      <c r="AU235" s="477"/>
      <c r="AV235" s="477"/>
      <c r="AW235" s="477"/>
      <c r="AX235" s="477"/>
      <c r="AY235" s="477"/>
      <c r="AZ235" s="477"/>
      <c r="BA235" s="477"/>
      <c r="BB235" s="477"/>
      <c r="BC235" s="477"/>
      <c r="BD235" s="477"/>
      <c r="BE235" s="477"/>
    </row>
    <row r="236" ht="12.75" customHeight="1">
      <c r="A236" s="267" t="s">
        <v>723</v>
      </c>
      <c r="B236" s="268" t="s">
        <v>118</v>
      </c>
      <c r="C236" s="269" t="s">
        <v>119</v>
      </c>
      <c r="D236" s="269" t="s">
        <v>286</v>
      </c>
      <c r="E236" s="269" t="s">
        <v>287</v>
      </c>
      <c r="F236" s="270"/>
      <c r="G236" s="269" t="s">
        <v>288</v>
      </c>
      <c r="H236" s="269" t="s">
        <v>289</v>
      </c>
      <c r="I236" s="270" t="s">
        <v>105</v>
      </c>
      <c r="J236" s="354" t="s">
        <v>106</v>
      </c>
      <c r="K236" s="355">
        <v>28.46</v>
      </c>
      <c r="L236" s="356">
        <v>41628.0</v>
      </c>
      <c r="M236" s="357">
        <v>4.27</v>
      </c>
      <c r="N236" s="272">
        <v>6245.0</v>
      </c>
      <c r="O236" s="271">
        <v>0.0</v>
      </c>
      <c r="P236" s="272">
        <v>0.0</v>
      </c>
      <c r="Q236" s="273">
        <f t="shared" ref="Q236:R236" si="776">M236-O236</f>
        <v>4.27</v>
      </c>
      <c r="R236" s="274">
        <f t="shared" si="776"/>
        <v>6245</v>
      </c>
      <c r="S236" s="275">
        <v>1462.7</v>
      </c>
      <c r="T236" s="276">
        <v>15.0</v>
      </c>
      <c r="U236" s="277" t="s">
        <v>107</v>
      </c>
      <c r="V236" s="277"/>
      <c r="W236" s="468"/>
      <c r="X236" s="468"/>
      <c r="Y236" s="468"/>
      <c r="Z236" s="468"/>
      <c r="AA236" s="468"/>
      <c r="AB236" s="469"/>
      <c r="AC236" s="470">
        <f t="shared" ref="AC236:AD236" si="777">K236</f>
        <v>28.46</v>
      </c>
      <c r="AD236" s="471">
        <f t="shared" si="777"/>
        <v>41628</v>
      </c>
      <c r="AE236" s="472"/>
      <c r="AF236" s="472"/>
      <c r="AG236" s="473"/>
      <c r="AH236" s="468"/>
      <c r="AI236" s="468"/>
      <c r="AJ236" s="468"/>
      <c r="AK236" s="474">
        <f t="shared" ref="AK236:AL236" si="778">Q236</f>
        <v>4.27</v>
      </c>
      <c r="AL236" s="475">
        <f t="shared" si="778"/>
        <v>6245</v>
      </c>
      <c r="AM236" s="468"/>
      <c r="AN236" s="468"/>
      <c r="AO236" s="468"/>
      <c r="AP236" s="468"/>
      <c r="AQ236" s="476"/>
      <c r="AR236" s="476"/>
      <c r="AS236" s="476"/>
      <c r="AT236" s="468"/>
      <c r="AU236" s="477"/>
      <c r="AV236" s="477"/>
      <c r="AW236" s="477"/>
      <c r="AX236" s="477"/>
      <c r="AY236" s="477"/>
      <c r="AZ236" s="477"/>
      <c r="BA236" s="477"/>
      <c r="BB236" s="477"/>
      <c r="BC236" s="477"/>
      <c r="BD236" s="477"/>
      <c r="BE236" s="477"/>
    </row>
    <row r="237" ht="12.75" customHeight="1">
      <c r="A237" s="245" t="s">
        <v>724</v>
      </c>
      <c r="B237" s="246" t="s">
        <v>118</v>
      </c>
      <c r="C237" s="247" t="s">
        <v>119</v>
      </c>
      <c r="D237" s="247" t="s">
        <v>290</v>
      </c>
      <c r="E237" s="247" t="s">
        <v>291</v>
      </c>
      <c r="F237" s="248"/>
      <c r="G237" s="247" t="s">
        <v>116</v>
      </c>
      <c r="H237" s="247" t="s">
        <v>117</v>
      </c>
      <c r="I237" s="248" t="s">
        <v>105</v>
      </c>
      <c r="J237" s="300" t="s">
        <v>106</v>
      </c>
      <c r="K237" s="301">
        <v>310.35</v>
      </c>
      <c r="L237" s="302">
        <v>456866.0</v>
      </c>
      <c r="M237" s="303">
        <v>46.55</v>
      </c>
      <c r="N237" s="250">
        <v>68526.0</v>
      </c>
      <c r="O237" s="249">
        <v>0.0</v>
      </c>
      <c r="P237" s="250">
        <v>0.0</v>
      </c>
      <c r="Q237" s="251">
        <f t="shared" ref="Q237:R237" si="779">M237-O237</f>
        <v>46.55</v>
      </c>
      <c r="R237" s="252">
        <f t="shared" si="779"/>
        <v>68526</v>
      </c>
      <c r="S237" s="253">
        <v>1472.1</v>
      </c>
      <c r="T237" s="254">
        <v>15.0</v>
      </c>
      <c r="U237" s="255" t="s">
        <v>107</v>
      </c>
      <c r="V237" s="255"/>
      <c r="W237" s="304">
        <v>0.756075</v>
      </c>
      <c r="X237" s="304">
        <v>0.756075</v>
      </c>
      <c r="Y237" s="304">
        <v>0.0</v>
      </c>
      <c r="Z237" s="305">
        <f>IFERROR(ROUND(K237/W237,0),0)</f>
        <v>410</v>
      </c>
      <c r="AA237" s="306">
        <f t="shared" ref="AA237:AA238" si="781">Z237*W237</f>
        <v>309.99075</v>
      </c>
      <c r="AB237" s="307">
        <f t="shared" ref="AB237:AB238" si="782">ROUND(AA237*S237,0)</f>
        <v>456337</v>
      </c>
      <c r="AC237" s="308">
        <f t="shared" ref="AC237:AC238" si="783">AA237</f>
        <v>309.99075</v>
      </c>
      <c r="AD237" s="309">
        <f t="shared" ref="AD237:AD238" si="784">ROUND(AC237*S237,0)</f>
        <v>456337</v>
      </c>
      <c r="AE237" s="425"/>
      <c r="AF237" s="425"/>
      <c r="AG237" s="310">
        <f t="shared" ref="AG237:AG238" si="785">IFERROR(ROUND(Z237*Y237,2),0)</f>
        <v>0</v>
      </c>
      <c r="AH237" s="252">
        <f t="shared" ref="AH237:AH238" si="786">ROUND(AG237*S237,0)</f>
        <v>0</v>
      </c>
      <c r="AI237" s="306">
        <f t="shared" ref="AI237:AI238" si="787">ROUND(AC237*0.15,2)</f>
        <v>46.5</v>
      </c>
      <c r="AJ237" s="252">
        <f t="shared" ref="AJ237:AJ238" si="788">ROUND(AD237*0.15,0)</f>
        <v>68451</v>
      </c>
      <c r="AK237" s="426"/>
      <c r="AL237" s="426"/>
      <c r="AM237" s="426"/>
      <c r="AN237" s="426"/>
      <c r="AO237" s="426"/>
      <c r="AP237" s="426"/>
      <c r="AQ237" s="427"/>
      <c r="AR237" s="427"/>
      <c r="AS237" s="427"/>
      <c r="AT237" s="430" t="s">
        <v>1274</v>
      </c>
      <c r="AU237" s="431"/>
      <c r="AV237" s="431"/>
      <c r="AW237" s="431"/>
      <c r="AX237" s="431"/>
      <c r="AY237" s="431"/>
      <c r="AZ237" s="431"/>
      <c r="BA237" s="431"/>
      <c r="BB237" s="431"/>
      <c r="BC237" s="431"/>
      <c r="BD237" s="431"/>
      <c r="BE237" s="431"/>
    </row>
    <row r="238" ht="12.75" customHeight="1">
      <c r="A238" s="245" t="s">
        <v>725</v>
      </c>
      <c r="B238" s="246" t="s">
        <v>118</v>
      </c>
      <c r="C238" s="247" t="s">
        <v>119</v>
      </c>
      <c r="D238" s="247" t="s">
        <v>290</v>
      </c>
      <c r="E238" s="247" t="s">
        <v>291</v>
      </c>
      <c r="F238" s="248"/>
      <c r="G238" s="247" t="s">
        <v>116</v>
      </c>
      <c r="H238" s="247" t="s">
        <v>117</v>
      </c>
      <c r="I238" s="248" t="s">
        <v>105</v>
      </c>
      <c r="J238" s="300" t="s">
        <v>106</v>
      </c>
      <c r="K238" s="314">
        <f t="shared" ref="K238:R238" si="780">-K237</f>
        <v>-310.35</v>
      </c>
      <c r="L238" s="309">
        <f t="shared" si="780"/>
        <v>-456866</v>
      </c>
      <c r="M238" s="315">
        <f t="shared" si="780"/>
        <v>-46.55</v>
      </c>
      <c r="N238" s="252">
        <f t="shared" si="780"/>
        <v>-68526</v>
      </c>
      <c r="O238" s="251">
        <f t="shared" si="780"/>
        <v>0</v>
      </c>
      <c r="P238" s="252">
        <f t="shared" si="780"/>
        <v>0</v>
      </c>
      <c r="Q238" s="251">
        <f t="shared" si="780"/>
        <v>-46.55</v>
      </c>
      <c r="R238" s="252">
        <f t="shared" si="780"/>
        <v>-68526</v>
      </c>
      <c r="S238" s="253">
        <v>1472.1</v>
      </c>
      <c r="T238" s="254">
        <v>15.0</v>
      </c>
      <c r="U238" s="255" t="s">
        <v>107</v>
      </c>
      <c r="V238" s="255"/>
      <c r="W238" s="304">
        <v>0.756075</v>
      </c>
      <c r="X238" s="304">
        <v>0.756075</v>
      </c>
      <c r="Y238" s="304">
        <v>0.0</v>
      </c>
      <c r="Z238" s="305">
        <f>-Z237</f>
        <v>-410</v>
      </c>
      <c r="AA238" s="306">
        <f t="shared" si="781"/>
        <v>-309.99075</v>
      </c>
      <c r="AB238" s="307">
        <f t="shared" si="782"/>
        <v>-456337</v>
      </c>
      <c r="AC238" s="308">
        <f t="shared" si="783"/>
        <v>-309.99075</v>
      </c>
      <c r="AD238" s="309">
        <f t="shared" si="784"/>
        <v>-456337</v>
      </c>
      <c r="AE238" s="425"/>
      <c r="AF238" s="425"/>
      <c r="AG238" s="310">
        <f t="shared" si="785"/>
        <v>0</v>
      </c>
      <c r="AH238" s="252">
        <f t="shared" si="786"/>
        <v>0</v>
      </c>
      <c r="AI238" s="306">
        <f t="shared" si="787"/>
        <v>-46.5</v>
      </c>
      <c r="AJ238" s="252">
        <f t="shared" si="788"/>
        <v>-68451</v>
      </c>
      <c r="AK238" s="426"/>
      <c r="AL238" s="426"/>
      <c r="AM238" s="426"/>
      <c r="AN238" s="426"/>
      <c r="AO238" s="426"/>
      <c r="AP238" s="426"/>
      <c r="AQ238" s="427"/>
      <c r="AR238" s="427"/>
      <c r="AS238" s="427"/>
      <c r="AT238" s="430" t="s">
        <v>1274</v>
      </c>
      <c r="AU238" s="431"/>
      <c r="AV238" s="431"/>
      <c r="AW238" s="431"/>
      <c r="AX238" s="431"/>
      <c r="AY238" s="431"/>
      <c r="AZ238" s="431"/>
      <c r="BA238" s="431"/>
      <c r="BB238" s="431"/>
      <c r="BC238" s="431"/>
      <c r="BD238" s="431"/>
      <c r="BE238" s="431"/>
    </row>
    <row r="239" ht="12.75" customHeight="1">
      <c r="A239" s="256" t="s">
        <v>726</v>
      </c>
      <c r="B239" s="257" t="s">
        <v>118</v>
      </c>
      <c r="C239" s="258" t="s">
        <v>119</v>
      </c>
      <c r="D239" s="258" t="s">
        <v>290</v>
      </c>
      <c r="E239" s="258" t="s">
        <v>291</v>
      </c>
      <c r="F239" s="259"/>
      <c r="G239" s="258" t="s">
        <v>116</v>
      </c>
      <c r="H239" s="258" t="s">
        <v>117</v>
      </c>
      <c r="I239" s="259" t="s">
        <v>105</v>
      </c>
      <c r="J239" s="316" t="s">
        <v>106</v>
      </c>
      <c r="K239" s="317">
        <f>ROUND(M239/0.15,2)</f>
        <v>300.87</v>
      </c>
      <c r="L239" s="318">
        <f>ROUND(N239/0.15,0)</f>
        <v>442907</v>
      </c>
      <c r="M239" s="319">
        <f t="shared" ref="M239:N239" si="789">Q239</f>
        <v>45.13</v>
      </c>
      <c r="N239" s="261">
        <f t="shared" si="789"/>
        <v>66436</v>
      </c>
      <c r="O239" s="262">
        <v>1.42</v>
      </c>
      <c r="P239" s="263">
        <v>2090.0</v>
      </c>
      <c r="Q239" s="260">
        <f t="shared" ref="Q239:R239" si="790">M237-O239</f>
        <v>45.13</v>
      </c>
      <c r="R239" s="261">
        <f t="shared" si="790"/>
        <v>66436</v>
      </c>
      <c r="S239" s="264">
        <v>1472.1</v>
      </c>
      <c r="T239" s="265">
        <v>15.0</v>
      </c>
      <c r="U239" s="266" t="s">
        <v>107</v>
      </c>
      <c r="V239" s="266" t="s">
        <v>1367</v>
      </c>
      <c r="W239" s="320">
        <v>0.756075</v>
      </c>
      <c r="X239" s="320">
        <v>0.756075</v>
      </c>
      <c r="Y239" s="320">
        <v>0.0</v>
      </c>
      <c r="Z239" s="321">
        <f>Z237</f>
        <v>410</v>
      </c>
      <c r="AA239" s="426"/>
      <c r="AB239" s="428"/>
      <c r="AC239" s="432">
        <f t="shared" ref="AC239:AD239" si="791">K239</f>
        <v>300.87</v>
      </c>
      <c r="AD239" s="433">
        <f t="shared" si="791"/>
        <v>442907</v>
      </c>
      <c r="AE239" s="434"/>
      <c r="AF239" s="434"/>
      <c r="AG239" s="348">
        <f t="shared" ref="AG239:AH239" si="792">round(AO239/0.15,2)</f>
        <v>9.47</v>
      </c>
      <c r="AH239" s="348">
        <f t="shared" si="792"/>
        <v>13933.33</v>
      </c>
      <c r="AI239" s="435"/>
      <c r="AJ239" s="435"/>
      <c r="AK239" s="436">
        <f>ROUND(AC239*0.15,2)</f>
        <v>45.13</v>
      </c>
      <c r="AL239" s="437">
        <f>ROUND(AD239*0.15,0)</f>
        <v>66436</v>
      </c>
      <c r="AM239" s="436"/>
      <c r="AN239" s="436"/>
      <c r="AO239" s="436">
        <f t="shared" ref="AO239:AP239" si="793">O239</f>
        <v>1.42</v>
      </c>
      <c r="AP239" s="436">
        <f t="shared" si="793"/>
        <v>2090</v>
      </c>
      <c r="AQ239" s="438"/>
      <c r="AR239" s="438"/>
      <c r="AS239" s="438">
        <f>IFERROR(AC239/K239,IFERROR(AO239/O239,""))</f>
        <v>1</v>
      </c>
      <c r="AT239" s="430" t="s">
        <v>1274</v>
      </c>
      <c r="AU239" s="431"/>
      <c r="AV239" s="431"/>
      <c r="AW239" s="431"/>
      <c r="AX239" s="431"/>
      <c r="AY239" s="431"/>
      <c r="AZ239" s="431"/>
      <c r="BA239" s="431"/>
      <c r="BB239" s="431"/>
      <c r="BC239" s="431"/>
      <c r="BD239" s="431"/>
      <c r="BE239" s="431"/>
    </row>
    <row r="240" ht="12.75" customHeight="1">
      <c r="A240" s="439" t="s">
        <v>1368</v>
      </c>
      <c r="B240" s="440" t="str">
        <f t="shared" ref="B240:J240" si="794">B239</f>
        <v>미래에셋증권</v>
      </c>
      <c r="C240" s="441" t="str">
        <f t="shared" si="794"/>
        <v>584-2176-0816-0</v>
      </c>
      <c r="D240" s="441" t="str">
        <f t="shared" si="794"/>
        <v>2025-12-08</v>
      </c>
      <c r="E240" s="441" t="str">
        <f t="shared" si="794"/>
        <v>2025-12-05</v>
      </c>
      <c r="F240" s="441" t="str">
        <f t="shared" si="794"/>
        <v/>
      </c>
      <c r="G240" s="441" t="str">
        <f t="shared" si="794"/>
        <v>BITO</v>
      </c>
      <c r="H240" s="441" t="str">
        <f t="shared" si="794"/>
        <v>PROSHARES BITCOIN ETF</v>
      </c>
      <c r="I240" s="441" t="str">
        <f t="shared" si="794"/>
        <v>배당소득</v>
      </c>
      <c r="J240" s="440" t="str">
        <f t="shared" si="794"/>
        <v>USD</v>
      </c>
      <c r="K240" s="442"/>
      <c r="L240" s="443"/>
      <c r="M240" s="444"/>
      <c r="N240" s="445"/>
      <c r="O240" s="446"/>
      <c r="P240" s="447"/>
      <c r="Q240" s="446"/>
      <c r="R240" s="448"/>
      <c r="S240" s="449"/>
      <c r="T240" s="450"/>
      <c r="U240" s="451"/>
      <c r="V240" s="451"/>
      <c r="W240" s="452"/>
      <c r="X240" s="452"/>
      <c r="Y240" s="452"/>
      <c r="Z240" s="448"/>
      <c r="AA240" s="446"/>
      <c r="AB240" s="453"/>
      <c r="AC240" s="454"/>
      <c r="AD240" s="455"/>
      <c r="AE240" s="456"/>
      <c r="AF240" s="457"/>
      <c r="AG240" s="458">
        <f>IFERROR(ROUND(AO240/0.15,2),0)</f>
        <v>-9.47</v>
      </c>
      <c r="AH240" s="458">
        <f>IFERROR(ROUND(AP240/0.15,0),0)</f>
        <v>-13933</v>
      </c>
      <c r="AI240" s="457"/>
      <c r="AJ240" s="459"/>
      <c r="AK240" s="457"/>
      <c r="AL240" s="459"/>
      <c r="AM240" s="457"/>
      <c r="AN240" s="457"/>
      <c r="AO240" s="460">
        <f t="shared" ref="AO240:AP240" si="795">-AO239</f>
        <v>-1.42</v>
      </c>
      <c r="AP240" s="460">
        <f t="shared" si="795"/>
        <v>-2090</v>
      </c>
      <c r="AQ240" s="459"/>
      <c r="AR240" s="459"/>
      <c r="AS240" s="459"/>
      <c r="AT240" s="430" t="s">
        <v>1274</v>
      </c>
      <c r="AU240" s="431"/>
      <c r="AV240" s="431"/>
      <c r="AW240" s="431"/>
      <c r="AX240" s="431"/>
      <c r="AY240" s="431"/>
      <c r="AZ240" s="431"/>
      <c r="BA240" s="431"/>
      <c r="BB240" s="431"/>
      <c r="BC240" s="431"/>
      <c r="BD240" s="431"/>
      <c r="BE240" s="431"/>
    </row>
    <row r="241" ht="12.75" customHeight="1">
      <c r="A241" s="439" t="s">
        <v>1369</v>
      </c>
      <c r="B241" s="440" t="str">
        <f t="shared" ref="B241:J241" si="796">B240</f>
        <v>미래에셋증권</v>
      </c>
      <c r="C241" s="441" t="str">
        <f t="shared" si="796"/>
        <v>584-2176-0816-0</v>
      </c>
      <c r="D241" s="441" t="str">
        <f t="shared" si="796"/>
        <v>2025-12-08</v>
      </c>
      <c r="E241" s="441" t="str">
        <f t="shared" si="796"/>
        <v>2025-12-05</v>
      </c>
      <c r="F241" s="441" t="str">
        <f t="shared" si="796"/>
        <v/>
      </c>
      <c r="G241" s="441" t="str">
        <f t="shared" si="796"/>
        <v>BITO</v>
      </c>
      <c r="H241" s="441" t="str">
        <f t="shared" si="796"/>
        <v>PROSHARES BITCOIN ETF</v>
      </c>
      <c r="I241" s="441" t="str">
        <f t="shared" si="796"/>
        <v>배당소득</v>
      </c>
      <c r="J241" s="440" t="str">
        <f t="shared" si="796"/>
        <v>USD</v>
      </c>
      <c r="K241" s="442"/>
      <c r="L241" s="443"/>
      <c r="M241" s="444"/>
      <c r="N241" s="445"/>
      <c r="O241" s="446"/>
      <c r="P241" s="447"/>
      <c r="Q241" s="446"/>
      <c r="R241" s="448"/>
      <c r="S241" s="449"/>
      <c r="T241" s="450"/>
      <c r="U241" s="451"/>
      <c r="V241" s="451"/>
      <c r="W241" s="452"/>
      <c r="X241" s="452"/>
      <c r="Y241" s="452"/>
      <c r="Z241" s="448"/>
      <c r="AA241" s="446"/>
      <c r="AB241" s="453"/>
      <c r="AC241" s="454"/>
      <c r="AD241" s="461"/>
      <c r="AE241" s="462">
        <f>IFERROR(ROUND(AM241/0.15,2),0)</f>
        <v>9.47</v>
      </c>
      <c r="AF241" s="458">
        <f>IFERROR(ROUND(AN241/0.15,0),0)</f>
        <v>13933</v>
      </c>
      <c r="AG241" s="467"/>
      <c r="AH241" s="467"/>
      <c r="AI241" s="457"/>
      <c r="AJ241" s="459"/>
      <c r="AK241" s="457"/>
      <c r="AL241" s="459"/>
      <c r="AM241" s="460">
        <f t="shared" ref="AM241:AN241" si="797">AO239</f>
        <v>1.42</v>
      </c>
      <c r="AN241" s="460">
        <f t="shared" si="797"/>
        <v>2090</v>
      </c>
      <c r="AO241" s="457"/>
      <c r="AP241" s="465"/>
      <c r="AQ241" s="466">
        <f>AF241</f>
        <v>13933</v>
      </c>
      <c r="AR241" s="466">
        <f>ROUND(AQ241*0.14,0)</f>
        <v>1951</v>
      </c>
      <c r="AS241" s="459"/>
      <c r="AT241" s="430" t="s">
        <v>1274</v>
      </c>
      <c r="AU241" s="431"/>
      <c r="AV241" s="431"/>
      <c r="AW241" s="431"/>
      <c r="AX241" s="431"/>
      <c r="AY241" s="431"/>
      <c r="AZ241" s="431"/>
      <c r="BA241" s="431"/>
      <c r="BB241" s="431"/>
      <c r="BC241" s="431"/>
      <c r="BD241" s="431"/>
      <c r="BE241" s="431"/>
    </row>
    <row r="242" ht="12.75" customHeight="1">
      <c r="A242" s="267" t="s">
        <v>728</v>
      </c>
      <c r="B242" s="268" t="s">
        <v>118</v>
      </c>
      <c r="C242" s="269" t="s">
        <v>119</v>
      </c>
      <c r="D242" s="269" t="s">
        <v>292</v>
      </c>
      <c r="E242" s="269" t="s">
        <v>292</v>
      </c>
      <c r="F242" s="270"/>
      <c r="G242" s="269" t="s">
        <v>293</v>
      </c>
      <c r="H242" s="270" t="s">
        <v>294</v>
      </c>
      <c r="I242" s="270" t="s">
        <v>105</v>
      </c>
      <c r="J242" s="354" t="s">
        <v>106</v>
      </c>
      <c r="K242" s="355">
        <v>1.5</v>
      </c>
      <c r="L242" s="356">
        <v>2205.0</v>
      </c>
      <c r="M242" s="357">
        <v>0.23</v>
      </c>
      <c r="N242" s="272">
        <v>338.0</v>
      </c>
      <c r="O242" s="271">
        <v>0.0</v>
      </c>
      <c r="P242" s="272">
        <v>0.0</v>
      </c>
      <c r="Q242" s="273">
        <f t="shared" ref="Q242:R242" si="798">M242-O242</f>
        <v>0.23</v>
      </c>
      <c r="R242" s="274">
        <f t="shared" si="798"/>
        <v>338</v>
      </c>
      <c r="S242" s="275">
        <v>1470.4</v>
      </c>
      <c r="T242" s="276">
        <v>15.0</v>
      </c>
      <c r="U242" s="277" t="s">
        <v>107</v>
      </c>
      <c r="V242" s="277"/>
      <c r="W242" s="468"/>
      <c r="X242" s="468"/>
      <c r="Y242" s="468"/>
      <c r="Z242" s="468"/>
      <c r="AA242" s="468"/>
      <c r="AB242" s="469"/>
      <c r="AC242" s="470">
        <f t="shared" ref="AC242:AD242" si="799">K242</f>
        <v>1.5</v>
      </c>
      <c r="AD242" s="471">
        <f t="shared" si="799"/>
        <v>2205</v>
      </c>
      <c r="AE242" s="472"/>
      <c r="AF242" s="472"/>
      <c r="AG242" s="473"/>
      <c r="AH242" s="468"/>
      <c r="AI242" s="468"/>
      <c r="AJ242" s="468"/>
      <c r="AK242" s="474">
        <f t="shared" ref="AK242:AL242" si="800">Q242</f>
        <v>0.23</v>
      </c>
      <c r="AL242" s="475">
        <f t="shared" si="800"/>
        <v>338</v>
      </c>
      <c r="AM242" s="468"/>
      <c r="AN242" s="468"/>
      <c r="AO242" s="468"/>
      <c r="AP242" s="468"/>
      <c r="AQ242" s="476"/>
      <c r="AR242" s="476"/>
      <c r="AS242" s="476"/>
      <c r="AT242" s="468"/>
      <c r="AU242" s="477"/>
      <c r="AV242" s="477"/>
      <c r="AW242" s="477"/>
      <c r="AX242" s="477"/>
      <c r="AY242" s="477"/>
      <c r="AZ242" s="477"/>
      <c r="BA242" s="477"/>
      <c r="BB242" s="477"/>
      <c r="BC242" s="477"/>
      <c r="BD242" s="477"/>
      <c r="BE242" s="477"/>
    </row>
    <row r="243" ht="12.75" customHeight="1">
      <c r="A243" s="267" t="s">
        <v>729</v>
      </c>
      <c r="B243" s="268" t="s">
        <v>118</v>
      </c>
      <c r="C243" s="269" t="s">
        <v>119</v>
      </c>
      <c r="D243" s="269" t="s">
        <v>295</v>
      </c>
      <c r="E243" s="269" t="s">
        <v>295</v>
      </c>
      <c r="F243" s="270"/>
      <c r="G243" s="269" t="s">
        <v>296</v>
      </c>
      <c r="H243" s="269" t="s">
        <v>297</v>
      </c>
      <c r="I243" s="270" t="s">
        <v>105</v>
      </c>
      <c r="J243" s="354" t="s">
        <v>106</v>
      </c>
      <c r="K243" s="355">
        <v>42.8</v>
      </c>
      <c r="L243" s="356">
        <v>62513.0</v>
      </c>
      <c r="M243" s="357">
        <v>6.42</v>
      </c>
      <c r="N243" s="272">
        <v>9377.0</v>
      </c>
      <c r="O243" s="271">
        <v>0.0</v>
      </c>
      <c r="P243" s="272">
        <v>0.0</v>
      </c>
      <c r="Q243" s="273">
        <f t="shared" ref="Q243:R243" si="801">M243-O243</f>
        <v>6.42</v>
      </c>
      <c r="R243" s="274">
        <f t="shared" si="801"/>
        <v>9377</v>
      </c>
      <c r="S243" s="275">
        <v>1460.6</v>
      </c>
      <c r="T243" s="276">
        <v>15.0</v>
      </c>
      <c r="U243" s="277" t="s">
        <v>107</v>
      </c>
      <c r="V243" s="277"/>
      <c r="W243" s="468"/>
      <c r="X243" s="468"/>
      <c r="Y243" s="468"/>
      <c r="Z243" s="468"/>
      <c r="AA243" s="468"/>
      <c r="AB243" s="469"/>
      <c r="AC243" s="470">
        <f t="shared" ref="AC243:AD243" si="802">K243</f>
        <v>42.8</v>
      </c>
      <c r="AD243" s="471">
        <f t="shared" si="802"/>
        <v>62513</v>
      </c>
      <c r="AE243" s="472"/>
      <c r="AF243" s="472"/>
      <c r="AG243" s="473"/>
      <c r="AH243" s="468"/>
      <c r="AI243" s="468"/>
      <c r="AJ243" s="468"/>
      <c r="AK243" s="474">
        <f t="shared" ref="AK243:AL243" si="803">Q243</f>
        <v>6.42</v>
      </c>
      <c r="AL243" s="475">
        <f t="shared" si="803"/>
        <v>9377</v>
      </c>
      <c r="AM243" s="468"/>
      <c r="AN243" s="468"/>
      <c r="AO243" s="468"/>
      <c r="AP243" s="468"/>
      <c r="AQ243" s="476"/>
      <c r="AR243" s="476"/>
      <c r="AS243" s="476"/>
      <c r="AT243" s="468"/>
      <c r="AU243" s="477"/>
      <c r="AV243" s="477"/>
      <c r="AW243" s="477"/>
      <c r="AX243" s="477"/>
      <c r="AY243" s="477"/>
      <c r="AZ243" s="477"/>
      <c r="BA243" s="477"/>
      <c r="BB243" s="477"/>
      <c r="BC243" s="477"/>
      <c r="BD243" s="477"/>
      <c r="BE243" s="477"/>
    </row>
    <row r="244" ht="12.75" customHeight="1">
      <c r="A244" s="245" t="s">
        <v>434</v>
      </c>
      <c r="B244" s="246" t="s">
        <v>359</v>
      </c>
      <c r="C244" s="247" t="s">
        <v>360</v>
      </c>
      <c r="D244" s="247" t="s">
        <v>361</v>
      </c>
      <c r="E244" s="248"/>
      <c r="F244" s="248"/>
      <c r="G244" s="247" t="s">
        <v>135</v>
      </c>
      <c r="H244" s="248" t="s">
        <v>1370</v>
      </c>
      <c r="I244" s="248" t="s">
        <v>105</v>
      </c>
      <c r="J244" s="300" t="s">
        <v>106</v>
      </c>
      <c r="K244" s="301">
        <v>2.28</v>
      </c>
      <c r="L244" s="302">
        <v>3278.0</v>
      </c>
      <c r="M244" s="303">
        <v>0.34</v>
      </c>
      <c r="N244" s="250">
        <v>488.0</v>
      </c>
      <c r="O244" s="249">
        <v>0.34</v>
      </c>
      <c r="P244" s="250">
        <v>488.0</v>
      </c>
      <c r="Q244" s="251">
        <f t="shared" ref="Q244:R244" si="804">M244-O244</f>
        <v>0</v>
      </c>
      <c r="R244" s="252">
        <f t="shared" si="804"/>
        <v>0</v>
      </c>
      <c r="S244" s="253">
        <v>1437.9</v>
      </c>
      <c r="T244" s="254">
        <v>15.0</v>
      </c>
      <c r="U244" s="255" t="s">
        <v>107</v>
      </c>
      <c r="V244" s="255"/>
      <c r="W244" s="304">
        <v>2.2792</v>
      </c>
      <c r="X244" s="304">
        <v>0.0</v>
      </c>
      <c r="Y244" s="304">
        <v>2.2792</v>
      </c>
      <c r="Z244" s="305">
        <f>IFERROR(ROUND(K244/W244,0),0)</f>
        <v>1</v>
      </c>
      <c r="AA244" s="306">
        <f t="shared" ref="AA244:AA245" si="806">Z244*W244</f>
        <v>2.2792</v>
      </c>
      <c r="AB244" s="307">
        <f t="shared" ref="AB244:AB245" si="807">ROUND(AA244*S244,0)</f>
        <v>3277</v>
      </c>
      <c r="AC244" s="308">
        <f t="shared" ref="AC244:AC245" si="808">AA244</f>
        <v>2.2792</v>
      </c>
      <c r="AD244" s="309">
        <f t="shared" ref="AD244:AD246" si="809">ROUND(AC244*S244,0)</f>
        <v>3277</v>
      </c>
      <c r="AE244" s="425"/>
      <c r="AF244" s="425"/>
      <c r="AG244" s="310">
        <f t="shared" ref="AG244:AG246" si="810">IFERROR(ROUND(Z244*Y244,2),0)</f>
        <v>2.28</v>
      </c>
      <c r="AH244" s="252">
        <f t="shared" ref="AH244:AH246" si="811">ROUND(AG244*S244,0)</f>
        <v>3278</v>
      </c>
      <c r="AI244" s="306">
        <f t="shared" ref="AI244:AI245" si="812">ROUND(AC244*0.15,2)</f>
        <v>0.34</v>
      </c>
      <c r="AJ244" s="252">
        <f t="shared" ref="AJ244:AJ245" si="813">ROUND(AD244*0.15,0)</f>
        <v>492</v>
      </c>
      <c r="AK244" s="426"/>
      <c r="AL244" s="426"/>
      <c r="AM244" s="426"/>
      <c r="AN244" s="426"/>
      <c r="AO244" s="426"/>
      <c r="AP244" s="426"/>
      <c r="AQ244" s="427"/>
      <c r="AR244" s="427"/>
      <c r="AS244" s="427"/>
      <c r="AT244" s="426"/>
      <c r="AU244" s="410"/>
      <c r="AV244" s="410"/>
      <c r="AW244" s="410"/>
      <c r="AX244" s="410"/>
      <c r="AY244" s="410"/>
      <c r="AZ244" s="410"/>
      <c r="BA244" s="410"/>
      <c r="BB244" s="410"/>
      <c r="BC244" s="410"/>
      <c r="BD244" s="410"/>
      <c r="BE244" s="410"/>
    </row>
    <row r="245" ht="12.75" customHeight="1">
      <c r="A245" s="245" t="s">
        <v>436</v>
      </c>
      <c r="B245" s="246" t="s">
        <v>359</v>
      </c>
      <c r="C245" s="247" t="s">
        <v>360</v>
      </c>
      <c r="D245" s="247" t="s">
        <v>361</v>
      </c>
      <c r="E245" s="248"/>
      <c r="F245" s="248"/>
      <c r="G245" s="247" t="s">
        <v>135</v>
      </c>
      <c r="H245" s="248" t="s">
        <v>1371</v>
      </c>
      <c r="I245" s="248" t="s">
        <v>105</v>
      </c>
      <c r="J245" s="300" t="s">
        <v>106</v>
      </c>
      <c r="K245" s="314">
        <f t="shared" ref="K245:R245" si="805">-K244</f>
        <v>-2.28</v>
      </c>
      <c r="L245" s="309">
        <f t="shared" si="805"/>
        <v>-3278</v>
      </c>
      <c r="M245" s="315">
        <f t="shared" si="805"/>
        <v>-0.34</v>
      </c>
      <c r="N245" s="252">
        <f t="shared" si="805"/>
        <v>-488</v>
      </c>
      <c r="O245" s="251">
        <f t="shared" si="805"/>
        <v>-0.34</v>
      </c>
      <c r="P245" s="252">
        <f t="shared" si="805"/>
        <v>-488</v>
      </c>
      <c r="Q245" s="251">
        <f t="shared" si="805"/>
        <v>0</v>
      </c>
      <c r="R245" s="252">
        <f t="shared" si="805"/>
        <v>0</v>
      </c>
      <c r="S245" s="253">
        <v>1437.9</v>
      </c>
      <c r="T245" s="254">
        <v>15.0</v>
      </c>
      <c r="U245" s="255" t="s">
        <v>107</v>
      </c>
      <c r="V245" s="255"/>
      <c r="W245" s="304">
        <v>2.2792</v>
      </c>
      <c r="X245" s="304">
        <v>0.0</v>
      </c>
      <c r="Y245" s="304">
        <v>2.2792</v>
      </c>
      <c r="Z245" s="305">
        <f>-Z244</f>
        <v>-1</v>
      </c>
      <c r="AA245" s="306">
        <f t="shared" si="806"/>
        <v>-2.2792</v>
      </c>
      <c r="AB245" s="307">
        <f t="shared" si="807"/>
        <v>-3277</v>
      </c>
      <c r="AC245" s="308">
        <f t="shared" si="808"/>
        <v>-2.2792</v>
      </c>
      <c r="AD245" s="309">
        <f t="shared" si="809"/>
        <v>-3277</v>
      </c>
      <c r="AE245" s="425"/>
      <c r="AF245" s="425"/>
      <c r="AG245" s="310">
        <f t="shared" si="810"/>
        <v>-2.28</v>
      </c>
      <c r="AH245" s="252">
        <f t="shared" si="811"/>
        <v>-3278</v>
      </c>
      <c r="AI245" s="306">
        <f t="shared" si="812"/>
        <v>-0.34</v>
      </c>
      <c r="AJ245" s="252">
        <f t="shared" si="813"/>
        <v>-492</v>
      </c>
      <c r="AK245" s="426"/>
      <c r="AL245" s="426"/>
      <c r="AM245" s="426"/>
      <c r="AN245" s="426"/>
      <c r="AO245" s="426"/>
      <c r="AP245" s="426"/>
      <c r="AQ245" s="427"/>
      <c r="AR245" s="427"/>
      <c r="AS245" s="427"/>
      <c r="AT245" s="426"/>
      <c r="AU245" s="410"/>
      <c r="AV245" s="410"/>
      <c r="AW245" s="410"/>
      <c r="AX245" s="410"/>
      <c r="AY245" s="410"/>
      <c r="AZ245" s="410"/>
      <c r="BA245" s="410"/>
      <c r="BB245" s="410"/>
      <c r="BC245" s="410"/>
      <c r="BD245" s="410"/>
      <c r="BE245" s="410"/>
    </row>
    <row r="246" ht="12.75" customHeight="1">
      <c r="A246" s="256" t="s">
        <v>438</v>
      </c>
      <c r="B246" s="257" t="s">
        <v>359</v>
      </c>
      <c r="C246" s="258" t="s">
        <v>360</v>
      </c>
      <c r="D246" s="258" t="s">
        <v>361</v>
      </c>
      <c r="E246" s="259"/>
      <c r="F246" s="259"/>
      <c r="G246" s="258" t="s">
        <v>135</v>
      </c>
      <c r="H246" s="259" t="s">
        <v>1372</v>
      </c>
      <c r="I246" s="259" t="s">
        <v>105</v>
      </c>
      <c r="J246" s="316" t="s">
        <v>106</v>
      </c>
      <c r="K246" s="317">
        <f>ROUND(M246/0.15,2)</f>
        <v>0</v>
      </c>
      <c r="L246" s="318">
        <f>ROUND(N246/0.15,0)</f>
        <v>0</v>
      </c>
      <c r="M246" s="319">
        <f t="shared" ref="M246:N246" si="814">Q246</f>
        <v>0</v>
      </c>
      <c r="N246" s="261">
        <f t="shared" si="814"/>
        <v>0</v>
      </c>
      <c r="O246" s="262">
        <v>0.34</v>
      </c>
      <c r="P246" s="263">
        <v>488.0</v>
      </c>
      <c r="Q246" s="260">
        <f t="shared" ref="Q246:R246" si="815">M244-O246</f>
        <v>0</v>
      </c>
      <c r="R246" s="261">
        <f t="shared" si="815"/>
        <v>0</v>
      </c>
      <c r="S246" s="264">
        <v>1437.9</v>
      </c>
      <c r="T246" s="265">
        <v>15.0</v>
      </c>
      <c r="U246" s="266" t="s">
        <v>107</v>
      </c>
      <c r="V246" s="266" t="s">
        <v>1373</v>
      </c>
      <c r="W246" s="320">
        <v>2.2792</v>
      </c>
      <c r="X246" s="320">
        <v>0.0</v>
      </c>
      <c r="Y246" s="320">
        <v>2.2792</v>
      </c>
      <c r="Z246" s="321">
        <f>Z244</f>
        <v>1</v>
      </c>
      <c r="AA246" s="426"/>
      <c r="AB246" s="428"/>
      <c r="AC246" s="323">
        <f>IFERROR(ROUND(Z246*X246,2),0)</f>
        <v>0</v>
      </c>
      <c r="AD246" s="318">
        <f t="shared" si="809"/>
        <v>0</v>
      </c>
      <c r="AE246" s="429"/>
      <c r="AF246" s="429"/>
      <c r="AG246" s="324">
        <f t="shared" si="810"/>
        <v>2.28</v>
      </c>
      <c r="AH246" s="261">
        <f t="shared" si="811"/>
        <v>3278</v>
      </c>
      <c r="AI246" s="426"/>
      <c r="AJ246" s="426"/>
      <c r="AK246" s="325">
        <f>ROUND(AC246*0.15,2)</f>
        <v>0</v>
      </c>
      <c r="AL246" s="261">
        <f>ROUND(AD246*0.15,0)</f>
        <v>0</v>
      </c>
      <c r="AM246" s="325"/>
      <c r="AN246" s="325"/>
      <c r="AO246" s="325">
        <f>ROUND(AG246*0.15,2)</f>
        <v>0.34</v>
      </c>
      <c r="AP246" s="261">
        <f>ROUND(AH246*0.15,0)</f>
        <v>492</v>
      </c>
      <c r="AQ246" s="326"/>
      <c r="AR246" s="326"/>
      <c r="AS246" s="326">
        <f>IFERROR(AC246/K246,IFERROR(AO246/O246,""))</f>
        <v>1</v>
      </c>
      <c r="AT246" s="426"/>
      <c r="AU246" s="410"/>
      <c r="AV246" s="410"/>
      <c r="AW246" s="410"/>
      <c r="AX246" s="410"/>
      <c r="AY246" s="410"/>
      <c r="AZ246" s="410"/>
      <c r="BA246" s="410"/>
      <c r="BB246" s="410"/>
      <c r="BC246" s="410"/>
      <c r="BD246" s="410"/>
      <c r="BE246" s="410"/>
    </row>
    <row r="247" ht="12.75" customHeight="1">
      <c r="A247" s="267" t="s">
        <v>467</v>
      </c>
      <c r="B247" s="268" t="s">
        <v>359</v>
      </c>
      <c r="C247" s="269" t="s">
        <v>360</v>
      </c>
      <c r="D247" s="269" t="s">
        <v>126</v>
      </c>
      <c r="E247" s="270"/>
      <c r="F247" s="270"/>
      <c r="G247" s="269" t="s">
        <v>288</v>
      </c>
      <c r="H247" s="270" t="s">
        <v>1374</v>
      </c>
      <c r="I247" s="270" t="s">
        <v>105</v>
      </c>
      <c r="J247" s="354" t="s">
        <v>106</v>
      </c>
      <c r="K247" s="355">
        <v>0.82</v>
      </c>
      <c r="L247" s="356">
        <v>1175.0</v>
      </c>
      <c r="M247" s="357">
        <v>0.12</v>
      </c>
      <c r="N247" s="272">
        <v>171.0</v>
      </c>
      <c r="O247" s="271">
        <v>0.0</v>
      </c>
      <c r="P247" s="272">
        <v>0.0</v>
      </c>
      <c r="Q247" s="273">
        <f t="shared" ref="Q247:R247" si="816">M247-O247</f>
        <v>0.12</v>
      </c>
      <c r="R247" s="274">
        <f t="shared" si="816"/>
        <v>171</v>
      </c>
      <c r="S247" s="275">
        <v>1433.3</v>
      </c>
      <c r="T247" s="276">
        <v>15.0</v>
      </c>
      <c r="U247" s="277" t="s">
        <v>107</v>
      </c>
      <c r="V247" s="277"/>
      <c r="W247" s="468"/>
      <c r="X247" s="468"/>
      <c r="Y247" s="468"/>
      <c r="Z247" s="468"/>
      <c r="AA247" s="468"/>
      <c r="AB247" s="469"/>
      <c r="AC247" s="470">
        <f t="shared" ref="AC247:AD247" si="817">K247</f>
        <v>0.82</v>
      </c>
      <c r="AD247" s="471">
        <f t="shared" si="817"/>
        <v>1175</v>
      </c>
      <c r="AE247" s="472"/>
      <c r="AF247" s="472"/>
      <c r="AG247" s="473"/>
      <c r="AH247" s="468"/>
      <c r="AI247" s="468"/>
      <c r="AJ247" s="468"/>
      <c r="AK247" s="474">
        <f t="shared" ref="AK247:AL247" si="818">Q247</f>
        <v>0.12</v>
      </c>
      <c r="AL247" s="475">
        <f t="shared" si="818"/>
        <v>171</v>
      </c>
      <c r="AM247" s="468"/>
      <c r="AN247" s="468"/>
      <c r="AO247" s="468"/>
      <c r="AP247" s="468"/>
      <c r="AQ247" s="476"/>
      <c r="AR247" s="476"/>
      <c r="AS247" s="476"/>
      <c r="AT247" s="468"/>
      <c r="AU247" s="477"/>
      <c r="AV247" s="477"/>
      <c r="AW247" s="477"/>
      <c r="AX247" s="477"/>
      <c r="AY247" s="477"/>
      <c r="AZ247" s="477"/>
      <c r="BA247" s="477"/>
      <c r="BB247" s="477"/>
      <c r="BC247" s="477"/>
      <c r="BD247" s="477"/>
      <c r="BE247" s="477"/>
    </row>
    <row r="248" ht="12.75" customHeight="1">
      <c r="A248" s="245" t="s">
        <v>448</v>
      </c>
      <c r="B248" s="246" t="s">
        <v>359</v>
      </c>
      <c r="C248" s="247" t="s">
        <v>360</v>
      </c>
      <c r="D248" s="247" t="s">
        <v>125</v>
      </c>
      <c r="E248" s="248"/>
      <c r="F248" s="248"/>
      <c r="G248" s="247" t="s">
        <v>127</v>
      </c>
      <c r="H248" s="248" t="s">
        <v>1375</v>
      </c>
      <c r="I248" s="248" t="s">
        <v>105</v>
      </c>
      <c r="J248" s="300" t="s">
        <v>106</v>
      </c>
      <c r="K248" s="301">
        <v>4.98</v>
      </c>
      <c r="L248" s="302">
        <v>7235.0</v>
      </c>
      <c r="M248" s="303">
        <v>0.75</v>
      </c>
      <c r="N248" s="250">
        <v>1089.0</v>
      </c>
      <c r="O248" s="249">
        <v>0.4</v>
      </c>
      <c r="P248" s="250">
        <v>581.0</v>
      </c>
      <c r="Q248" s="251">
        <f t="shared" ref="Q248:R248" si="819">M248-O248</f>
        <v>0.35</v>
      </c>
      <c r="R248" s="252">
        <f t="shared" si="819"/>
        <v>508</v>
      </c>
      <c r="S248" s="253">
        <v>1453.0</v>
      </c>
      <c r="T248" s="254">
        <v>15.0</v>
      </c>
      <c r="U248" s="255" t="s">
        <v>107</v>
      </c>
      <c r="V248" s="255"/>
      <c r="W248" s="304">
        <v>0.8294</v>
      </c>
      <c r="X248" s="304">
        <v>0.392741</v>
      </c>
      <c r="Y248" s="304">
        <v>0.436659</v>
      </c>
      <c r="Z248" s="305">
        <f>IFERROR(ROUND(K248/W248,0),0)</f>
        <v>6</v>
      </c>
      <c r="AA248" s="306">
        <f t="shared" ref="AA248:AA249" si="821">Z248*W248</f>
        <v>4.9764</v>
      </c>
      <c r="AB248" s="307">
        <f t="shared" ref="AB248:AB249" si="822">ROUND(AA248*S248,0)</f>
        <v>7231</v>
      </c>
      <c r="AC248" s="308">
        <f t="shared" ref="AC248:AC249" si="823">AA248</f>
        <v>4.9764</v>
      </c>
      <c r="AD248" s="309">
        <f t="shared" ref="AD248:AD271" si="824">ROUND(AC248*S248,0)</f>
        <v>7231</v>
      </c>
      <c r="AE248" s="425"/>
      <c r="AF248" s="425"/>
      <c r="AG248" s="310">
        <f t="shared" ref="AG248:AG271" si="825">IFERROR(ROUND(Z248*Y248,2),0)</f>
        <v>2.62</v>
      </c>
      <c r="AH248" s="252">
        <f t="shared" ref="AH248:AH271" si="826">ROUND(AG248*S248,0)</f>
        <v>3807</v>
      </c>
      <c r="AI248" s="306">
        <f t="shared" ref="AI248:AI249" si="827">ROUND(AC248*0.15,2)</f>
        <v>0.75</v>
      </c>
      <c r="AJ248" s="252">
        <f t="shared" ref="AJ248:AJ249" si="828">ROUND(AD248*0.15,0)</f>
        <v>1085</v>
      </c>
      <c r="AK248" s="426"/>
      <c r="AL248" s="426"/>
      <c r="AM248" s="426"/>
      <c r="AN248" s="426"/>
      <c r="AO248" s="426"/>
      <c r="AP248" s="426"/>
      <c r="AQ248" s="427"/>
      <c r="AR248" s="427"/>
      <c r="AS248" s="427"/>
      <c r="AT248" s="426"/>
      <c r="AU248" s="410"/>
      <c r="AV248" s="410"/>
      <c r="AW248" s="410"/>
      <c r="AX248" s="410"/>
      <c r="AY248" s="410"/>
      <c r="AZ248" s="410"/>
      <c r="BA248" s="410"/>
      <c r="BB248" s="410"/>
      <c r="BC248" s="410"/>
      <c r="BD248" s="410"/>
      <c r="BE248" s="410"/>
    </row>
    <row r="249" ht="12.75" customHeight="1">
      <c r="A249" s="245" t="s">
        <v>450</v>
      </c>
      <c r="B249" s="246" t="s">
        <v>359</v>
      </c>
      <c r="C249" s="247" t="s">
        <v>360</v>
      </c>
      <c r="D249" s="247" t="s">
        <v>125</v>
      </c>
      <c r="E249" s="248"/>
      <c r="F249" s="248"/>
      <c r="G249" s="247" t="s">
        <v>127</v>
      </c>
      <c r="H249" s="248" t="s">
        <v>1376</v>
      </c>
      <c r="I249" s="248" t="s">
        <v>105</v>
      </c>
      <c r="J249" s="300" t="s">
        <v>106</v>
      </c>
      <c r="K249" s="314">
        <f t="shared" ref="K249:R249" si="820">-K248</f>
        <v>-4.98</v>
      </c>
      <c r="L249" s="309">
        <f t="shared" si="820"/>
        <v>-7235</v>
      </c>
      <c r="M249" s="315">
        <f t="shared" si="820"/>
        <v>-0.75</v>
      </c>
      <c r="N249" s="252">
        <f t="shared" si="820"/>
        <v>-1089</v>
      </c>
      <c r="O249" s="251">
        <f t="shared" si="820"/>
        <v>-0.4</v>
      </c>
      <c r="P249" s="252">
        <f t="shared" si="820"/>
        <v>-581</v>
      </c>
      <c r="Q249" s="251">
        <f t="shared" si="820"/>
        <v>-0.35</v>
      </c>
      <c r="R249" s="252">
        <f t="shared" si="820"/>
        <v>-508</v>
      </c>
      <c r="S249" s="253">
        <v>1453.0</v>
      </c>
      <c r="T249" s="254">
        <v>15.0</v>
      </c>
      <c r="U249" s="255" t="s">
        <v>107</v>
      </c>
      <c r="V249" s="255"/>
      <c r="W249" s="304">
        <v>0.8294</v>
      </c>
      <c r="X249" s="304">
        <v>0.392741</v>
      </c>
      <c r="Y249" s="304">
        <v>0.436659</v>
      </c>
      <c r="Z249" s="305">
        <f>-Z248</f>
        <v>-6</v>
      </c>
      <c r="AA249" s="306">
        <f t="shared" si="821"/>
        <v>-4.9764</v>
      </c>
      <c r="AB249" s="307">
        <f t="shared" si="822"/>
        <v>-7231</v>
      </c>
      <c r="AC249" s="308">
        <f t="shared" si="823"/>
        <v>-4.9764</v>
      </c>
      <c r="AD249" s="309">
        <f t="shared" si="824"/>
        <v>-7231</v>
      </c>
      <c r="AE249" s="425"/>
      <c r="AF249" s="425"/>
      <c r="AG249" s="310">
        <f t="shared" si="825"/>
        <v>-2.62</v>
      </c>
      <c r="AH249" s="252">
        <f t="shared" si="826"/>
        <v>-3807</v>
      </c>
      <c r="AI249" s="306">
        <f t="shared" si="827"/>
        <v>-0.75</v>
      </c>
      <c r="AJ249" s="252">
        <f t="shared" si="828"/>
        <v>-1085</v>
      </c>
      <c r="AK249" s="426"/>
      <c r="AL249" s="426"/>
      <c r="AM249" s="426"/>
      <c r="AN249" s="426"/>
      <c r="AO249" s="426"/>
      <c r="AP249" s="426"/>
      <c r="AQ249" s="427"/>
      <c r="AR249" s="427"/>
      <c r="AS249" s="427"/>
      <c r="AT249" s="426"/>
      <c r="AU249" s="410"/>
      <c r="AV249" s="410"/>
      <c r="AW249" s="410"/>
      <c r="AX249" s="410"/>
      <c r="AY249" s="410"/>
      <c r="AZ249" s="410"/>
      <c r="BA249" s="410"/>
      <c r="BB249" s="410"/>
      <c r="BC249" s="410"/>
      <c r="BD249" s="410"/>
      <c r="BE249" s="410"/>
    </row>
    <row r="250" ht="12.75" customHeight="1">
      <c r="A250" s="256" t="s">
        <v>452</v>
      </c>
      <c r="B250" s="257" t="s">
        <v>359</v>
      </c>
      <c r="C250" s="258" t="s">
        <v>360</v>
      </c>
      <c r="D250" s="258" t="s">
        <v>125</v>
      </c>
      <c r="E250" s="259"/>
      <c r="F250" s="259"/>
      <c r="G250" s="258" t="s">
        <v>127</v>
      </c>
      <c r="H250" s="259" t="s">
        <v>1377</v>
      </c>
      <c r="I250" s="259" t="s">
        <v>105</v>
      </c>
      <c r="J250" s="316" t="s">
        <v>106</v>
      </c>
      <c r="K250" s="317">
        <f>ROUND(M250/0.15,2)</f>
        <v>2.33</v>
      </c>
      <c r="L250" s="318">
        <f>ROUND(N250/0.15,0)</f>
        <v>3387</v>
      </c>
      <c r="M250" s="319">
        <f t="shared" ref="M250:N250" si="829">Q250</f>
        <v>0.35</v>
      </c>
      <c r="N250" s="261">
        <f t="shared" si="829"/>
        <v>508</v>
      </c>
      <c r="O250" s="262">
        <v>0.4</v>
      </c>
      <c r="P250" s="263">
        <v>581.0</v>
      </c>
      <c r="Q250" s="260">
        <f t="shared" ref="Q250:R250" si="830">M248-O250</f>
        <v>0.35</v>
      </c>
      <c r="R250" s="261">
        <f t="shared" si="830"/>
        <v>508</v>
      </c>
      <c r="S250" s="264">
        <v>1453.0</v>
      </c>
      <c r="T250" s="265">
        <v>15.0</v>
      </c>
      <c r="U250" s="266" t="s">
        <v>107</v>
      </c>
      <c r="V250" s="266" t="s">
        <v>1378</v>
      </c>
      <c r="W250" s="320">
        <v>0.8294</v>
      </c>
      <c r="X250" s="320">
        <v>0.392741</v>
      </c>
      <c r="Y250" s="320">
        <v>0.436659</v>
      </c>
      <c r="Z250" s="321">
        <f>Z248</f>
        <v>6</v>
      </c>
      <c r="AA250" s="426"/>
      <c r="AB250" s="428"/>
      <c r="AC250" s="323">
        <f>IFERROR(ROUND(Z250*X250,2),0)</f>
        <v>2.36</v>
      </c>
      <c r="AD250" s="318">
        <f t="shared" si="824"/>
        <v>3429</v>
      </c>
      <c r="AE250" s="429"/>
      <c r="AF250" s="429"/>
      <c r="AG250" s="324">
        <f t="shared" si="825"/>
        <v>2.62</v>
      </c>
      <c r="AH250" s="261">
        <f t="shared" si="826"/>
        <v>3807</v>
      </c>
      <c r="AI250" s="426"/>
      <c r="AJ250" s="426"/>
      <c r="AK250" s="325">
        <f>ROUND(AC250*0.15,2)</f>
        <v>0.35</v>
      </c>
      <c r="AL250" s="261">
        <f>ROUND(AD250*0.15,0)</f>
        <v>514</v>
      </c>
      <c r="AM250" s="325"/>
      <c r="AN250" s="325"/>
      <c r="AO250" s="325">
        <f>ROUND(AG250*0.15,2)</f>
        <v>0.39</v>
      </c>
      <c r="AP250" s="261">
        <f>ROUND(AH250*0.15,0)</f>
        <v>571</v>
      </c>
      <c r="AQ250" s="326"/>
      <c r="AR250" s="326"/>
      <c r="AS250" s="326">
        <f>IFERROR(AC250/K250,IFERROR(AO250/O250,""))</f>
        <v>1.012875536</v>
      </c>
      <c r="AT250" s="426"/>
      <c r="AU250" s="410"/>
      <c r="AV250" s="410"/>
      <c r="AW250" s="410"/>
      <c r="AX250" s="410"/>
      <c r="AY250" s="410"/>
      <c r="AZ250" s="410"/>
      <c r="BA250" s="410"/>
      <c r="BB250" s="410"/>
      <c r="BC250" s="410"/>
      <c r="BD250" s="410"/>
      <c r="BE250" s="410"/>
    </row>
    <row r="251" ht="12.75" customHeight="1">
      <c r="A251" s="245" t="s">
        <v>455</v>
      </c>
      <c r="B251" s="246" t="s">
        <v>359</v>
      </c>
      <c r="C251" s="247" t="s">
        <v>360</v>
      </c>
      <c r="D251" s="247" t="s">
        <v>365</v>
      </c>
      <c r="E251" s="248"/>
      <c r="F251" s="248"/>
      <c r="G251" s="247" t="s">
        <v>131</v>
      </c>
      <c r="H251" s="248" t="s">
        <v>1379</v>
      </c>
      <c r="I251" s="248" t="s">
        <v>105</v>
      </c>
      <c r="J251" s="300" t="s">
        <v>106</v>
      </c>
      <c r="K251" s="301">
        <v>8.37</v>
      </c>
      <c r="L251" s="302">
        <v>12164.0</v>
      </c>
      <c r="M251" s="303">
        <v>1.26</v>
      </c>
      <c r="N251" s="250">
        <v>1831.0</v>
      </c>
      <c r="O251" s="249">
        <v>1.22</v>
      </c>
      <c r="P251" s="250">
        <v>1773.0</v>
      </c>
      <c r="Q251" s="251">
        <f t="shared" ref="Q251:R251" si="831">M251-O251</f>
        <v>0.04</v>
      </c>
      <c r="R251" s="252">
        <f t="shared" si="831"/>
        <v>58</v>
      </c>
      <c r="S251" s="253">
        <v>1453.4</v>
      </c>
      <c r="T251" s="254">
        <v>15.0</v>
      </c>
      <c r="U251" s="255" t="s">
        <v>107</v>
      </c>
      <c r="V251" s="255"/>
      <c r="W251" s="304">
        <v>1.0468</v>
      </c>
      <c r="X251" s="304">
        <v>0.030917</v>
      </c>
      <c r="Y251" s="304">
        <v>1.015883</v>
      </c>
      <c r="Z251" s="305">
        <f>IFERROR(ROUND(K251/W251,0),0)</f>
        <v>8</v>
      </c>
      <c r="AA251" s="306">
        <f t="shared" ref="AA251:AA252" si="833">Z251*W251</f>
        <v>8.3744</v>
      </c>
      <c r="AB251" s="307">
        <f t="shared" ref="AB251:AB252" si="834">ROUND(AA251*S251,0)</f>
        <v>12171</v>
      </c>
      <c r="AC251" s="308">
        <f t="shared" ref="AC251:AC252" si="835">AA251</f>
        <v>8.3744</v>
      </c>
      <c r="AD251" s="309">
        <f t="shared" si="824"/>
        <v>12171</v>
      </c>
      <c r="AE251" s="425"/>
      <c r="AF251" s="425"/>
      <c r="AG251" s="310">
        <f t="shared" si="825"/>
        <v>8.13</v>
      </c>
      <c r="AH251" s="252">
        <f t="shared" si="826"/>
        <v>11816</v>
      </c>
      <c r="AI251" s="306">
        <f t="shared" ref="AI251:AI252" si="836">ROUND(AC251*0.15,2)</f>
        <v>1.26</v>
      </c>
      <c r="AJ251" s="252">
        <f t="shared" ref="AJ251:AJ252" si="837">ROUND(AD251*0.15,0)</f>
        <v>1826</v>
      </c>
      <c r="AK251" s="426"/>
      <c r="AL251" s="426"/>
      <c r="AM251" s="426"/>
      <c r="AN251" s="426"/>
      <c r="AO251" s="426"/>
      <c r="AP251" s="426"/>
      <c r="AQ251" s="427"/>
      <c r="AR251" s="427"/>
      <c r="AS251" s="427"/>
      <c r="AT251" s="426"/>
      <c r="AU251" s="410"/>
      <c r="AV251" s="410"/>
      <c r="AW251" s="410"/>
      <c r="AX251" s="410"/>
      <c r="AY251" s="410"/>
      <c r="AZ251" s="410"/>
      <c r="BA251" s="410"/>
      <c r="BB251" s="410"/>
      <c r="BC251" s="410"/>
      <c r="BD251" s="410"/>
      <c r="BE251" s="410"/>
    </row>
    <row r="252" ht="12.75" customHeight="1">
      <c r="A252" s="245" t="s">
        <v>457</v>
      </c>
      <c r="B252" s="246" t="s">
        <v>359</v>
      </c>
      <c r="C252" s="247" t="s">
        <v>360</v>
      </c>
      <c r="D252" s="247" t="s">
        <v>365</v>
      </c>
      <c r="E252" s="248"/>
      <c r="F252" s="248"/>
      <c r="G252" s="247" t="s">
        <v>131</v>
      </c>
      <c r="H252" s="248" t="s">
        <v>1380</v>
      </c>
      <c r="I252" s="248" t="s">
        <v>105</v>
      </c>
      <c r="J252" s="300" t="s">
        <v>106</v>
      </c>
      <c r="K252" s="314">
        <f t="shared" ref="K252:R252" si="832">-K251</f>
        <v>-8.37</v>
      </c>
      <c r="L252" s="309">
        <f t="shared" si="832"/>
        <v>-12164</v>
      </c>
      <c r="M252" s="315">
        <f t="shared" si="832"/>
        <v>-1.26</v>
      </c>
      <c r="N252" s="252">
        <f t="shared" si="832"/>
        <v>-1831</v>
      </c>
      <c r="O252" s="251">
        <f t="shared" si="832"/>
        <v>-1.22</v>
      </c>
      <c r="P252" s="252">
        <f t="shared" si="832"/>
        <v>-1773</v>
      </c>
      <c r="Q252" s="251">
        <f t="shared" si="832"/>
        <v>-0.04</v>
      </c>
      <c r="R252" s="252">
        <f t="shared" si="832"/>
        <v>-58</v>
      </c>
      <c r="S252" s="253">
        <v>1453.4</v>
      </c>
      <c r="T252" s="254">
        <v>15.0</v>
      </c>
      <c r="U252" s="255" t="s">
        <v>107</v>
      </c>
      <c r="V252" s="255"/>
      <c r="W252" s="304">
        <v>1.0468</v>
      </c>
      <c r="X252" s="304">
        <v>0.030917</v>
      </c>
      <c r="Y252" s="304">
        <v>1.015883</v>
      </c>
      <c r="Z252" s="305">
        <f>-Z251</f>
        <v>-8</v>
      </c>
      <c r="AA252" s="306">
        <f t="shared" si="833"/>
        <v>-8.3744</v>
      </c>
      <c r="AB252" s="307">
        <f t="shared" si="834"/>
        <v>-12171</v>
      </c>
      <c r="AC252" s="308">
        <f t="shared" si="835"/>
        <v>-8.3744</v>
      </c>
      <c r="AD252" s="309">
        <f t="shared" si="824"/>
        <v>-12171</v>
      </c>
      <c r="AE252" s="425"/>
      <c r="AF252" s="425"/>
      <c r="AG252" s="310">
        <f t="shared" si="825"/>
        <v>-8.13</v>
      </c>
      <c r="AH252" s="252">
        <f t="shared" si="826"/>
        <v>-11816</v>
      </c>
      <c r="AI252" s="306">
        <f t="shared" si="836"/>
        <v>-1.26</v>
      </c>
      <c r="AJ252" s="252">
        <f t="shared" si="837"/>
        <v>-1826</v>
      </c>
      <c r="AK252" s="426"/>
      <c r="AL252" s="426"/>
      <c r="AM252" s="426"/>
      <c r="AN252" s="426"/>
      <c r="AO252" s="426"/>
      <c r="AP252" s="426"/>
      <c r="AQ252" s="427"/>
      <c r="AR252" s="427"/>
      <c r="AS252" s="427"/>
      <c r="AT252" s="426"/>
      <c r="AU252" s="410"/>
      <c r="AV252" s="410"/>
      <c r="AW252" s="410"/>
      <c r="AX252" s="410"/>
      <c r="AY252" s="410"/>
      <c r="AZ252" s="410"/>
      <c r="BA252" s="410"/>
      <c r="BB252" s="410"/>
      <c r="BC252" s="410"/>
      <c r="BD252" s="410"/>
      <c r="BE252" s="410"/>
    </row>
    <row r="253" ht="12.75" customHeight="1">
      <c r="A253" s="256" t="s">
        <v>459</v>
      </c>
      <c r="B253" s="257" t="s">
        <v>359</v>
      </c>
      <c r="C253" s="258" t="s">
        <v>360</v>
      </c>
      <c r="D253" s="258" t="s">
        <v>365</v>
      </c>
      <c r="E253" s="259"/>
      <c r="F253" s="259"/>
      <c r="G253" s="258" t="s">
        <v>131</v>
      </c>
      <c r="H253" s="259" t="s">
        <v>1381</v>
      </c>
      <c r="I253" s="259" t="s">
        <v>105</v>
      </c>
      <c r="J253" s="316" t="s">
        <v>106</v>
      </c>
      <c r="K253" s="317">
        <f>ROUND(M253/0.15,2)</f>
        <v>0.27</v>
      </c>
      <c r="L253" s="318">
        <f>ROUND(N253/0.15,0)</f>
        <v>387</v>
      </c>
      <c r="M253" s="319">
        <f t="shared" ref="M253:N253" si="838">Q253</f>
        <v>0.04</v>
      </c>
      <c r="N253" s="261">
        <f t="shared" si="838"/>
        <v>58</v>
      </c>
      <c r="O253" s="262">
        <v>1.22</v>
      </c>
      <c r="P253" s="263">
        <v>1773.0</v>
      </c>
      <c r="Q253" s="260">
        <f t="shared" ref="Q253:R253" si="839">M251-O253</f>
        <v>0.04</v>
      </c>
      <c r="R253" s="261">
        <f t="shared" si="839"/>
        <v>58</v>
      </c>
      <c r="S253" s="264">
        <v>1453.4</v>
      </c>
      <c r="T253" s="265">
        <v>15.0</v>
      </c>
      <c r="U253" s="266" t="s">
        <v>107</v>
      </c>
      <c r="V253" s="266" t="s">
        <v>1382</v>
      </c>
      <c r="W253" s="320">
        <v>1.0468</v>
      </c>
      <c r="X253" s="320">
        <v>0.030917</v>
      </c>
      <c r="Y253" s="320">
        <v>1.015883</v>
      </c>
      <c r="Z253" s="321">
        <f>Z251</f>
        <v>8</v>
      </c>
      <c r="AA253" s="426"/>
      <c r="AB253" s="428"/>
      <c r="AC253" s="323">
        <f>IFERROR(ROUND(Z253*X253,2),0)</f>
        <v>0.25</v>
      </c>
      <c r="AD253" s="318">
        <f t="shared" si="824"/>
        <v>363</v>
      </c>
      <c r="AE253" s="429"/>
      <c r="AF253" s="429"/>
      <c r="AG253" s="324">
        <f t="shared" si="825"/>
        <v>8.13</v>
      </c>
      <c r="AH253" s="261">
        <f t="shared" si="826"/>
        <v>11816</v>
      </c>
      <c r="AI253" s="426"/>
      <c r="AJ253" s="426"/>
      <c r="AK253" s="325">
        <f>ROUND(AC253*0.15,2)</f>
        <v>0.04</v>
      </c>
      <c r="AL253" s="261">
        <f>ROUND(AD253*0.15,0)</f>
        <v>54</v>
      </c>
      <c r="AM253" s="325"/>
      <c r="AN253" s="325"/>
      <c r="AO253" s="325">
        <f>ROUND(AG253*0.15,2)</f>
        <v>1.22</v>
      </c>
      <c r="AP253" s="261">
        <f>ROUND(AH253*0.15,0)</f>
        <v>1772</v>
      </c>
      <c r="AQ253" s="326"/>
      <c r="AR253" s="326"/>
      <c r="AS253" s="326">
        <f>IFERROR(AC253/K253,IFERROR(AO253/O253,""))</f>
        <v>0.9259259259</v>
      </c>
      <c r="AT253" s="426" t="s">
        <v>1055</v>
      </c>
      <c r="AU253" s="410"/>
      <c r="AV253" s="410"/>
      <c r="AW253" s="410"/>
      <c r="AX253" s="410"/>
      <c r="AY253" s="410"/>
      <c r="AZ253" s="410"/>
      <c r="BA253" s="410"/>
      <c r="BB253" s="410"/>
      <c r="BC253" s="410"/>
      <c r="BD253" s="410"/>
      <c r="BE253" s="410"/>
    </row>
    <row r="254" ht="12.75" customHeight="1">
      <c r="A254" s="245" t="s">
        <v>462</v>
      </c>
      <c r="B254" s="246" t="s">
        <v>359</v>
      </c>
      <c r="C254" s="247" t="s">
        <v>360</v>
      </c>
      <c r="D254" s="247" t="s">
        <v>367</v>
      </c>
      <c r="E254" s="248"/>
      <c r="F254" s="248"/>
      <c r="G254" s="247" t="s">
        <v>135</v>
      </c>
      <c r="H254" s="248" t="s">
        <v>1383</v>
      </c>
      <c r="I254" s="248" t="s">
        <v>105</v>
      </c>
      <c r="J254" s="300" t="s">
        <v>106</v>
      </c>
      <c r="K254" s="301">
        <v>12.13</v>
      </c>
      <c r="L254" s="302">
        <v>17507.0</v>
      </c>
      <c r="M254" s="303">
        <v>1.82</v>
      </c>
      <c r="N254" s="250">
        <v>2626.0</v>
      </c>
      <c r="O254" s="249">
        <v>1.82</v>
      </c>
      <c r="P254" s="250">
        <v>2626.0</v>
      </c>
      <c r="Q254" s="251">
        <f t="shared" ref="Q254:R254" si="840">M254-O254</f>
        <v>0</v>
      </c>
      <c r="R254" s="252">
        <f t="shared" si="840"/>
        <v>0</v>
      </c>
      <c r="S254" s="253">
        <v>1443.3</v>
      </c>
      <c r="T254" s="254">
        <v>15.0</v>
      </c>
      <c r="U254" s="255" t="s">
        <v>107</v>
      </c>
      <c r="V254" s="255"/>
      <c r="W254" s="304">
        <v>2.0216</v>
      </c>
      <c r="X254" s="304">
        <v>0.0</v>
      </c>
      <c r="Y254" s="304">
        <v>2.0216</v>
      </c>
      <c r="Z254" s="305">
        <f>IFERROR(ROUND(K254/W254,0),0)</f>
        <v>6</v>
      </c>
      <c r="AA254" s="306">
        <f t="shared" ref="AA254:AA255" si="842">Z254*W254</f>
        <v>12.1296</v>
      </c>
      <c r="AB254" s="307">
        <f t="shared" ref="AB254:AB255" si="843">ROUND(AA254*S254,0)</f>
        <v>17507</v>
      </c>
      <c r="AC254" s="308">
        <f t="shared" ref="AC254:AC255" si="844">AA254</f>
        <v>12.1296</v>
      </c>
      <c r="AD254" s="309">
        <f t="shared" si="824"/>
        <v>17507</v>
      </c>
      <c r="AE254" s="425"/>
      <c r="AF254" s="425"/>
      <c r="AG254" s="310">
        <f t="shared" si="825"/>
        <v>12.13</v>
      </c>
      <c r="AH254" s="252">
        <f t="shared" si="826"/>
        <v>17507</v>
      </c>
      <c r="AI254" s="306">
        <f t="shared" ref="AI254:AI255" si="845">ROUND(AC254*0.15,2)</f>
        <v>1.82</v>
      </c>
      <c r="AJ254" s="252">
        <f t="shared" ref="AJ254:AJ255" si="846">ROUND(AD254*0.15,0)</f>
        <v>2626</v>
      </c>
      <c r="AK254" s="426"/>
      <c r="AL254" s="426"/>
      <c r="AM254" s="426"/>
      <c r="AN254" s="426"/>
      <c r="AO254" s="426"/>
      <c r="AP254" s="426"/>
      <c r="AQ254" s="427"/>
      <c r="AR254" s="427"/>
      <c r="AS254" s="427"/>
      <c r="AT254" s="426"/>
      <c r="AU254" s="410"/>
      <c r="AV254" s="410"/>
      <c r="AW254" s="410"/>
      <c r="AX254" s="410"/>
      <c r="AY254" s="410"/>
      <c r="AZ254" s="410"/>
      <c r="BA254" s="410"/>
      <c r="BB254" s="410"/>
      <c r="BC254" s="410"/>
      <c r="BD254" s="410"/>
      <c r="BE254" s="410"/>
    </row>
    <row r="255" ht="12.75" customHeight="1">
      <c r="A255" s="245" t="s">
        <v>463</v>
      </c>
      <c r="B255" s="246" t="s">
        <v>359</v>
      </c>
      <c r="C255" s="247" t="s">
        <v>360</v>
      </c>
      <c r="D255" s="247" t="s">
        <v>367</v>
      </c>
      <c r="E255" s="248"/>
      <c r="F255" s="248"/>
      <c r="G255" s="247" t="s">
        <v>135</v>
      </c>
      <c r="H255" s="248" t="s">
        <v>1384</v>
      </c>
      <c r="I255" s="248" t="s">
        <v>105</v>
      </c>
      <c r="J255" s="300" t="s">
        <v>106</v>
      </c>
      <c r="K255" s="314">
        <f t="shared" ref="K255:R255" si="841">-K254</f>
        <v>-12.13</v>
      </c>
      <c r="L255" s="309">
        <f t="shared" si="841"/>
        <v>-17507</v>
      </c>
      <c r="M255" s="315">
        <f t="shared" si="841"/>
        <v>-1.82</v>
      </c>
      <c r="N255" s="252">
        <f t="shared" si="841"/>
        <v>-2626</v>
      </c>
      <c r="O255" s="251">
        <f t="shared" si="841"/>
        <v>-1.82</v>
      </c>
      <c r="P255" s="252">
        <f t="shared" si="841"/>
        <v>-2626</v>
      </c>
      <c r="Q255" s="251">
        <f t="shared" si="841"/>
        <v>0</v>
      </c>
      <c r="R255" s="252">
        <f t="shared" si="841"/>
        <v>0</v>
      </c>
      <c r="S255" s="253">
        <v>1443.3</v>
      </c>
      <c r="T255" s="254">
        <v>15.0</v>
      </c>
      <c r="U255" s="255" t="s">
        <v>107</v>
      </c>
      <c r="V255" s="255"/>
      <c r="W255" s="304">
        <v>2.0216</v>
      </c>
      <c r="X255" s="304">
        <v>0.0</v>
      </c>
      <c r="Y255" s="304">
        <v>2.0216</v>
      </c>
      <c r="Z255" s="305">
        <f>-Z254</f>
        <v>-6</v>
      </c>
      <c r="AA255" s="306">
        <f t="shared" si="842"/>
        <v>-12.1296</v>
      </c>
      <c r="AB255" s="307">
        <f t="shared" si="843"/>
        <v>-17507</v>
      </c>
      <c r="AC255" s="308">
        <f t="shared" si="844"/>
        <v>-12.1296</v>
      </c>
      <c r="AD255" s="309">
        <f t="shared" si="824"/>
        <v>-17507</v>
      </c>
      <c r="AE255" s="425"/>
      <c r="AF255" s="425"/>
      <c r="AG255" s="310">
        <f t="shared" si="825"/>
        <v>-12.13</v>
      </c>
      <c r="AH255" s="252">
        <f t="shared" si="826"/>
        <v>-17507</v>
      </c>
      <c r="AI255" s="306">
        <f t="shared" si="845"/>
        <v>-1.82</v>
      </c>
      <c r="AJ255" s="252">
        <f t="shared" si="846"/>
        <v>-2626</v>
      </c>
      <c r="AK255" s="426"/>
      <c r="AL255" s="426"/>
      <c r="AM255" s="426"/>
      <c r="AN255" s="426"/>
      <c r="AO255" s="426"/>
      <c r="AP255" s="426"/>
      <c r="AQ255" s="427"/>
      <c r="AR255" s="427"/>
      <c r="AS255" s="427"/>
      <c r="AT255" s="426"/>
      <c r="AU255" s="410"/>
      <c r="AV255" s="410"/>
      <c r="AW255" s="410"/>
      <c r="AX255" s="410"/>
      <c r="AY255" s="410"/>
      <c r="AZ255" s="410"/>
      <c r="BA255" s="410"/>
      <c r="BB255" s="410"/>
      <c r="BC255" s="410"/>
      <c r="BD255" s="410"/>
      <c r="BE255" s="410"/>
    </row>
    <row r="256" ht="12.75" customHeight="1">
      <c r="A256" s="256" t="s">
        <v>464</v>
      </c>
      <c r="B256" s="257" t="s">
        <v>359</v>
      </c>
      <c r="C256" s="258" t="s">
        <v>360</v>
      </c>
      <c r="D256" s="258" t="s">
        <v>367</v>
      </c>
      <c r="E256" s="259"/>
      <c r="F256" s="259"/>
      <c r="G256" s="258" t="s">
        <v>135</v>
      </c>
      <c r="H256" s="259" t="s">
        <v>1385</v>
      </c>
      <c r="I256" s="259" t="s">
        <v>105</v>
      </c>
      <c r="J256" s="316" t="s">
        <v>106</v>
      </c>
      <c r="K256" s="317">
        <f>ROUND(M256/0.15,2)</f>
        <v>0</v>
      </c>
      <c r="L256" s="318">
        <f>ROUND(N256/0.15,0)</f>
        <v>0</v>
      </c>
      <c r="M256" s="319">
        <f t="shared" ref="M256:N256" si="847">Q256</f>
        <v>0</v>
      </c>
      <c r="N256" s="261">
        <f t="shared" si="847"/>
        <v>0</v>
      </c>
      <c r="O256" s="262">
        <v>1.82</v>
      </c>
      <c r="P256" s="263">
        <v>2626.0</v>
      </c>
      <c r="Q256" s="260">
        <f t="shared" ref="Q256:R256" si="848">M254-O256</f>
        <v>0</v>
      </c>
      <c r="R256" s="261">
        <f t="shared" si="848"/>
        <v>0</v>
      </c>
      <c r="S256" s="264">
        <v>1443.3</v>
      </c>
      <c r="T256" s="265">
        <v>15.0</v>
      </c>
      <c r="U256" s="266" t="s">
        <v>107</v>
      </c>
      <c r="V256" s="266" t="s">
        <v>1386</v>
      </c>
      <c r="W256" s="320">
        <v>2.0216</v>
      </c>
      <c r="X256" s="320">
        <v>0.0</v>
      </c>
      <c r="Y256" s="320">
        <v>2.0216</v>
      </c>
      <c r="Z256" s="321">
        <f>Z254</f>
        <v>6</v>
      </c>
      <c r="AA256" s="426"/>
      <c r="AB256" s="428"/>
      <c r="AC256" s="323">
        <f>IFERROR(ROUND(Z256*X256,2),0)</f>
        <v>0</v>
      </c>
      <c r="AD256" s="318">
        <f t="shared" si="824"/>
        <v>0</v>
      </c>
      <c r="AE256" s="429"/>
      <c r="AF256" s="429"/>
      <c r="AG256" s="324">
        <f t="shared" si="825"/>
        <v>12.13</v>
      </c>
      <c r="AH256" s="261">
        <f t="shared" si="826"/>
        <v>17507</v>
      </c>
      <c r="AI256" s="426"/>
      <c r="AJ256" s="426"/>
      <c r="AK256" s="325">
        <f>ROUND(AC256*0.15,2)</f>
        <v>0</v>
      </c>
      <c r="AL256" s="261">
        <f>ROUND(AD256*0.15,0)</f>
        <v>0</v>
      </c>
      <c r="AM256" s="325"/>
      <c r="AN256" s="325"/>
      <c r="AO256" s="325">
        <f>ROUND(AG256*0.15,2)</f>
        <v>1.82</v>
      </c>
      <c r="AP256" s="261">
        <f>ROUND(AH256*0.15,0)</f>
        <v>2626</v>
      </c>
      <c r="AQ256" s="326"/>
      <c r="AR256" s="326"/>
      <c r="AS256" s="326">
        <f>IFERROR(AC256/K256,IFERROR(AO256/O256,""))</f>
        <v>1</v>
      </c>
      <c r="AT256" s="426"/>
      <c r="AU256" s="410"/>
      <c r="AV256" s="410"/>
      <c r="AW256" s="410"/>
      <c r="AX256" s="410"/>
      <c r="AY256" s="410"/>
      <c r="AZ256" s="410"/>
      <c r="BA256" s="410"/>
      <c r="BB256" s="410"/>
      <c r="BC256" s="410"/>
      <c r="BD256" s="410"/>
      <c r="BE256" s="410"/>
    </row>
    <row r="257" ht="12.75" customHeight="1">
      <c r="A257" s="245" t="s">
        <v>471</v>
      </c>
      <c r="B257" s="246" t="s">
        <v>359</v>
      </c>
      <c r="C257" s="247" t="s">
        <v>360</v>
      </c>
      <c r="D257" s="247" t="s">
        <v>137</v>
      </c>
      <c r="E257" s="248"/>
      <c r="F257" s="248"/>
      <c r="G257" s="247" t="s">
        <v>139</v>
      </c>
      <c r="H257" s="248" t="s">
        <v>1387</v>
      </c>
      <c r="I257" s="248" t="s">
        <v>105</v>
      </c>
      <c r="J257" s="300" t="s">
        <v>106</v>
      </c>
      <c r="K257" s="301">
        <v>5.21</v>
      </c>
      <c r="L257" s="302">
        <v>7471.0</v>
      </c>
      <c r="M257" s="303">
        <v>0.78</v>
      </c>
      <c r="N257" s="250">
        <v>1118.0</v>
      </c>
      <c r="O257" s="249">
        <v>0.57</v>
      </c>
      <c r="P257" s="250">
        <v>817.0</v>
      </c>
      <c r="Q257" s="251">
        <f t="shared" ref="Q257:R257" si="849">M257-O257</f>
        <v>0.21</v>
      </c>
      <c r="R257" s="252">
        <f t="shared" si="849"/>
        <v>301</v>
      </c>
      <c r="S257" s="253">
        <v>1434.1</v>
      </c>
      <c r="T257" s="254">
        <v>15.0</v>
      </c>
      <c r="U257" s="255" t="s">
        <v>107</v>
      </c>
      <c r="V257" s="255"/>
      <c r="W257" s="304">
        <v>0.5793</v>
      </c>
      <c r="X257" s="304">
        <v>0.156589</v>
      </c>
      <c r="Y257" s="304">
        <v>0.422711</v>
      </c>
      <c r="Z257" s="305">
        <f>IFERROR(ROUND(K257/W257,0),0)</f>
        <v>9</v>
      </c>
      <c r="AA257" s="306">
        <f t="shared" ref="AA257:AA258" si="851">Z257*W257</f>
        <v>5.2137</v>
      </c>
      <c r="AB257" s="307">
        <f t="shared" ref="AB257:AB258" si="852">ROUND(AA257*S257,0)</f>
        <v>7477</v>
      </c>
      <c r="AC257" s="308">
        <f t="shared" ref="AC257:AC258" si="853">AA257</f>
        <v>5.2137</v>
      </c>
      <c r="AD257" s="309">
        <f t="shared" si="824"/>
        <v>7477</v>
      </c>
      <c r="AE257" s="425"/>
      <c r="AF257" s="425"/>
      <c r="AG257" s="310">
        <f t="shared" si="825"/>
        <v>3.8</v>
      </c>
      <c r="AH257" s="252">
        <f t="shared" si="826"/>
        <v>5450</v>
      </c>
      <c r="AI257" s="306">
        <f t="shared" ref="AI257:AI258" si="854">ROUND(AC257*0.15,2)</f>
        <v>0.78</v>
      </c>
      <c r="AJ257" s="252">
        <f t="shared" ref="AJ257:AJ258" si="855">ROUND(AD257*0.15,0)</f>
        <v>1122</v>
      </c>
      <c r="AK257" s="426"/>
      <c r="AL257" s="426"/>
      <c r="AM257" s="426"/>
      <c r="AN257" s="426"/>
      <c r="AO257" s="426"/>
      <c r="AP257" s="426"/>
      <c r="AQ257" s="427"/>
      <c r="AR257" s="427"/>
      <c r="AS257" s="427"/>
      <c r="AT257" s="426"/>
      <c r="AU257" s="410"/>
      <c r="AV257" s="410"/>
      <c r="AW257" s="410"/>
      <c r="AX257" s="410"/>
      <c r="AY257" s="410"/>
      <c r="AZ257" s="410"/>
      <c r="BA257" s="410"/>
      <c r="BB257" s="410"/>
      <c r="BC257" s="410"/>
      <c r="BD257" s="410"/>
      <c r="BE257" s="410"/>
    </row>
    <row r="258" ht="12.75" customHeight="1">
      <c r="A258" s="245" t="s">
        <v>472</v>
      </c>
      <c r="B258" s="246" t="s">
        <v>359</v>
      </c>
      <c r="C258" s="247" t="s">
        <v>360</v>
      </c>
      <c r="D258" s="247" t="s">
        <v>137</v>
      </c>
      <c r="E258" s="248"/>
      <c r="F258" s="248"/>
      <c r="G258" s="247" t="s">
        <v>139</v>
      </c>
      <c r="H258" s="248" t="s">
        <v>1388</v>
      </c>
      <c r="I258" s="248" t="s">
        <v>105</v>
      </c>
      <c r="J258" s="300" t="s">
        <v>106</v>
      </c>
      <c r="K258" s="314">
        <f t="shared" ref="K258:R258" si="850">-K257</f>
        <v>-5.21</v>
      </c>
      <c r="L258" s="309">
        <f t="shared" si="850"/>
        <v>-7471</v>
      </c>
      <c r="M258" s="315">
        <f t="shared" si="850"/>
        <v>-0.78</v>
      </c>
      <c r="N258" s="252">
        <f t="shared" si="850"/>
        <v>-1118</v>
      </c>
      <c r="O258" s="251">
        <f t="shared" si="850"/>
        <v>-0.57</v>
      </c>
      <c r="P258" s="252">
        <f t="shared" si="850"/>
        <v>-817</v>
      </c>
      <c r="Q258" s="251">
        <f t="shared" si="850"/>
        <v>-0.21</v>
      </c>
      <c r="R258" s="252">
        <f t="shared" si="850"/>
        <v>-301</v>
      </c>
      <c r="S258" s="253">
        <v>1434.1</v>
      </c>
      <c r="T258" s="254">
        <v>15.0</v>
      </c>
      <c r="U258" s="255" t="s">
        <v>107</v>
      </c>
      <c r="V258" s="255"/>
      <c r="W258" s="304">
        <v>0.5793</v>
      </c>
      <c r="X258" s="304">
        <v>0.156589</v>
      </c>
      <c r="Y258" s="304">
        <v>0.422711</v>
      </c>
      <c r="Z258" s="305">
        <f>-Z257</f>
        <v>-9</v>
      </c>
      <c r="AA258" s="306">
        <f t="shared" si="851"/>
        <v>-5.2137</v>
      </c>
      <c r="AB258" s="307">
        <f t="shared" si="852"/>
        <v>-7477</v>
      </c>
      <c r="AC258" s="308">
        <f t="shared" si="853"/>
        <v>-5.2137</v>
      </c>
      <c r="AD258" s="309">
        <f t="shared" si="824"/>
        <v>-7477</v>
      </c>
      <c r="AE258" s="425"/>
      <c r="AF258" s="425"/>
      <c r="AG258" s="310">
        <f t="shared" si="825"/>
        <v>-3.8</v>
      </c>
      <c r="AH258" s="252">
        <f t="shared" si="826"/>
        <v>-5450</v>
      </c>
      <c r="AI258" s="306">
        <f t="shared" si="854"/>
        <v>-0.78</v>
      </c>
      <c r="AJ258" s="252">
        <f t="shared" si="855"/>
        <v>-1122</v>
      </c>
      <c r="AK258" s="426"/>
      <c r="AL258" s="426"/>
      <c r="AM258" s="426"/>
      <c r="AN258" s="426"/>
      <c r="AO258" s="426"/>
      <c r="AP258" s="426"/>
      <c r="AQ258" s="427"/>
      <c r="AR258" s="427"/>
      <c r="AS258" s="427"/>
      <c r="AT258" s="426"/>
      <c r="AU258" s="410"/>
      <c r="AV258" s="410"/>
      <c r="AW258" s="410"/>
      <c r="AX258" s="410"/>
      <c r="AY258" s="410"/>
      <c r="AZ258" s="410"/>
      <c r="BA258" s="410"/>
      <c r="BB258" s="410"/>
      <c r="BC258" s="410"/>
      <c r="BD258" s="410"/>
      <c r="BE258" s="410"/>
    </row>
    <row r="259" ht="12.75" customHeight="1">
      <c r="A259" s="256" t="s">
        <v>473</v>
      </c>
      <c r="B259" s="257" t="s">
        <v>359</v>
      </c>
      <c r="C259" s="258" t="s">
        <v>360</v>
      </c>
      <c r="D259" s="258" t="s">
        <v>137</v>
      </c>
      <c r="E259" s="259"/>
      <c r="F259" s="259"/>
      <c r="G259" s="258" t="s">
        <v>139</v>
      </c>
      <c r="H259" s="259" t="s">
        <v>1389</v>
      </c>
      <c r="I259" s="259" t="s">
        <v>105</v>
      </c>
      <c r="J259" s="316" t="s">
        <v>106</v>
      </c>
      <c r="K259" s="317">
        <f>ROUND(M259/0.15,2)</f>
        <v>1.4</v>
      </c>
      <c r="L259" s="318">
        <f>ROUND(N259/0.15,0)</f>
        <v>2007</v>
      </c>
      <c r="M259" s="319">
        <f t="shared" ref="M259:N259" si="856">Q259</f>
        <v>0.21</v>
      </c>
      <c r="N259" s="261">
        <f t="shared" si="856"/>
        <v>301</v>
      </c>
      <c r="O259" s="262">
        <v>0.57</v>
      </c>
      <c r="P259" s="263">
        <v>817.0</v>
      </c>
      <c r="Q259" s="260">
        <f t="shared" ref="Q259:R259" si="857">M257-O259</f>
        <v>0.21</v>
      </c>
      <c r="R259" s="261">
        <f t="shared" si="857"/>
        <v>301</v>
      </c>
      <c r="S259" s="264">
        <v>1434.1</v>
      </c>
      <c r="T259" s="265">
        <v>15.0</v>
      </c>
      <c r="U259" s="266" t="s">
        <v>107</v>
      </c>
      <c r="V259" s="266" t="s">
        <v>1390</v>
      </c>
      <c r="W259" s="320">
        <v>0.5793</v>
      </c>
      <c r="X259" s="320">
        <v>0.156589</v>
      </c>
      <c r="Y259" s="320">
        <v>0.422711</v>
      </c>
      <c r="Z259" s="321">
        <f>Z257</f>
        <v>9</v>
      </c>
      <c r="AA259" s="426"/>
      <c r="AB259" s="428"/>
      <c r="AC259" s="323">
        <f>IFERROR(ROUND(Z259*X259,2),0)</f>
        <v>1.41</v>
      </c>
      <c r="AD259" s="318">
        <f t="shared" si="824"/>
        <v>2022</v>
      </c>
      <c r="AE259" s="429"/>
      <c r="AF259" s="429"/>
      <c r="AG259" s="324">
        <f t="shared" si="825"/>
        <v>3.8</v>
      </c>
      <c r="AH259" s="261">
        <f t="shared" si="826"/>
        <v>5450</v>
      </c>
      <c r="AI259" s="426"/>
      <c r="AJ259" s="426"/>
      <c r="AK259" s="325">
        <f>ROUND(AC259*0.15,2)</f>
        <v>0.21</v>
      </c>
      <c r="AL259" s="261">
        <f>ROUND(AD259*0.15,0)</f>
        <v>303</v>
      </c>
      <c r="AM259" s="325"/>
      <c r="AN259" s="325"/>
      <c r="AO259" s="325">
        <f>ROUND(AG259*0.15,2)</f>
        <v>0.57</v>
      </c>
      <c r="AP259" s="261">
        <f>ROUND(AH259*0.15,0)</f>
        <v>818</v>
      </c>
      <c r="AQ259" s="326"/>
      <c r="AR259" s="326"/>
      <c r="AS259" s="326">
        <f>IFERROR(AC259/K259,IFERROR(AO259/O259,""))</f>
        <v>1.007142857</v>
      </c>
      <c r="AT259" s="426"/>
      <c r="AU259" s="410"/>
      <c r="AV259" s="410"/>
      <c r="AW259" s="410"/>
      <c r="AX259" s="410"/>
      <c r="AY259" s="410"/>
      <c r="AZ259" s="410"/>
      <c r="BA259" s="410"/>
      <c r="BB259" s="410"/>
      <c r="BC259" s="410"/>
      <c r="BD259" s="410"/>
      <c r="BE259" s="410"/>
    </row>
    <row r="260" ht="12.75" customHeight="1">
      <c r="A260" s="245" t="s">
        <v>475</v>
      </c>
      <c r="B260" s="246" t="s">
        <v>359</v>
      </c>
      <c r="C260" s="247" t="s">
        <v>360</v>
      </c>
      <c r="D260" s="247" t="s">
        <v>370</v>
      </c>
      <c r="E260" s="248"/>
      <c r="F260" s="248"/>
      <c r="G260" s="247" t="s">
        <v>127</v>
      </c>
      <c r="H260" s="248" t="s">
        <v>1391</v>
      </c>
      <c r="I260" s="248" t="s">
        <v>105</v>
      </c>
      <c r="J260" s="300" t="s">
        <v>106</v>
      </c>
      <c r="K260" s="301">
        <v>9.67</v>
      </c>
      <c r="L260" s="302">
        <v>14114.0</v>
      </c>
      <c r="M260" s="303">
        <v>1.45</v>
      </c>
      <c r="N260" s="250">
        <v>2116.0</v>
      </c>
      <c r="O260" s="249">
        <v>0.76</v>
      </c>
      <c r="P260" s="250">
        <v>1109.0</v>
      </c>
      <c r="Q260" s="251">
        <f t="shared" ref="Q260:R260" si="858">M260-O260</f>
        <v>0.69</v>
      </c>
      <c r="R260" s="252">
        <f t="shared" si="858"/>
        <v>1007</v>
      </c>
      <c r="S260" s="253">
        <v>1459.6</v>
      </c>
      <c r="T260" s="254">
        <v>15.0</v>
      </c>
      <c r="U260" s="255" t="s">
        <v>107</v>
      </c>
      <c r="V260" s="255"/>
      <c r="W260" s="304">
        <v>1.6118</v>
      </c>
      <c r="X260" s="304">
        <v>0.763226</v>
      </c>
      <c r="Y260" s="304">
        <v>0.848574</v>
      </c>
      <c r="Z260" s="305">
        <f>IFERROR(ROUND(K260/W260,0),0)</f>
        <v>6</v>
      </c>
      <c r="AA260" s="306">
        <f t="shared" ref="AA260:AA261" si="860">Z260*W260</f>
        <v>9.6708</v>
      </c>
      <c r="AB260" s="307">
        <f t="shared" ref="AB260:AB261" si="861">ROUND(AA260*S260,0)</f>
        <v>14115</v>
      </c>
      <c r="AC260" s="308">
        <f t="shared" ref="AC260:AC261" si="862">AA260</f>
        <v>9.6708</v>
      </c>
      <c r="AD260" s="309">
        <f t="shared" si="824"/>
        <v>14115</v>
      </c>
      <c r="AE260" s="425"/>
      <c r="AF260" s="425"/>
      <c r="AG260" s="310">
        <f t="shared" si="825"/>
        <v>5.09</v>
      </c>
      <c r="AH260" s="252">
        <f t="shared" si="826"/>
        <v>7429</v>
      </c>
      <c r="AI260" s="306">
        <f t="shared" ref="AI260:AI261" si="863">ROUND(AC260*0.15,2)</f>
        <v>1.45</v>
      </c>
      <c r="AJ260" s="252">
        <f t="shared" ref="AJ260:AJ261" si="864">ROUND(AD260*0.15,0)</f>
        <v>2117</v>
      </c>
      <c r="AK260" s="426"/>
      <c r="AL260" s="426"/>
      <c r="AM260" s="426"/>
      <c r="AN260" s="426"/>
      <c r="AO260" s="426"/>
      <c r="AP260" s="426"/>
      <c r="AQ260" s="427"/>
      <c r="AR260" s="427"/>
      <c r="AS260" s="427"/>
      <c r="AT260" s="426"/>
      <c r="AU260" s="410"/>
      <c r="AV260" s="410"/>
      <c r="AW260" s="410"/>
      <c r="AX260" s="410"/>
      <c r="AY260" s="410"/>
      <c r="AZ260" s="410"/>
      <c r="BA260" s="410"/>
      <c r="BB260" s="410"/>
      <c r="BC260" s="410"/>
      <c r="BD260" s="410"/>
      <c r="BE260" s="410"/>
    </row>
    <row r="261" ht="12.75" customHeight="1">
      <c r="A261" s="245" t="s">
        <v>476</v>
      </c>
      <c r="B261" s="246" t="s">
        <v>359</v>
      </c>
      <c r="C261" s="247" t="s">
        <v>360</v>
      </c>
      <c r="D261" s="247" t="s">
        <v>370</v>
      </c>
      <c r="E261" s="248"/>
      <c r="F261" s="248"/>
      <c r="G261" s="247" t="s">
        <v>127</v>
      </c>
      <c r="H261" s="248" t="s">
        <v>1392</v>
      </c>
      <c r="I261" s="248" t="s">
        <v>105</v>
      </c>
      <c r="J261" s="300" t="s">
        <v>106</v>
      </c>
      <c r="K261" s="314">
        <f t="shared" ref="K261:R261" si="859">-K260</f>
        <v>-9.67</v>
      </c>
      <c r="L261" s="309">
        <f t="shared" si="859"/>
        <v>-14114</v>
      </c>
      <c r="M261" s="315">
        <f t="shared" si="859"/>
        <v>-1.45</v>
      </c>
      <c r="N261" s="252">
        <f t="shared" si="859"/>
        <v>-2116</v>
      </c>
      <c r="O261" s="251">
        <f t="shared" si="859"/>
        <v>-0.76</v>
      </c>
      <c r="P261" s="252">
        <f t="shared" si="859"/>
        <v>-1109</v>
      </c>
      <c r="Q261" s="251">
        <f t="shared" si="859"/>
        <v>-0.69</v>
      </c>
      <c r="R261" s="252">
        <f t="shared" si="859"/>
        <v>-1007</v>
      </c>
      <c r="S261" s="253">
        <v>1459.6</v>
      </c>
      <c r="T261" s="254">
        <v>15.0</v>
      </c>
      <c r="U261" s="255" t="s">
        <v>107</v>
      </c>
      <c r="V261" s="255"/>
      <c r="W261" s="304">
        <v>1.6118</v>
      </c>
      <c r="X261" s="304">
        <v>0.763226</v>
      </c>
      <c r="Y261" s="304">
        <v>0.848574</v>
      </c>
      <c r="Z261" s="305">
        <f>-Z260</f>
        <v>-6</v>
      </c>
      <c r="AA261" s="306">
        <f t="shared" si="860"/>
        <v>-9.6708</v>
      </c>
      <c r="AB261" s="307">
        <f t="shared" si="861"/>
        <v>-14115</v>
      </c>
      <c r="AC261" s="308">
        <f t="shared" si="862"/>
        <v>-9.6708</v>
      </c>
      <c r="AD261" s="309">
        <f t="shared" si="824"/>
        <v>-14115</v>
      </c>
      <c r="AE261" s="425"/>
      <c r="AF261" s="425"/>
      <c r="AG261" s="310">
        <f t="shared" si="825"/>
        <v>-5.09</v>
      </c>
      <c r="AH261" s="252">
        <f t="shared" si="826"/>
        <v>-7429</v>
      </c>
      <c r="AI261" s="306">
        <f t="shared" si="863"/>
        <v>-1.45</v>
      </c>
      <c r="AJ261" s="252">
        <f t="shared" si="864"/>
        <v>-2117</v>
      </c>
      <c r="AK261" s="426"/>
      <c r="AL261" s="426"/>
      <c r="AM261" s="426"/>
      <c r="AN261" s="426"/>
      <c r="AO261" s="426"/>
      <c r="AP261" s="426"/>
      <c r="AQ261" s="427"/>
      <c r="AR261" s="427"/>
      <c r="AS261" s="427"/>
      <c r="AT261" s="426"/>
      <c r="AU261" s="410"/>
      <c r="AV261" s="410"/>
      <c r="AW261" s="410"/>
      <c r="AX261" s="410"/>
      <c r="AY261" s="410"/>
      <c r="AZ261" s="410"/>
      <c r="BA261" s="410"/>
      <c r="BB261" s="410"/>
      <c r="BC261" s="410"/>
      <c r="BD261" s="410"/>
      <c r="BE261" s="410"/>
    </row>
    <row r="262" ht="12.75" customHeight="1">
      <c r="A262" s="256" t="s">
        <v>477</v>
      </c>
      <c r="B262" s="257" t="s">
        <v>359</v>
      </c>
      <c r="C262" s="258" t="s">
        <v>360</v>
      </c>
      <c r="D262" s="258" t="s">
        <v>370</v>
      </c>
      <c r="E262" s="259"/>
      <c r="F262" s="259"/>
      <c r="G262" s="258" t="s">
        <v>127</v>
      </c>
      <c r="H262" s="259" t="s">
        <v>1393</v>
      </c>
      <c r="I262" s="259" t="s">
        <v>105</v>
      </c>
      <c r="J262" s="316" t="s">
        <v>106</v>
      </c>
      <c r="K262" s="317">
        <f>ROUND(M262/0.15,2)</f>
        <v>4.6</v>
      </c>
      <c r="L262" s="318">
        <f>ROUND(N262/0.15,0)</f>
        <v>6713</v>
      </c>
      <c r="M262" s="319">
        <f t="shared" ref="M262:N262" si="865">Q262</f>
        <v>0.69</v>
      </c>
      <c r="N262" s="261">
        <f t="shared" si="865"/>
        <v>1007</v>
      </c>
      <c r="O262" s="262">
        <v>0.76</v>
      </c>
      <c r="P262" s="263">
        <v>1109.0</v>
      </c>
      <c r="Q262" s="260">
        <f t="shared" ref="Q262:R262" si="866">M260-O262</f>
        <v>0.69</v>
      </c>
      <c r="R262" s="261">
        <f t="shared" si="866"/>
        <v>1007</v>
      </c>
      <c r="S262" s="264">
        <v>1459.6</v>
      </c>
      <c r="T262" s="265">
        <v>15.0</v>
      </c>
      <c r="U262" s="266" t="s">
        <v>107</v>
      </c>
      <c r="V262" s="266" t="s">
        <v>1394</v>
      </c>
      <c r="W262" s="320">
        <v>1.6118</v>
      </c>
      <c r="X262" s="320">
        <v>0.763226</v>
      </c>
      <c r="Y262" s="320">
        <v>0.848574</v>
      </c>
      <c r="Z262" s="321">
        <f>Z260</f>
        <v>6</v>
      </c>
      <c r="AA262" s="426"/>
      <c r="AB262" s="428"/>
      <c r="AC262" s="323">
        <f>IFERROR(ROUND(Z262*X262,2),0)</f>
        <v>4.58</v>
      </c>
      <c r="AD262" s="318">
        <f t="shared" si="824"/>
        <v>6685</v>
      </c>
      <c r="AE262" s="429"/>
      <c r="AF262" s="429"/>
      <c r="AG262" s="324">
        <f t="shared" si="825"/>
        <v>5.09</v>
      </c>
      <c r="AH262" s="261">
        <f t="shared" si="826"/>
        <v>7429</v>
      </c>
      <c r="AI262" s="426"/>
      <c r="AJ262" s="426"/>
      <c r="AK262" s="325">
        <f>ROUND(AC262*0.15,2)</f>
        <v>0.69</v>
      </c>
      <c r="AL262" s="261">
        <f>ROUND(AD262*0.15,0)</f>
        <v>1003</v>
      </c>
      <c r="AM262" s="325"/>
      <c r="AN262" s="325"/>
      <c r="AO262" s="325">
        <f>ROUND(AG262*0.15,2)</f>
        <v>0.76</v>
      </c>
      <c r="AP262" s="261">
        <f>ROUND(AH262*0.15,0)</f>
        <v>1114</v>
      </c>
      <c r="AQ262" s="326"/>
      <c r="AR262" s="326"/>
      <c r="AS262" s="326">
        <f>IFERROR(AC262/K262,IFERROR(AO262/O262,""))</f>
        <v>0.9956521739</v>
      </c>
      <c r="AT262" s="426"/>
      <c r="AU262" s="410"/>
      <c r="AV262" s="410"/>
      <c r="AW262" s="410"/>
      <c r="AX262" s="410"/>
      <c r="AY262" s="410"/>
      <c r="AZ262" s="410"/>
      <c r="BA262" s="410"/>
      <c r="BB262" s="410"/>
      <c r="BC262" s="410"/>
      <c r="BD262" s="410"/>
      <c r="BE262" s="410"/>
    </row>
    <row r="263" ht="12.75" customHeight="1">
      <c r="A263" s="245" t="s">
        <v>479</v>
      </c>
      <c r="B263" s="246" t="s">
        <v>359</v>
      </c>
      <c r="C263" s="247" t="s">
        <v>360</v>
      </c>
      <c r="D263" s="247" t="s">
        <v>146</v>
      </c>
      <c r="E263" s="248"/>
      <c r="F263" s="248"/>
      <c r="G263" s="247" t="s">
        <v>131</v>
      </c>
      <c r="H263" s="248" t="s">
        <v>1395</v>
      </c>
      <c r="I263" s="248" t="s">
        <v>105</v>
      </c>
      <c r="J263" s="300" t="s">
        <v>106</v>
      </c>
      <c r="K263" s="301">
        <v>4.79</v>
      </c>
      <c r="L263" s="302">
        <v>6952.0</v>
      </c>
      <c r="M263" s="303">
        <v>0.72</v>
      </c>
      <c r="N263" s="250">
        <v>1045.0</v>
      </c>
      <c r="O263" s="249">
        <v>0.7</v>
      </c>
      <c r="P263" s="250">
        <v>1016.0</v>
      </c>
      <c r="Q263" s="251">
        <f t="shared" ref="Q263:R263" si="867">M263-O263</f>
        <v>0.02</v>
      </c>
      <c r="R263" s="252">
        <f t="shared" si="867"/>
        <v>29</v>
      </c>
      <c r="S263" s="253">
        <v>1451.5</v>
      </c>
      <c r="T263" s="254">
        <v>15.0</v>
      </c>
      <c r="U263" s="255" t="s">
        <v>107</v>
      </c>
      <c r="V263" s="255"/>
      <c r="W263" s="304">
        <v>0.5989</v>
      </c>
      <c r="X263" s="304">
        <v>0.017688</v>
      </c>
      <c r="Y263" s="304">
        <v>0.581212</v>
      </c>
      <c r="Z263" s="305">
        <f>IFERROR(ROUND(K263/W263,0),0)</f>
        <v>8</v>
      </c>
      <c r="AA263" s="306">
        <f t="shared" ref="AA263:AA264" si="869">Z263*W263</f>
        <v>4.7912</v>
      </c>
      <c r="AB263" s="307">
        <f t="shared" ref="AB263:AB264" si="870">ROUND(AA263*S263,0)</f>
        <v>6954</v>
      </c>
      <c r="AC263" s="308">
        <f t="shared" ref="AC263:AC264" si="871">AA263</f>
        <v>4.7912</v>
      </c>
      <c r="AD263" s="309">
        <f t="shared" si="824"/>
        <v>6954</v>
      </c>
      <c r="AE263" s="425"/>
      <c r="AF263" s="425"/>
      <c r="AG263" s="310">
        <f t="shared" si="825"/>
        <v>4.65</v>
      </c>
      <c r="AH263" s="252">
        <f t="shared" si="826"/>
        <v>6749</v>
      </c>
      <c r="AI263" s="306">
        <f t="shared" ref="AI263:AI264" si="872">ROUND(AC263*0.15,2)</f>
        <v>0.72</v>
      </c>
      <c r="AJ263" s="252">
        <f t="shared" ref="AJ263:AJ264" si="873">ROUND(AD263*0.15,0)</f>
        <v>1043</v>
      </c>
      <c r="AK263" s="426"/>
      <c r="AL263" s="426"/>
      <c r="AM263" s="426"/>
      <c r="AN263" s="426"/>
      <c r="AO263" s="426"/>
      <c r="AP263" s="426"/>
      <c r="AQ263" s="427"/>
      <c r="AR263" s="427"/>
      <c r="AS263" s="427"/>
      <c r="AT263" s="426"/>
      <c r="AU263" s="410"/>
      <c r="AV263" s="410"/>
      <c r="AW263" s="410"/>
      <c r="AX263" s="410"/>
      <c r="AY263" s="410"/>
      <c r="AZ263" s="410"/>
      <c r="BA263" s="410"/>
      <c r="BB263" s="410"/>
      <c r="BC263" s="410"/>
      <c r="BD263" s="410"/>
      <c r="BE263" s="410"/>
    </row>
    <row r="264" ht="12.75" customHeight="1">
      <c r="A264" s="245" t="s">
        <v>480</v>
      </c>
      <c r="B264" s="246" t="s">
        <v>359</v>
      </c>
      <c r="C264" s="247" t="s">
        <v>360</v>
      </c>
      <c r="D264" s="247" t="s">
        <v>146</v>
      </c>
      <c r="E264" s="248"/>
      <c r="F264" s="248"/>
      <c r="G264" s="247" t="s">
        <v>131</v>
      </c>
      <c r="H264" s="248" t="s">
        <v>1396</v>
      </c>
      <c r="I264" s="248" t="s">
        <v>105</v>
      </c>
      <c r="J264" s="300" t="s">
        <v>106</v>
      </c>
      <c r="K264" s="314">
        <f t="shared" ref="K264:R264" si="868">-K263</f>
        <v>-4.79</v>
      </c>
      <c r="L264" s="309">
        <f t="shared" si="868"/>
        <v>-6952</v>
      </c>
      <c r="M264" s="315">
        <f t="shared" si="868"/>
        <v>-0.72</v>
      </c>
      <c r="N264" s="252">
        <f t="shared" si="868"/>
        <v>-1045</v>
      </c>
      <c r="O264" s="251">
        <f t="shared" si="868"/>
        <v>-0.7</v>
      </c>
      <c r="P264" s="252">
        <f t="shared" si="868"/>
        <v>-1016</v>
      </c>
      <c r="Q264" s="251">
        <f t="shared" si="868"/>
        <v>-0.02</v>
      </c>
      <c r="R264" s="252">
        <f t="shared" si="868"/>
        <v>-29</v>
      </c>
      <c r="S264" s="253">
        <v>1451.5</v>
      </c>
      <c r="T264" s="254">
        <v>15.0</v>
      </c>
      <c r="U264" s="255" t="s">
        <v>107</v>
      </c>
      <c r="V264" s="255"/>
      <c r="W264" s="304">
        <v>0.5989</v>
      </c>
      <c r="X264" s="304">
        <v>0.017688</v>
      </c>
      <c r="Y264" s="304">
        <v>0.581212</v>
      </c>
      <c r="Z264" s="305">
        <f>-Z263</f>
        <v>-8</v>
      </c>
      <c r="AA264" s="306">
        <f t="shared" si="869"/>
        <v>-4.7912</v>
      </c>
      <c r="AB264" s="307">
        <f t="shared" si="870"/>
        <v>-6954</v>
      </c>
      <c r="AC264" s="308">
        <f t="shared" si="871"/>
        <v>-4.7912</v>
      </c>
      <c r="AD264" s="309">
        <f t="shared" si="824"/>
        <v>-6954</v>
      </c>
      <c r="AE264" s="425"/>
      <c r="AF264" s="425"/>
      <c r="AG264" s="310">
        <f t="shared" si="825"/>
        <v>-4.65</v>
      </c>
      <c r="AH264" s="252">
        <f t="shared" si="826"/>
        <v>-6749</v>
      </c>
      <c r="AI264" s="306">
        <f t="shared" si="872"/>
        <v>-0.72</v>
      </c>
      <c r="AJ264" s="252">
        <f t="shared" si="873"/>
        <v>-1043</v>
      </c>
      <c r="AK264" s="426"/>
      <c r="AL264" s="426"/>
      <c r="AM264" s="426"/>
      <c r="AN264" s="426"/>
      <c r="AO264" s="426"/>
      <c r="AP264" s="426"/>
      <c r="AQ264" s="427"/>
      <c r="AR264" s="427"/>
      <c r="AS264" s="427"/>
      <c r="AT264" s="426"/>
      <c r="AU264" s="410"/>
      <c r="AV264" s="410"/>
      <c r="AW264" s="410"/>
      <c r="AX264" s="410"/>
      <c r="AY264" s="410"/>
      <c r="AZ264" s="410"/>
      <c r="BA264" s="410"/>
      <c r="BB264" s="410"/>
      <c r="BC264" s="410"/>
      <c r="BD264" s="410"/>
      <c r="BE264" s="410"/>
    </row>
    <row r="265" ht="12.75" customHeight="1">
      <c r="A265" s="256" t="s">
        <v>481</v>
      </c>
      <c r="B265" s="257" t="s">
        <v>359</v>
      </c>
      <c r="C265" s="258" t="s">
        <v>360</v>
      </c>
      <c r="D265" s="258" t="s">
        <v>146</v>
      </c>
      <c r="E265" s="259"/>
      <c r="F265" s="259"/>
      <c r="G265" s="258" t="s">
        <v>131</v>
      </c>
      <c r="H265" s="259" t="s">
        <v>1397</v>
      </c>
      <c r="I265" s="259" t="s">
        <v>105</v>
      </c>
      <c r="J265" s="316" t="s">
        <v>106</v>
      </c>
      <c r="K265" s="317">
        <f>ROUND(M265/0.15,2)</f>
        <v>0.13</v>
      </c>
      <c r="L265" s="318">
        <f>ROUND(N265/0.15,0)</f>
        <v>193</v>
      </c>
      <c r="M265" s="319">
        <f t="shared" ref="M265:N265" si="874">Q265</f>
        <v>0.02</v>
      </c>
      <c r="N265" s="261">
        <f t="shared" si="874"/>
        <v>29</v>
      </c>
      <c r="O265" s="262">
        <v>0.7</v>
      </c>
      <c r="P265" s="263">
        <v>1016.0</v>
      </c>
      <c r="Q265" s="260">
        <f t="shared" ref="Q265:R265" si="875">M263-O265</f>
        <v>0.02</v>
      </c>
      <c r="R265" s="261">
        <f t="shared" si="875"/>
        <v>29</v>
      </c>
      <c r="S265" s="264">
        <v>1451.5</v>
      </c>
      <c r="T265" s="265">
        <v>15.0</v>
      </c>
      <c r="U265" s="266" t="s">
        <v>107</v>
      </c>
      <c r="V265" s="266" t="s">
        <v>1398</v>
      </c>
      <c r="W265" s="320">
        <v>0.5989</v>
      </c>
      <c r="X265" s="320">
        <v>0.017688</v>
      </c>
      <c r="Y265" s="320">
        <v>0.581212</v>
      </c>
      <c r="Z265" s="321">
        <f>Z263</f>
        <v>8</v>
      </c>
      <c r="AA265" s="426"/>
      <c r="AB265" s="428"/>
      <c r="AC265" s="323">
        <f>IFERROR(ROUND(Z265*X265,2),0)</f>
        <v>0.14</v>
      </c>
      <c r="AD265" s="318">
        <f t="shared" si="824"/>
        <v>203</v>
      </c>
      <c r="AE265" s="429"/>
      <c r="AF265" s="429"/>
      <c r="AG265" s="324">
        <f t="shared" si="825"/>
        <v>4.65</v>
      </c>
      <c r="AH265" s="261">
        <f t="shared" si="826"/>
        <v>6749</v>
      </c>
      <c r="AI265" s="426"/>
      <c r="AJ265" s="426"/>
      <c r="AK265" s="325">
        <f>ROUND(AC265*0.15,2)</f>
        <v>0.02</v>
      </c>
      <c r="AL265" s="261">
        <f>ROUND(AD265*0.15,0)</f>
        <v>30</v>
      </c>
      <c r="AM265" s="325"/>
      <c r="AN265" s="325"/>
      <c r="AO265" s="325">
        <f>ROUND(AG265*0.15,2)</f>
        <v>0.7</v>
      </c>
      <c r="AP265" s="261">
        <f>ROUND(AH265*0.15,0)</f>
        <v>1012</v>
      </c>
      <c r="AQ265" s="326"/>
      <c r="AR265" s="326"/>
      <c r="AS265" s="326">
        <f>IFERROR(AC265/K265,IFERROR(AO265/O265,""))</f>
        <v>1.076923077</v>
      </c>
      <c r="AT265" s="426" t="s">
        <v>1055</v>
      </c>
      <c r="AU265" s="410"/>
      <c r="AV265" s="410"/>
      <c r="AW265" s="410"/>
      <c r="AX265" s="410"/>
      <c r="AY265" s="410"/>
      <c r="AZ265" s="410"/>
      <c r="BA265" s="410"/>
      <c r="BB265" s="410"/>
      <c r="BC265" s="410"/>
      <c r="BD265" s="410"/>
      <c r="BE265" s="410"/>
    </row>
    <row r="266" ht="12.75" customHeight="1">
      <c r="A266" s="245" t="s">
        <v>483</v>
      </c>
      <c r="B266" s="246" t="s">
        <v>359</v>
      </c>
      <c r="C266" s="247" t="s">
        <v>360</v>
      </c>
      <c r="D266" s="247" t="s">
        <v>152</v>
      </c>
      <c r="E266" s="248"/>
      <c r="F266" s="248"/>
      <c r="G266" s="247" t="s">
        <v>135</v>
      </c>
      <c r="H266" s="248" t="s">
        <v>1399</v>
      </c>
      <c r="I266" s="248" t="s">
        <v>105</v>
      </c>
      <c r="J266" s="300" t="s">
        <v>106</v>
      </c>
      <c r="K266" s="301">
        <v>8.27</v>
      </c>
      <c r="L266" s="302">
        <v>11974.0</v>
      </c>
      <c r="M266" s="303">
        <v>1.24</v>
      </c>
      <c r="N266" s="250">
        <v>1795.0</v>
      </c>
      <c r="O266" s="249">
        <v>1.24</v>
      </c>
      <c r="P266" s="250">
        <v>1795.0</v>
      </c>
      <c r="Q266" s="251">
        <f t="shared" ref="Q266:R266" si="876">M266-O266</f>
        <v>0</v>
      </c>
      <c r="R266" s="252">
        <f t="shared" si="876"/>
        <v>0</v>
      </c>
      <c r="S266" s="253">
        <v>1448.0</v>
      </c>
      <c r="T266" s="254">
        <v>15.0</v>
      </c>
      <c r="U266" s="255" t="s">
        <v>107</v>
      </c>
      <c r="V266" s="255"/>
      <c r="W266" s="304">
        <v>1.3775</v>
      </c>
      <c r="X266" s="304">
        <v>0.0</v>
      </c>
      <c r="Y266" s="304">
        <v>1.3775</v>
      </c>
      <c r="Z266" s="305">
        <f>IFERROR(ROUND(K266/W266,0),0)</f>
        <v>6</v>
      </c>
      <c r="AA266" s="306">
        <f t="shared" ref="AA266:AA267" si="878">Z266*W266</f>
        <v>8.265</v>
      </c>
      <c r="AB266" s="307">
        <f t="shared" ref="AB266:AB267" si="879">ROUND(AA266*S266,0)</f>
        <v>11968</v>
      </c>
      <c r="AC266" s="308">
        <f t="shared" ref="AC266:AC267" si="880">AA266</f>
        <v>8.265</v>
      </c>
      <c r="AD266" s="309">
        <f t="shared" si="824"/>
        <v>11968</v>
      </c>
      <c r="AE266" s="425"/>
      <c r="AF266" s="425"/>
      <c r="AG266" s="310">
        <f t="shared" si="825"/>
        <v>8.27</v>
      </c>
      <c r="AH266" s="252">
        <f t="shared" si="826"/>
        <v>11975</v>
      </c>
      <c r="AI266" s="306">
        <f t="shared" ref="AI266:AI267" si="881">ROUND(AC266*0.15,2)</f>
        <v>1.24</v>
      </c>
      <c r="AJ266" s="252">
        <f t="shared" ref="AJ266:AJ267" si="882">ROUND(AD266*0.15,0)</f>
        <v>1795</v>
      </c>
      <c r="AK266" s="426"/>
      <c r="AL266" s="426"/>
      <c r="AM266" s="426"/>
      <c r="AN266" s="426"/>
      <c r="AO266" s="426"/>
      <c r="AP266" s="426"/>
      <c r="AQ266" s="427"/>
      <c r="AR266" s="427"/>
      <c r="AS266" s="427"/>
      <c r="AT266" s="426"/>
      <c r="AU266" s="410"/>
      <c r="AV266" s="410"/>
      <c r="AW266" s="410"/>
      <c r="AX266" s="410"/>
      <c r="AY266" s="410"/>
      <c r="AZ266" s="410"/>
      <c r="BA266" s="410"/>
      <c r="BB266" s="410"/>
      <c r="BC266" s="410"/>
      <c r="BD266" s="410"/>
      <c r="BE266" s="410"/>
    </row>
    <row r="267" ht="12.75" customHeight="1">
      <c r="A267" s="245" t="s">
        <v>484</v>
      </c>
      <c r="B267" s="246" t="s">
        <v>359</v>
      </c>
      <c r="C267" s="247" t="s">
        <v>360</v>
      </c>
      <c r="D267" s="247" t="s">
        <v>152</v>
      </c>
      <c r="E267" s="248"/>
      <c r="F267" s="248"/>
      <c r="G267" s="247" t="s">
        <v>135</v>
      </c>
      <c r="H267" s="248" t="s">
        <v>1400</v>
      </c>
      <c r="I267" s="248" t="s">
        <v>105</v>
      </c>
      <c r="J267" s="300" t="s">
        <v>106</v>
      </c>
      <c r="K267" s="314">
        <f t="shared" ref="K267:R267" si="877">-K266</f>
        <v>-8.27</v>
      </c>
      <c r="L267" s="309">
        <f t="shared" si="877"/>
        <v>-11974</v>
      </c>
      <c r="M267" s="315">
        <f t="shared" si="877"/>
        <v>-1.24</v>
      </c>
      <c r="N267" s="252">
        <f t="shared" si="877"/>
        <v>-1795</v>
      </c>
      <c r="O267" s="251">
        <f t="shared" si="877"/>
        <v>-1.24</v>
      </c>
      <c r="P267" s="252">
        <f t="shared" si="877"/>
        <v>-1795</v>
      </c>
      <c r="Q267" s="251">
        <f t="shared" si="877"/>
        <v>0</v>
      </c>
      <c r="R267" s="252">
        <f t="shared" si="877"/>
        <v>0</v>
      </c>
      <c r="S267" s="253">
        <v>1448.0</v>
      </c>
      <c r="T267" s="254">
        <v>15.0</v>
      </c>
      <c r="U267" s="255" t="s">
        <v>107</v>
      </c>
      <c r="V267" s="255"/>
      <c r="W267" s="304">
        <v>1.3775</v>
      </c>
      <c r="X267" s="304">
        <v>0.0</v>
      </c>
      <c r="Y267" s="304">
        <v>1.3775</v>
      </c>
      <c r="Z267" s="305">
        <f>-Z266</f>
        <v>-6</v>
      </c>
      <c r="AA267" s="306">
        <f t="shared" si="878"/>
        <v>-8.265</v>
      </c>
      <c r="AB267" s="307">
        <f t="shared" si="879"/>
        <v>-11968</v>
      </c>
      <c r="AC267" s="308">
        <f t="shared" si="880"/>
        <v>-8.265</v>
      </c>
      <c r="AD267" s="309">
        <f t="shared" si="824"/>
        <v>-11968</v>
      </c>
      <c r="AE267" s="425"/>
      <c r="AF267" s="425"/>
      <c r="AG267" s="310">
        <f t="shared" si="825"/>
        <v>-8.27</v>
      </c>
      <c r="AH267" s="252">
        <f t="shared" si="826"/>
        <v>-11975</v>
      </c>
      <c r="AI267" s="306">
        <f t="shared" si="881"/>
        <v>-1.24</v>
      </c>
      <c r="AJ267" s="252">
        <f t="shared" si="882"/>
        <v>-1795</v>
      </c>
      <c r="AK267" s="426"/>
      <c r="AL267" s="426"/>
      <c r="AM267" s="426"/>
      <c r="AN267" s="426"/>
      <c r="AO267" s="426"/>
      <c r="AP267" s="426"/>
      <c r="AQ267" s="427"/>
      <c r="AR267" s="427"/>
      <c r="AS267" s="427"/>
      <c r="AT267" s="426"/>
      <c r="AU267" s="410"/>
      <c r="AV267" s="410"/>
      <c r="AW267" s="410"/>
      <c r="AX267" s="410"/>
      <c r="AY267" s="410"/>
      <c r="AZ267" s="410"/>
      <c r="BA267" s="410"/>
      <c r="BB267" s="410"/>
      <c r="BC267" s="410"/>
      <c r="BD267" s="410"/>
      <c r="BE267" s="410"/>
    </row>
    <row r="268" ht="12.75" customHeight="1">
      <c r="A268" s="256" t="s">
        <v>485</v>
      </c>
      <c r="B268" s="257" t="s">
        <v>359</v>
      </c>
      <c r="C268" s="258" t="s">
        <v>360</v>
      </c>
      <c r="D268" s="258" t="s">
        <v>152</v>
      </c>
      <c r="E268" s="259"/>
      <c r="F268" s="259"/>
      <c r="G268" s="258" t="s">
        <v>135</v>
      </c>
      <c r="H268" s="259" t="s">
        <v>1401</v>
      </c>
      <c r="I268" s="259" t="s">
        <v>105</v>
      </c>
      <c r="J268" s="316" t="s">
        <v>106</v>
      </c>
      <c r="K268" s="317">
        <f>ROUND(M268/0.15,2)</f>
        <v>0</v>
      </c>
      <c r="L268" s="318">
        <f>ROUND(N268/0.15,0)</f>
        <v>0</v>
      </c>
      <c r="M268" s="319">
        <f t="shared" ref="M268:N268" si="883">Q268</f>
        <v>0</v>
      </c>
      <c r="N268" s="261">
        <f t="shared" si="883"/>
        <v>0</v>
      </c>
      <c r="O268" s="262">
        <v>1.24</v>
      </c>
      <c r="P268" s="263">
        <v>1795.0</v>
      </c>
      <c r="Q268" s="260">
        <f t="shared" ref="Q268:R268" si="884">M266-O268</f>
        <v>0</v>
      </c>
      <c r="R268" s="261">
        <f t="shared" si="884"/>
        <v>0</v>
      </c>
      <c r="S268" s="264">
        <v>1448.0</v>
      </c>
      <c r="T268" s="265">
        <v>15.0</v>
      </c>
      <c r="U268" s="266" t="s">
        <v>107</v>
      </c>
      <c r="V268" s="266" t="s">
        <v>1402</v>
      </c>
      <c r="W268" s="320">
        <v>1.3775</v>
      </c>
      <c r="X268" s="320">
        <v>0.0</v>
      </c>
      <c r="Y268" s="320">
        <v>1.3775</v>
      </c>
      <c r="Z268" s="321">
        <f>Z266</f>
        <v>6</v>
      </c>
      <c r="AA268" s="426"/>
      <c r="AB268" s="428"/>
      <c r="AC268" s="323">
        <f>IFERROR(ROUND(Z268*X268,2),0)</f>
        <v>0</v>
      </c>
      <c r="AD268" s="318">
        <f t="shared" si="824"/>
        <v>0</v>
      </c>
      <c r="AE268" s="429"/>
      <c r="AF268" s="429"/>
      <c r="AG268" s="324">
        <f t="shared" si="825"/>
        <v>8.27</v>
      </c>
      <c r="AH268" s="261">
        <f t="shared" si="826"/>
        <v>11975</v>
      </c>
      <c r="AI268" s="426"/>
      <c r="AJ268" s="426"/>
      <c r="AK268" s="325">
        <f>ROUND(AC268*0.15,2)</f>
        <v>0</v>
      </c>
      <c r="AL268" s="261">
        <f>ROUND(AD268*0.15,0)</f>
        <v>0</v>
      </c>
      <c r="AM268" s="325"/>
      <c r="AN268" s="325"/>
      <c r="AO268" s="325">
        <f>ROUND(AG268*0.15,2)</f>
        <v>1.24</v>
      </c>
      <c r="AP268" s="261">
        <f>ROUND(AH268*0.15,0)</f>
        <v>1796</v>
      </c>
      <c r="AQ268" s="326"/>
      <c r="AR268" s="326"/>
      <c r="AS268" s="326">
        <f>IFERROR(AC268/K268,IFERROR(AO268/O268,""))</f>
        <v>1</v>
      </c>
      <c r="AT268" s="426"/>
      <c r="AU268" s="410"/>
      <c r="AV268" s="410"/>
      <c r="AW268" s="410"/>
      <c r="AX268" s="410"/>
      <c r="AY268" s="410"/>
      <c r="AZ268" s="410"/>
      <c r="BA268" s="410"/>
      <c r="BB268" s="410"/>
      <c r="BC268" s="410"/>
      <c r="BD268" s="410"/>
      <c r="BE268" s="410"/>
    </row>
    <row r="269" ht="12.75" customHeight="1">
      <c r="A269" s="245" t="s">
        <v>487</v>
      </c>
      <c r="B269" s="246" t="s">
        <v>359</v>
      </c>
      <c r="C269" s="247" t="s">
        <v>360</v>
      </c>
      <c r="D269" s="247" t="s">
        <v>155</v>
      </c>
      <c r="E269" s="248"/>
      <c r="F269" s="248"/>
      <c r="G269" s="247" t="s">
        <v>139</v>
      </c>
      <c r="H269" s="248" t="s">
        <v>1403</v>
      </c>
      <c r="I269" s="248" t="s">
        <v>105</v>
      </c>
      <c r="J269" s="300" t="s">
        <v>106</v>
      </c>
      <c r="K269" s="301">
        <v>4.17</v>
      </c>
      <c r="L269" s="302">
        <v>6116.0</v>
      </c>
      <c r="M269" s="303">
        <v>0.63</v>
      </c>
      <c r="N269" s="250">
        <v>924.0</v>
      </c>
      <c r="O269" s="249">
        <v>0.46</v>
      </c>
      <c r="P269" s="250">
        <v>674.0</v>
      </c>
      <c r="Q269" s="251">
        <f t="shared" ref="Q269:R269" si="885">M269-O269</f>
        <v>0.17</v>
      </c>
      <c r="R269" s="252">
        <f t="shared" si="885"/>
        <v>250</v>
      </c>
      <c r="S269" s="253">
        <v>1466.9</v>
      </c>
      <c r="T269" s="254">
        <v>15.0</v>
      </c>
      <c r="U269" s="255" t="s">
        <v>107</v>
      </c>
      <c r="V269" s="255"/>
      <c r="W269" s="304">
        <v>0.4638</v>
      </c>
      <c r="X269" s="304">
        <v>0.125368</v>
      </c>
      <c r="Y269" s="304">
        <v>0.338432</v>
      </c>
      <c r="Z269" s="305">
        <f>IFERROR(ROUND(K269/W269,0),0)</f>
        <v>9</v>
      </c>
      <c r="AA269" s="306">
        <f t="shared" ref="AA269:AA270" si="887">Z269*W269</f>
        <v>4.1742</v>
      </c>
      <c r="AB269" s="307">
        <f t="shared" ref="AB269:AB270" si="888">ROUND(AA269*S269,0)</f>
        <v>6123</v>
      </c>
      <c r="AC269" s="308">
        <f t="shared" ref="AC269:AC270" si="889">AA269</f>
        <v>4.1742</v>
      </c>
      <c r="AD269" s="309">
        <f t="shared" si="824"/>
        <v>6123</v>
      </c>
      <c r="AE269" s="425"/>
      <c r="AF269" s="425"/>
      <c r="AG269" s="310">
        <f t="shared" si="825"/>
        <v>3.05</v>
      </c>
      <c r="AH269" s="252">
        <f t="shared" si="826"/>
        <v>4474</v>
      </c>
      <c r="AI269" s="306">
        <f t="shared" ref="AI269:AI270" si="890">ROUND(AC269*0.15,2)</f>
        <v>0.63</v>
      </c>
      <c r="AJ269" s="252">
        <f t="shared" ref="AJ269:AJ270" si="891">ROUND(AD269*0.15,0)</f>
        <v>918</v>
      </c>
      <c r="AK269" s="426"/>
      <c r="AL269" s="426"/>
      <c r="AM269" s="426"/>
      <c r="AN269" s="426"/>
      <c r="AO269" s="426"/>
      <c r="AP269" s="426"/>
      <c r="AQ269" s="427"/>
      <c r="AR269" s="427"/>
      <c r="AS269" s="427"/>
      <c r="AT269" s="426"/>
      <c r="AU269" s="410"/>
      <c r="AV269" s="410"/>
      <c r="AW269" s="410"/>
      <c r="AX269" s="410"/>
      <c r="AY269" s="410"/>
      <c r="AZ269" s="410"/>
      <c r="BA269" s="410"/>
      <c r="BB269" s="410"/>
      <c r="BC269" s="410"/>
      <c r="BD269" s="410"/>
      <c r="BE269" s="410"/>
    </row>
    <row r="270" ht="12.75" customHeight="1">
      <c r="A270" s="245" t="s">
        <v>488</v>
      </c>
      <c r="B270" s="246" t="s">
        <v>359</v>
      </c>
      <c r="C270" s="247" t="s">
        <v>360</v>
      </c>
      <c r="D270" s="247" t="s">
        <v>155</v>
      </c>
      <c r="E270" s="248"/>
      <c r="F270" s="248"/>
      <c r="G270" s="247" t="s">
        <v>139</v>
      </c>
      <c r="H270" s="248" t="s">
        <v>1404</v>
      </c>
      <c r="I270" s="248" t="s">
        <v>105</v>
      </c>
      <c r="J270" s="300" t="s">
        <v>106</v>
      </c>
      <c r="K270" s="314">
        <f t="shared" ref="K270:R270" si="886">-K269</f>
        <v>-4.17</v>
      </c>
      <c r="L270" s="309">
        <f t="shared" si="886"/>
        <v>-6116</v>
      </c>
      <c r="M270" s="315">
        <f t="shared" si="886"/>
        <v>-0.63</v>
      </c>
      <c r="N270" s="252">
        <f t="shared" si="886"/>
        <v>-924</v>
      </c>
      <c r="O270" s="251">
        <f t="shared" si="886"/>
        <v>-0.46</v>
      </c>
      <c r="P270" s="252">
        <f t="shared" si="886"/>
        <v>-674</v>
      </c>
      <c r="Q270" s="251">
        <f t="shared" si="886"/>
        <v>-0.17</v>
      </c>
      <c r="R270" s="252">
        <f t="shared" si="886"/>
        <v>-250</v>
      </c>
      <c r="S270" s="253">
        <v>1466.9</v>
      </c>
      <c r="T270" s="254">
        <v>15.0</v>
      </c>
      <c r="U270" s="255" t="s">
        <v>107</v>
      </c>
      <c r="V270" s="255"/>
      <c r="W270" s="304">
        <v>0.4638</v>
      </c>
      <c r="X270" s="304">
        <v>0.125368</v>
      </c>
      <c r="Y270" s="304">
        <v>0.338432</v>
      </c>
      <c r="Z270" s="305">
        <f>-Z269</f>
        <v>-9</v>
      </c>
      <c r="AA270" s="306">
        <f t="shared" si="887"/>
        <v>-4.1742</v>
      </c>
      <c r="AB270" s="307">
        <f t="shared" si="888"/>
        <v>-6123</v>
      </c>
      <c r="AC270" s="308">
        <f t="shared" si="889"/>
        <v>-4.1742</v>
      </c>
      <c r="AD270" s="309">
        <f t="shared" si="824"/>
        <v>-6123</v>
      </c>
      <c r="AE270" s="425"/>
      <c r="AF270" s="425"/>
      <c r="AG270" s="310">
        <f t="shared" si="825"/>
        <v>-3.05</v>
      </c>
      <c r="AH270" s="252">
        <f t="shared" si="826"/>
        <v>-4474</v>
      </c>
      <c r="AI270" s="306">
        <f t="shared" si="890"/>
        <v>-0.63</v>
      </c>
      <c r="AJ270" s="252">
        <f t="shared" si="891"/>
        <v>-918</v>
      </c>
      <c r="AK270" s="426"/>
      <c r="AL270" s="426"/>
      <c r="AM270" s="426"/>
      <c r="AN270" s="426"/>
      <c r="AO270" s="426"/>
      <c r="AP270" s="426"/>
      <c r="AQ270" s="427"/>
      <c r="AR270" s="427"/>
      <c r="AS270" s="427"/>
      <c r="AT270" s="426"/>
      <c r="AU270" s="410"/>
      <c r="AV270" s="410"/>
      <c r="AW270" s="410"/>
      <c r="AX270" s="410"/>
      <c r="AY270" s="410"/>
      <c r="AZ270" s="410"/>
      <c r="BA270" s="410"/>
      <c r="BB270" s="410"/>
      <c r="BC270" s="410"/>
      <c r="BD270" s="410"/>
      <c r="BE270" s="410"/>
    </row>
    <row r="271" ht="12.75" customHeight="1">
      <c r="A271" s="256" t="s">
        <v>489</v>
      </c>
      <c r="B271" s="257" t="s">
        <v>359</v>
      </c>
      <c r="C271" s="258" t="s">
        <v>360</v>
      </c>
      <c r="D271" s="258" t="s">
        <v>155</v>
      </c>
      <c r="E271" s="259"/>
      <c r="F271" s="259"/>
      <c r="G271" s="258" t="s">
        <v>139</v>
      </c>
      <c r="H271" s="259" t="s">
        <v>1405</v>
      </c>
      <c r="I271" s="259" t="s">
        <v>105</v>
      </c>
      <c r="J271" s="316" t="s">
        <v>106</v>
      </c>
      <c r="K271" s="317">
        <f>ROUND(M271/0.15,2)</f>
        <v>1.13</v>
      </c>
      <c r="L271" s="318">
        <f>ROUND(N271/0.15,0)</f>
        <v>1667</v>
      </c>
      <c r="M271" s="319">
        <f t="shared" ref="M271:N271" si="892">Q271</f>
        <v>0.17</v>
      </c>
      <c r="N271" s="261">
        <f t="shared" si="892"/>
        <v>250</v>
      </c>
      <c r="O271" s="262">
        <v>0.46</v>
      </c>
      <c r="P271" s="263">
        <v>674.0</v>
      </c>
      <c r="Q271" s="260">
        <f t="shared" ref="Q271:R271" si="893">M269-O271</f>
        <v>0.17</v>
      </c>
      <c r="R271" s="261">
        <f t="shared" si="893"/>
        <v>250</v>
      </c>
      <c r="S271" s="264">
        <v>1466.9</v>
      </c>
      <c r="T271" s="265">
        <v>15.0</v>
      </c>
      <c r="U271" s="266" t="s">
        <v>107</v>
      </c>
      <c r="V271" s="266" t="s">
        <v>1406</v>
      </c>
      <c r="W271" s="320">
        <v>0.4638</v>
      </c>
      <c r="X271" s="320">
        <v>0.125368</v>
      </c>
      <c r="Y271" s="320">
        <v>0.338432</v>
      </c>
      <c r="Z271" s="321">
        <f>Z269</f>
        <v>9</v>
      </c>
      <c r="AA271" s="426"/>
      <c r="AB271" s="428"/>
      <c r="AC271" s="323">
        <f>IFERROR(ROUND(Z271*X271,2),0)</f>
        <v>1.13</v>
      </c>
      <c r="AD271" s="318">
        <f t="shared" si="824"/>
        <v>1658</v>
      </c>
      <c r="AE271" s="429"/>
      <c r="AF271" s="429"/>
      <c r="AG271" s="324">
        <f t="shared" si="825"/>
        <v>3.05</v>
      </c>
      <c r="AH271" s="261">
        <f t="shared" si="826"/>
        <v>4474</v>
      </c>
      <c r="AI271" s="426"/>
      <c r="AJ271" s="426"/>
      <c r="AK271" s="325">
        <f>ROUND(AC271*0.15,2)</f>
        <v>0.17</v>
      </c>
      <c r="AL271" s="261">
        <f>ROUND(AD271*0.15,0)</f>
        <v>249</v>
      </c>
      <c r="AM271" s="325"/>
      <c r="AN271" s="325"/>
      <c r="AO271" s="325">
        <f>ROUND(AG271*0.15,2)</f>
        <v>0.46</v>
      </c>
      <c r="AP271" s="261">
        <f>ROUND(AH271*0.15,0)</f>
        <v>671</v>
      </c>
      <c r="AQ271" s="326"/>
      <c r="AR271" s="326"/>
      <c r="AS271" s="326">
        <f>IFERROR(AC271/K271,IFERROR(AO271/O271,""))</f>
        <v>1</v>
      </c>
      <c r="AT271" s="426"/>
      <c r="AU271" s="410"/>
      <c r="AV271" s="410"/>
      <c r="AW271" s="410"/>
      <c r="AX271" s="410"/>
      <c r="AY271" s="410"/>
      <c r="AZ271" s="410"/>
      <c r="BA271" s="410"/>
      <c r="BB271" s="410"/>
      <c r="BC271" s="410"/>
      <c r="BD271" s="410"/>
      <c r="BE271" s="410"/>
    </row>
    <row r="272" ht="12.75" customHeight="1">
      <c r="A272" s="267" t="s">
        <v>767</v>
      </c>
      <c r="B272" s="268" t="s">
        <v>359</v>
      </c>
      <c r="C272" s="269" t="s">
        <v>360</v>
      </c>
      <c r="D272" s="269" t="s">
        <v>158</v>
      </c>
      <c r="E272" s="270"/>
      <c r="F272" s="270"/>
      <c r="G272" s="269" t="s">
        <v>288</v>
      </c>
      <c r="H272" s="270" t="s">
        <v>1407</v>
      </c>
      <c r="I272" s="270" t="s">
        <v>105</v>
      </c>
      <c r="J272" s="354" t="s">
        <v>106</v>
      </c>
      <c r="K272" s="355">
        <v>4.79</v>
      </c>
      <c r="L272" s="356">
        <v>7024.0</v>
      </c>
      <c r="M272" s="357">
        <v>0.72</v>
      </c>
      <c r="N272" s="272">
        <v>1055.0</v>
      </c>
      <c r="O272" s="271">
        <v>0.0</v>
      </c>
      <c r="P272" s="272">
        <v>0.0</v>
      </c>
      <c r="Q272" s="273">
        <f t="shared" ref="Q272:R272" si="894">M272-O272</f>
        <v>0.72</v>
      </c>
      <c r="R272" s="274">
        <f t="shared" si="894"/>
        <v>1055</v>
      </c>
      <c r="S272" s="275">
        <v>1466.5</v>
      </c>
      <c r="T272" s="276">
        <v>15.0</v>
      </c>
      <c r="U272" s="277" t="s">
        <v>107</v>
      </c>
      <c r="V272" s="277"/>
      <c r="W272" s="468"/>
      <c r="X272" s="468"/>
      <c r="Y272" s="468"/>
      <c r="Z272" s="468"/>
      <c r="AA272" s="468"/>
      <c r="AB272" s="469"/>
      <c r="AC272" s="470">
        <f t="shared" ref="AC272:AD272" si="895">K272</f>
        <v>4.79</v>
      </c>
      <c r="AD272" s="471">
        <f t="shared" si="895"/>
        <v>7024</v>
      </c>
      <c r="AE272" s="472"/>
      <c r="AF272" s="472"/>
      <c r="AG272" s="473"/>
      <c r="AH272" s="468"/>
      <c r="AI272" s="468"/>
      <c r="AJ272" s="468"/>
      <c r="AK272" s="474">
        <f t="shared" ref="AK272:AL272" si="896">Q272</f>
        <v>0.72</v>
      </c>
      <c r="AL272" s="475">
        <f t="shared" si="896"/>
        <v>1055</v>
      </c>
      <c r="AM272" s="468"/>
      <c r="AN272" s="468"/>
      <c r="AO272" s="468"/>
      <c r="AP272" s="468"/>
      <c r="AQ272" s="476"/>
      <c r="AR272" s="476"/>
      <c r="AS272" s="476"/>
      <c r="AT272" s="468"/>
      <c r="AU272" s="477"/>
      <c r="AV272" s="477"/>
      <c r="AW272" s="477"/>
      <c r="AX272" s="477"/>
      <c r="AY272" s="477"/>
      <c r="AZ272" s="477"/>
      <c r="BA272" s="477"/>
      <c r="BB272" s="477"/>
      <c r="BC272" s="477"/>
      <c r="BD272" s="477"/>
      <c r="BE272" s="477"/>
    </row>
    <row r="273" ht="12.75" customHeight="1">
      <c r="A273" s="245" t="s">
        <v>769</v>
      </c>
      <c r="B273" s="246" t="s">
        <v>359</v>
      </c>
      <c r="C273" s="247" t="s">
        <v>360</v>
      </c>
      <c r="D273" s="247" t="s">
        <v>158</v>
      </c>
      <c r="E273" s="248"/>
      <c r="F273" s="248"/>
      <c r="G273" s="247" t="s">
        <v>127</v>
      </c>
      <c r="H273" s="248" t="s">
        <v>1408</v>
      </c>
      <c r="I273" s="248" t="s">
        <v>105</v>
      </c>
      <c r="J273" s="300" t="s">
        <v>106</v>
      </c>
      <c r="K273" s="301">
        <v>4.72</v>
      </c>
      <c r="L273" s="302">
        <v>6921.0</v>
      </c>
      <c r="M273" s="303">
        <v>0.71</v>
      </c>
      <c r="N273" s="250">
        <v>1041.0</v>
      </c>
      <c r="O273" s="249">
        <v>0.38</v>
      </c>
      <c r="P273" s="250">
        <v>557.0</v>
      </c>
      <c r="Q273" s="251">
        <f t="shared" ref="Q273:R273" si="897">M273-O273</f>
        <v>0.33</v>
      </c>
      <c r="R273" s="252">
        <f t="shared" si="897"/>
        <v>484</v>
      </c>
      <c r="S273" s="253">
        <v>1466.5</v>
      </c>
      <c r="T273" s="254">
        <v>15.0</v>
      </c>
      <c r="U273" s="255" t="s">
        <v>107</v>
      </c>
      <c r="V273" s="255"/>
      <c r="W273" s="304">
        <v>0.7874</v>
      </c>
      <c r="X273" s="304">
        <v>0.372853</v>
      </c>
      <c r="Y273" s="304">
        <v>0.414547</v>
      </c>
      <c r="Z273" s="305">
        <f>IFERROR(ROUND(K273/W273,0),0)</f>
        <v>6</v>
      </c>
      <c r="AA273" s="306">
        <f t="shared" ref="AA273:AA274" si="899">Z273*W273</f>
        <v>4.7244</v>
      </c>
      <c r="AB273" s="307">
        <f t="shared" ref="AB273:AB274" si="900">ROUND(AA273*S273,0)</f>
        <v>6928</v>
      </c>
      <c r="AC273" s="308">
        <f t="shared" ref="AC273:AC274" si="901">AA273</f>
        <v>4.7244</v>
      </c>
      <c r="AD273" s="309">
        <f t="shared" ref="AD273:AD277" si="902">ROUND(AC273*S273,0)</f>
        <v>6928</v>
      </c>
      <c r="AE273" s="425"/>
      <c r="AF273" s="425"/>
      <c r="AG273" s="310">
        <f t="shared" ref="AG273:AG277" si="903">IFERROR(ROUND(Z273*Y273,2),0)</f>
        <v>2.49</v>
      </c>
      <c r="AH273" s="252">
        <f t="shared" ref="AH273:AH277" si="904">ROUND(AG273*S273,0)</f>
        <v>3652</v>
      </c>
      <c r="AI273" s="306">
        <f t="shared" ref="AI273:AI274" si="905">ROUND(AC273*0.15,2)</f>
        <v>0.71</v>
      </c>
      <c r="AJ273" s="252">
        <f t="shared" ref="AJ273:AJ274" si="906">ROUND(AD273*0.15,0)</f>
        <v>1039</v>
      </c>
      <c r="AK273" s="426"/>
      <c r="AL273" s="426"/>
      <c r="AM273" s="426"/>
      <c r="AN273" s="426"/>
      <c r="AO273" s="426"/>
      <c r="AP273" s="426"/>
      <c r="AQ273" s="427"/>
      <c r="AR273" s="427"/>
      <c r="AS273" s="427"/>
      <c r="AT273" s="426"/>
      <c r="AU273" s="410"/>
      <c r="AV273" s="410"/>
      <c r="AW273" s="410"/>
      <c r="AX273" s="410"/>
      <c r="AY273" s="410"/>
      <c r="AZ273" s="410"/>
      <c r="BA273" s="410"/>
      <c r="BB273" s="410"/>
      <c r="BC273" s="410"/>
      <c r="BD273" s="410"/>
      <c r="BE273" s="410"/>
    </row>
    <row r="274" ht="12.75" customHeight="1">
      <c r="A274" s="245" t="s">
        <v>771</v>
      </c>
      <c r="B274" s="246" t="s">
        <v>359</v>
      </c>
      <c r="C274" s="247" t="s">
        <v>360</v>
      </c>
      <c r="D274" s="247" t="s">
        <v>158</v>
      </c>
      <c r="E274" s="248"/>
      <c r="F274" s="248"/>
      <c r="G274" s="247" t="s">
        <v>127</v>
      </c>
      <c r="H274" s="248" t="s">
        <v>1409</v>
      </c>
      <c r="I274" s="248" t="s">
        <v>105</v>
      </c>
      <c r="J274" s="300" t="s">
        <v>106</v>
      </c>
      <c r="K274" s="314">
        <f t="shared" ref="K274:R274" si="898">-K273</f>
        <v>-4.72</v>
      </c>
      <c r="L274" s="309">
        <f t="shared" si="898"/>
        <v>-6921</v>
      </c>
      <c r="M274" s="315">
        <f t="shared" si="898"/>
        <v>-0.71</v>
      </c>
      <c r="N274" s="252">
        <f t="shared" si="898"/>
        <v>-1041</v>
      </c>
      <c r="O274" s="251">
        <f t="shared" si="898"/>
        <v>-0.38</v>
      </c>
      <c r="P274" s="252">
        <f t="shared" si="898"/>
        <v>-557</v>
      </c>
      <c r="Q274" s="251">
        <f t="shared" si="898"/>
        <v>-0.33</v>
      </c>
      <c r="R274" s="252">
        <f t="shared" si="898"/>
        <v>-484</v>
      </c>
      <c r="S274" s="253">
        <v>1466.5</v>
      </c>
      <c r="T274" s="254">
        <v>15.0</v>
      </c>
      <c r="U274" s="255" t="s">
        <v>107</v>
      </c>
      <c r="V274" s="255"/>
      <c r="W274" s="304">
        <v>0.7874</v>
      </c>
      <c r="X274" s="304">
        <v>0.372853</v>
      </c>
      <c r="Y274" s="304">
        <v>0.414547</v>
      </c>
      <c r="Z274" s="305">
        <f>-Z273</f>
        <v>-6</v>
      </c>
      <c r="AA274" s="306">
        <f t="shared" si="899"/>
        <v>-4.7244</v>
      </c>
      <c r="AB274" s="307">
        <f t="shared" si="900"/>
        <v>-6928</v>
      </c>
      <c r="AC274" s="308">
        <f t="shared" si="901"/>
        <v>-4.7244</v>
      </c>
      <c r="AD274" s="309">
        <f t="shared" si="902"/>
        <v>-6928</v>
      </c>
      <c r="AE274" s="425"/>
      <c r="AF274" s="425"/>
      <c r="AG274" s="310">
        <f t="shared" si="903"/>
        <v>-2.49</v>
      </c>
      <c r="AH274" s="252">
        <f t="shared" si="904"/>
        <v>-3652</v>
      </c>
      <c r="AI274" s="306">
        <f t="shared" si="905"/>
        <v>-0.71</v>
      </c>
      <c r="AJ274" s="252">
        <f t="shared" si="906"/>
        <v>-1039</v>
      </c>
      <c r="AK274" s="426"/>
      <c r="AL274" s="426"/>
      <c r="AM274" s="426"/>
      <c r="AN274" s="426"/>
      <c r="AO274" s="426"/>
      <c r="AP274" s="426"/>
      <c r="AQ274" s="427"/>
      <c r="AR274" s="427"/>
      <c r="AS274" s="427"/>
      <c r="AT274" s="426"/>
      <c r="AU274" s="410"/>
      <c r="AV274" s="410"/>
      <c r="AW274" s="410"/>
      <c r="AX274" s="410"/>
      <c r="AY274" s="410"/>
      <c r="AZ274" s="410"/>
      <c r="BA274" s="410"/>
      <c r="BB274" s="410"/>
      <c r="BC274" s="410"/>
      <c r="BD274" s="410"/>
      <c r="BE274" s="410"/>
    </row>
    <row r="275" ht="12.75" customHeight="1">
      <c r="A275" s="256" t="s">
        <v>773</v>
      </c>
      <c r="B275" s="257" t="s">
        <v>359</v>
      </c>
      <c r="C275" s="258" t="s">
        <v>360</v>
      </c>
      <c r="D275" s="258" t="s">
        <v>158</v>
      </c>
      <c r="E275" s="259"/>
      <c r="F275" s="259"/>
      <c r="G275" s="258" t="s">
        <v>127</v>
      </c>
      <c r="H275" s="259" t="s">
        <v>1410</v>
      </c>
      <c r="I275" s="259" t="s">
        <v>105</v>
      </c>
      <c r="J275" s="316" t="s">
        <v>106</v>
      </c>
      <c r="K275" s="317">
        <f>ROUND(M275/0.15,2)</f>
        <v>2.2</v>
      </c>
      <c r="L275" s="318">
        <f>ROUND(N275/0.15,0)</f>
        <v>3227</v>
      </c>
      <c r="M275" s="319">
        <f t="shared" ref="M275:N275" si="907">Q275</f>
        <v>0.33</v>
      </c>
      <c r="N275" s="261">
        <f t="shared" si="907"/>
        <v>484</v>
      </c>
      <c r="O275" s="262">
        <v>0.38</v>
      </c>
      <c r="P275" s="263">
        <v>557.0</v>
      </c>
      <c r="Q275" s="260">
        <f t="shared" ref="Q275:R275" si="908">M273-O275</f>
        <v>0.33</v>
      </c>
      <c r="R275" s="261">
        <f t="shared" si="908"/>
        <v>484</v>
      </c>
      <c r="S275" s="264">
        <v>1466.5</v>
      </c>
      <c r="T275" s="265">
        <v>15.0</v>
      </c>
      <c r="U275" s="266" t="s">
        <v>107</v>
      </c>
      <c r="V275" s="266" t="s">
        <v>1411</v>
      </c>
      <c r="W275" s="320">
        <v>0.7874</v>
      </c>
      <c r="X275" s="320">
        <v>0.372853</v>
      </c>
      <c r="Y275" s="320">
        <v>0.414547</v>
      </c>
      <c r="Z275" s="321">
        <f>Z273</f>
        <v>6</v>
      </c>
      <c r="AA275" s="426"/>
      <c r="AB275" s="428"/>
      <c r="AC275" s="323">
        <f>IFERROR(ROUND(Z275*X275,2),0)</f>
        <v>2.24</v>
      </c>
      <c r="AD275" s="318">
        <f t="shared" si="902"/>
        <v>3285</v>
      </c>
      <c r="AE275" s="429"/>
      <c r="AF275" s="429"/>
      <c r="AG275" s="324">
        <f t="shared" si="903"/>
        <v>2.49</v>
      </c>
      <c r="AH275" s="261">
        <f t="shared" si="904"/>
        <v>3652</v>
      </c>
      <c r="AI275" s="426"/>
      <c r="AJ275" s="426"/>
      <c r="AK275" s="325">
        <f>ROUND(AC275*0.15,2)</f>
        <v>0.34</v>
      </c>
      <c r="AL275" s="261">
        <f>ROUND(AD275*0.15,0)</f>
        <v>493</v>
      </c>
      <c r="AM275" s="325"/>
      <c r="AN275" s="325"/>
      <c r="AO275" s="325">
        <f>ROUND(AG275*0.15,2)</f>
        <v>0.37</v>
      </c>
      <c r="AP275" s="261">
        <f>ROUND(AH275*0.15,0)</f>
        <v>548</v>
      </c>
      <c r="AQ275" s="326"/>
      <c r="AR275" s="326"/>
      <c r="AS275" s="326">
        <f>IFERROR(AC275/K275,IFERROR(AO275/O275,""))</f>
        <v>1.018181818</v>
      </c>
      <c r="AT275" s="426"/>
      <c r="AU275" s="410"/>
      <c r="AV275" s="410"/>
      <c r="AW275" s="410"/>
      <c r="AX275" s="410"/>
      <c r="AY275" s="410"/>
      <c r="AZ275" s="410"/>
      <c r="BA275" s="410"/>
      <c r="BB275" s="410"/>
      <c r="BC275" s="410"/>
      <c r="BD275" s="410"/>
      <c r="BE275" s="410"/>
    </row>
    <row r="276" ht="12.75" customHeight="1">
      <c r="A276" s="245" t="s">
        <v>497</v>
      </c>
      <c r="B276" s="246" t="s">
        <v>359</v>
      </c>
      <c r="C276" s="247" t="s">
        <v>360</v>
      </c>
      <c r="D276" s="247" t="s">
        <v>166</v>
      </c>
      <c r="E276" s="248"/>
      <c r="F276" s="248"/>
      <c r="G276" s="247" t="s">
        <v>377</v>
      </c>
      <c r="H276" s="248" t="s">
        <v>1412</v>
      </c>
      <c r="I276" s="248" t="s">
        <v>105</v>
      </c>
      <c r="J276" s="300" t="s">
        <v>106</v>
      </c>
      <c r="K276" s="301">
        <v>0.2</v>
      </c>
      <c r="L276" s="302">
        <v>293.0</v>
      </c>
      <c r="M276" s="303">
        <v>0.03</v>
      </c>
      <c r="N276" s="250">
        <v>44.0</v>
      </c>
      <c r="O276" s="249">
        <v>0.03</v>
      </c>
      <c r="P276" s="250">
        <v>44.0</v>
      </c>
      <c r="Q276" s="251">
        <f t="shared" ref="Q276:R276" si="909">M276-O276</f>
        <v>0</v>
      </c>
      <c r="R276" s="252">
        <f t="shared" si="909"/>
        <v>0</v>
      </c>
      <c r="S276" s="253">
        <v>1467.0</v>
      </c>
      <c r="T276" s="254">
        <v>15.0</v>
      </c>
      <c r="U276" s="255" t="s">
        <v>107</v>
      </c>
      <c r="V276" s="255"/>
      <c r="W276" s="304">
        <v>0.197726</v>
      </c>
      <c r="X276" s="304">
        <v>0.197726</v>
      </c>
      <c r="Y276" s="304">
        <v>0.0</v>
      </c>
      <c r="Z276" s="305">
        <f>IFERROR(ROUND(K276/W276,0),0)</f>
        <v>1</v>
      </c>
      <c r="AA276" s="306">
        <f t="shared" ref="AA276:AA277" si="911">Z276*W276</f>
        <v>0.197726</v>
      </c>
      <c r="AB276" s="307">
        <f t="shared" ref="AB276:AB277" si="912">ROUND(AA276*S276,0)</f>
        <v>290</v>
      </c>
      <c r="AC276" s="308">
        <f t="shared" ref="AC276:AC277" si="913">AA276</f>
        <v>0.197726</v>
      </c>
      <c r="AD276" s="309">
        <f t="shared" si="902"/>
        <v>290</v>
      </c>
      <c r="AE276" s="425"/>
      <c r="AF276" s="425"/>
      <c r="AG276" s="310">
        <f t="shared" si="903"/>
        <v>0</v>
      </c>
      <c r="AH276" s="252">
        <f t="shared" si="904"/>
        <v>0</v>
      </c>
      <c r="AI276" s="306">
        <f t="shared" ref="AI276:AI277" si="914">ROUND(AC276*0.15,2)</f>
        <v>0.03</v>
      </c>
      <c r="AJ276" s="252">
        <f t="shared" ref="AJ276:AJ277" si="915">ROUND(AD276*0.15,0)</f>
        <v>44</v>
      </c>
      <c r="AK276" s="426"/>
      <c r="AL276" s="426"/>
      <c r="AM276" s="426"/>
      <c r="AN276" s="426"/>
      <c r="AO276" s="426"/>
      <c r="AP276" s="426"/>
      <c r="AQ276" s="427"/>
      <c r="AR276" s="427"/>
      <c r="AS276" s="427"/>
      <c r="AT276" s="430" t="s">
        <v>1274</v>
      </c>
      <c r="AU276" s="431"/>
      <c r="AV276" s="431"/>
      <c r="AW276" s="431"/>
      <c r="AX276" s="431"/>
      <c r="AY276" s="431"/>
      <c r="AZ276" s="431"/>
      <c r="BA276" s="431"/>
      <c r="BB276" s="431"/>
      <c r="BC276" s="431"/>
      <c r="BD276" s="431"/>
      <c r="BE276" s="431"/>
    </row>
    <row r="277" ht="12.75" customHeight="1">
      <c r="A277" s="245" t="s">
        <v>498</v>
      </c>
      <c r="B277" s="246" t="s">
        <v>359</v>
      </c>
      <c r="C277" s="247" t="s">
        <v>360</v>
      </c>
      <c r="D277" s="247" t="s">
        <v>166</v>
      </c>
      <c r="E277" s="248"/>
      <c r="F277" s="248"/>
      <c r="G277" s="247" t="s">
        <v>377</v>
      </c>
      <c r="H277" s="248" t="s">
        <v>1413</v>
      </c>
      <c r="I277" s="248" t="s">
        <v>105</v>
      </c>
      <c r="J277" s="300" t="s">
        <v>106</v>
      </c>
      <c r="K277" s="314">
        <f t="shared" ref="K277:R277" si="910">-K276</f>
        <v>-0.2</v>
      </c>
      <c r="L277" s="309">
        <f t="shared" si="910"/>
        <v>-293</v>
      </c>
      <c r="M277" s="315">
        <f t="shared" si="910"/>
        <v>-0.03</v>
      </c>
      <c r="N277" s="252">
        <f t="shared" si="910"/>
        <v>-44</v>
      </c>
      <c r="O277" s="251">
        <f t="shared" si="910"/>
        <v>-0.03</v>
      </c>
      <c r="P277" s="252">
        <f t="shared" si="910"/>
        <v>-44</v>
      </c>
      <c r="Q277" s="251">
        <f t="shared" si="910"/>
        <v>0</v>
      </c>
      <c r="R277" s="252">
        <f t="shared" si="910"/>
        <v>0</v>
      </c>
      <c r="S277" s="253">
        <v>1467.0</v>
      </c>
      <c r="T277" s="254">
        <v>15.0</v>
      </c>
      <c r="U277" s="255" t="s">
        <v>107</v>
      </c>
      <c r="V277" s="255"/>
      <c r="W277" s="304">
        <v>0.197726</v>
      </c>
      <c r="X277" s="304">
        <v>0.197726</v>
      </c>
      <c r="Y277" s="304">
        <v>0.0</v>
      </c>
      <c r="Z277" s="305">
        <f>-Z276</f>
        <v>-1</v>
      </c>
      <c r="AA277" s="306">
        <f t="shared" si="911"/>
        <v>-0.197726</v>
      </c>
      <c r="AB277" s="307">
        <f t="shared" si="912"/>
        <v>-290</v>
      </c>
      <c r="AC277" s="308">
        <f t="shared" si="913"/>
        <v>-0.197726</v>
      </c>
      <c r="AD277" s="309">
        <f t="shared" si="902"/>
        <v>-290</v>
      </c>
      <c r="AE277" s="425"/>
      <c r="AF277" s="425"/>
      <c r="AG277" s="310">
        <f t="shared" si="903"/>
        <v>0</v>
      </c>
      <c r="AH277" s="252">
        <f t="shared" si="904"/>
        <v>0</v>
      </c>
      <c r="AI277" s="306">
        <f t="shared" si="914"/>
        <v>-0.03</v>
      </c>
      <c r="AJ277" s="252">
        <f t="shared" si="915"/>
        <v>-44</v>
      </c>
      <c r="AK277" s="426"/>
      <c r="AL277" s="426"/>
      <c r="AM277" s="426"/>
      <c r="AN277" s="426"/>
      <c r="AO277" s="426"/>
      <c r="AP277" s="426"/>
      <c r="AQ277" s="427"/>
      <c r="AR277" s="427"/>
      <c r="AS277" s="427"/>
      <c r="AT277" s="430" t="s">
        <v>1274</v>
      </c>
      <c r="AU277" s="431"/>
      <c r="AV277" s="431"/>
      <c r="AW277" s="431"/>
      <c r="AX277" s="431"/>
      <c r="AY277" s="431"/>
      <c r="AZ277" s="431"/>
      <c r="BA277" s="431"/>
      <c r="BB277" s="431"/>
      <c r="BC277" s="431"/>
      <c r="BD277" s="431"/>
      <c r="BE277" s="431"/>
    </row>
    <row r="278" ht="12.75" customHeight="1">
      <c r="A278" s="256" t="s">
        <v>499</v>
      </c>
      <c r="B278" s="257" t="s">
        <v>359</v>
      </c>
      <c r="C278" s="258" t="s">
        <v>360</v>
      </c>
      <c r="D278" s="258" t="s">
        <v>166</v>
      </c>
      <c r="E278" s="259"/>
      <c r="F278" s="259"/>
      <c r="G278" s="258" t="s">
        <v>377</v>
      </c>
      <c r="H278" s="259" t="s">
        <v>1414</v>
      </c>
      <c r="I278" s="259" t="s">
        <v>105</v>
      </c>
      <c r="J278" s="316" t="s">
        <v>106</v>
      </c>
      <c r="K278" s="317">
        <f>ROUND(M278/0.15,2)</f>
        <v>0</v>
      </c>
      <c r="L278" s="318">
        <f>ROUND(N278/0.15,0)</f>
        <v>0</v>
      </c>
      <c r="M278" s="319">
        <f t="shared" ref="M278:N278" si="916">Q278</f>
        <v>0</v>
      </c>
      <c r="N278" s="261">
        <f t="shared" si="916"/>
        <v>0</v>
      </c>
      <c r="O278" s="262">
        <v>0.03</v>
      </c>
      <c r="P278" s="263">
        <v>44.0</v>
      </c>
      <c r="Q278" s="260">
        <f t="shared" ref="Q278:R278" si="917">M276-O278</f>
        <v>0</v>
      </c>
      <c r="R278" s="261">
        <f t="shared" si="917"/>
        <v>0</v>
      </c>
      <c r="S278" s="264">
        <v>1467.0</v>
      </c>
      <c r="T278" s="265">
        <v>15.0</v>
      </c>
      <c r="U278" s="266" t="s">
        <v>107</v>
      </c>
      <c r="V278" s="266" t="s">
        <v>1415</v>
      </c>
      <c r="W278" s="320">
        <v>0.197726</v>
      </c>
      <c r="X278" s="320">
        <v>0.197726</v>
      </c>
      <c r="Y278" s="320">
        <v>0.0</v>
      </c>
      <c r="Z278" s="321">
        <f>Z276</f>
        <v>1</v>
      </c>
      <c r="AA278" s="426"/>
      <c r="AB278" s="428"/>
      <c r="AC278" s="432">
        <f t="shared" ref="AC278:AD278" si="918">K278</f>
        <v>0</v>
      </c>
      <c r="AD278" s="433">
        <f t="shared" si="918"/>
        <v>0</v>
      </c>
      <c r="AE278" s="434"/>
      <c r="AF278" s="434"/>
      <c r="AG278" s="348">
        <f t="shared" ref="AG278:AH278" si="919">round(AO278/0.15,2)</f>
        <v>0.2</v>
      </c>
      <c r="AH278" s="348">
        <f t="shared" si="919"/>
        <v>293.33</v>
      </c>
      <c r="AI278" s="435"/>
      <c r="AJ278" s="435"/>
      <c r="AK278" s="436">
        <f>ROUND(AC278*0.15,2)</f>
        <v>0</v>
      </c>
      <c r="AL278" s="437">
        <f>ROUND(AD278*0.15,0)</f>
        <v>0</v>
      </c>
      <c r="AM278" s="436"/>
      <c r="AN278" s="436"/>
      <c r="AO278" s="436">
        <f t="shared" ref="AO278:AP278" si="920">O278</f>
        <v>0.03</v>
      </c>
      <c r="AP278" s="436">
        <f t="shared" si="920"/>
        <v>44</v>
      </c>
      <c r="AQ278" s="438"/>
      <c r="AR278" s="438"/>
      <c r="AS278" s="438">
        <f>IFERROR(AC278/K278,IFERROR(AO278/O278,""))</f>
        <v>1</v>
      </c>
      <c r="AT278" s="430" t="s">
        <v>1274</v>
      </c>
      <c r="AU278" s="431"/>
      <c r="AV278" s="431"/>
      <c r="AW278" s="431"/>
      <c r="AX278" s="431"/>
      <c r="AY278" s="431"/>
      <c r="AZ278" s="431"/>
      <c r="BA278" s="431"/>
      <c r="BB278" s="431"/>
      <c r="BC278" s="431"/>
      <c r="BD278" s="431"/>
      <c r="BE278" s="431"/>
    </row>
    <row r="279" ht="12.75" customHeight="1">
      <c r="A279" s="439" t="s">
        <v>1416</v>
      </c>
      <c r="B279" s="440" t="str">
        <f t="shared" ref="B279:J279" si="921">B278</f>
        <v>토스증권</v>
      </c>
      <c r="C279" s="441" t="str">
        <f t="shared" si="921"/>
        <v>172-01-064087</v>
      </c>
      <c r="D279" s="441" t="str">
        <f t="shared" si="921"/>
        <v>2025-04-04</v>
      </c>
      <c r="E279" s="441" t="str">
        <f t="shared" si="921"/>
        <v/>
      </c>
      <c r="F279" s="441" t="str">
        <f t="shared" si="921"/>
        <v/>
      </c>
      <c r="G279" s="441" t="str">
        <f t="shared" si="921"/>
        <v>TQQQ</v>
      </c>
      <c r="H279" s="441" t="str">
        <f t="shared" si="921"/>
        <v>프로셰어즈 QQQ 3배 ETF</v>
      </c>
      <c r="I279" s="441" t="str">
        <f t="shared" si="921"/>
        <v>배당소득</v>
      </c>
      <c r="J279" s="440" t="str">
        <f t="shared" si="921"/>
        <v>USD</v>
      </c>
      <c r="K279" s="442"/>
      <c r="L279" s="443"/>
      <c r="M279" s="444"/>
      <c r="N279" s="445"/>
      <c r="O279" s="446"/>
      <c r="P279" s="447"/>
      <c r="Q279" s="446"/>
      <c r="R279" s="448"/>
      <c r="S279" s="449"/>
      <c r="T279" s="450"/>
      <c r="U279" s="451"/>
      <c r="V279" s="451"/>
      <c r="W279" s="452"/>
      <c r="X279" s="452"/>
      <c r="Y279" s="452"/>
      <c r="Z279" s="448"/>
      <c r="AA279" s="446"/>
      <c r="AB279" s="453"/>
      <c r="AC279" s="454"/>
      <c r="AD279" s="455"/>
      <c r="AE279" s="456"/>
      <c r="AF279" s="457"/>
      <c r="AG279" s="458">
        <f>IFERROR(ROUND(AO279/0.15,2),0)</f>
        <v>-0.2</v>
      </c>
      <c r="AH279" s="458">
        <f>IFERROR(ROUND(AP279/0.15,0),0)</f>
        <v>-293</v>
      </c>
      <c r="AI279" s="457"/>
      <c r="AJ279" s="459"/>
      <c r="AK279" s="457"/>
      <c r="AL279" s="459"/>
      <c r="AM279" s="457"/>
      <c r="AN279" s="457"/>
      <c r="AO279" s="460">
        <f t="shared" ref="AO279:AP279" si="922">-AO278</f>
        <v>-0.03</v>
      </c>
      <c r="AP279" s="460">
        <f t="shared" si="922"/>
        <v>-44</v>
      </c>
      <c r="AQ279" s="459"/>
      <c r="AR279" s="459"/>
      <c r="AS279" s="459"/>
      <c r="AT279" s="430" t="s">
        <v>1274</v>
      </c>
      <c r="AU279" s="431"/>
      <c r="AV279" s="431"/>
      <c r="AW279" s="431"/>
      <c r="AX279" s="431"/>
      <c r="AY279" s="431"/>
      <c r="AZ279" s="431"/>
      <c r="BA279" s="431"/>
      <c r="BB279" s="431"/>
      <c r="BC279" s="431"/>
      <c r="BD279" s="431"/>
      <c r="BE279" s="431"/>
    </row>
    <row r="280" ht="12.75" customHeight="1">
      <c r="A280" s="439" t="s">
        <v>1417</v>
      </c>
      <c r="B280" s="440" t="str">
        <f t="shared" ref="B280:J280" si="923">B279</f>
        <v>토스증권</v>
      </c>
      <c r="C280" s="441" t="str">
        <f t="shared" si="923"/>
        <v>172-01-064087</v>
      </c>
      <c r="D280" s="441" t="str">
        <f t="shared" si="923"/>
        <v>2025-04-04</v>
      </c>
      <c r="E280" s="441" t="str">
        <f t="shared" si="923"/>
        <v/>
      </c>
      <c r="F280" s="441" t="str">
        <f t="shared" si="923"/>
        <v/>
      </c>
      <c r="G280" s="441" t="str">
        <f t="shared" si="923"/>
        <v>TQQQ</v>
      </c>
      <c r="H280" s="441" t="str">
        <f t="shared" si="923"/>
        <v>프로셰어즈 QQQ 3배 ETF</v>
      </c>
      <c r="I280" s="441" t="str">
        <f t="shared" si="923"/>
        <v>배당소득</v>
      </c>
      <c r="J280" s="440" t="str">
        <f t="shared" si="923"/>
        <v>USD</v>
      </c>
      <c r="K280" s="442"/>
      <c r="L280" s="443"/>
      <c r="M280" s="444"/>
      <c r="N280" s="445"/>
      <c r="O280" s="446"/>
      <c r="P280" s="447"/>
      <c r="Q280" s="446"/>
      <c r="R280" s="448"/>
      <c r="S280" s="449"/>
      <c r="T280" s="450"/>
      <c r="U280" s="451"/>
      <c r="V280" s="451"/>
      <c r="W280" s="452"/>
      <c r="X280" s="452"/>
      <c r="Y280" s="452"/>
      <c r="Z280" s="448"/>
      <c r="AA280" s="446"/>
      <c r="AB280" s="453"/>
      <c r="AC280" s="454"/>
      <c r="AD280" s="461"/>
      <c r="AE280" s="462">
        <f>IFERROR(ROUND(AM280/0.15,2),0)</f>
        <v>0.2</v>
      </c>
      <c r="AF280" s="458">
        <f>IFERROR(ROUND(AN280/0.15,0),0)</f>
        <v>293</v>
      </c>
      <c r="AG280" s="467"/>
      <c r="AH280" s="467"/>
      <c r="AI280" s="457"/>
      <c r="AJ280" s="459"/>
      <c r="AK280" s="457"/>
      <c r="AL280" s="459"/>
      <c r="AM280" s="460">
        <f t="shared" ref="AM280:AN280" si="924">AO278</f>
        <v>0.03</v>
      </c>
      <c r="AN280" s="460">
        <f t="shared" si="924"/>
        <v>44</v>
      </c>
      <c r="AO280" s="457"/>
      <c r="AP280" s="465"/>
      <c r="AQ280" s="466">
        <f>AF280</f>
        <v>293</v>
      </c>
      <c r="AR280" s="466">
        <f>ROUND(AQ280*0.14,0)</f>
        <v>41</v>
      </c>
      <c r="AS280" s="459"/>
      <c r="AT280" s="430" t="s">
        <v>1274</v>
      </c>
      <c r="AU280" s="431"/>
      <c r="AV280" s="431"/>
      <c r="AW280" s="431"/>
      <c r="AX280" s="431"/>
      <c r="AY280" s="431"/>
      <c r="AZ280" s="431"/>
      <c r="BA280" s="431"/>
      <c r="BB280" s="431"/>
      <c r="BC280" s="431"/>
      <c r="BD280" s="431"/>
      <c r="BE280" s="431"/>
    </row>
    <row r="281" ht="12.75" customHeight="1">
      <c r="A281" s="267" t="s">
        <v>501</v>
      </c>
      <c r="B281" s="268" t="s">
        <v>359</v>
      </c>
      <c r="C281" s="269" t="s">
        <v>360</v>
      </c>
      <c r="D281" s="269" t="s">
        <v>169</v>
      </c>
      <c r="E281" s="270"/>
      <c r="F281" s="270"/>
      <c r="G281" s="269" t="s">
        <v>379</v>
      </c>
      <c r="H281" s="270" t="s">
        <v>1418</v>
      </c>
      <c r="I281" s="270" t="s">
        <v>105</v>
      </c>
      <c r="J281" s="354" t="s">
        <v>106</v>
      </c>
      <c r="K281" s="355">
        <v>6.76</v>
      </c>
      <c r="L281" s="356">
        <v>9729.0</v>
      </c>
      <c r="M281" s="357">
        <v>1.01</v>
      </c>
      <c r="N281" s="272">
        <v>1453.0</v>
      </c>
      <c r="O281" s="271">
        <v>0.0</v>
      </c>
      <c r="P281" s="272">
        <v>0.0</v>
      </c>
      <c r="Q281" s="273">
        <f t="shared" ref="Q281:R281" si="925">M281-O281</f>
        <v>1.01</v>
      </c>
      <c r="R281" s="274">
        <f t="shared" si="925"/>
        <v>1453</v>
      </c>
      <c r="S281" s="275">
        <v>1439.3</v>
      </c>
      <c r="T281" s="276">
        <v>15.0</v>
      </c>
      <c r="U281" s="277" t="s">
        <v>107</v>
      </c>
      <c r="V281" s="277"/>
      <c r="W281" s="468"/>
      <c r="X281" s="468"/>
      <c r="Y281" s="468"/>
      <c r="Z281" s="468"/>
      <c r="AA281" s="468"/>
      <c r="AB281" s="469"/>
      <c r="AC281" s="470">
        <f t="shared" ref="AC281:AD281" si="926">K281</f>
        <v>6.76</v>
      </c>
      <c r="AD281" s="471">
        <f t="shared" si="926"/>
        <v>9729</v>
      </c>
      <c r="AE281" s="472"/>
      <c r="AF281" s="472"/>
      <c r="AG281" s="473"/>
      <c r="AH281" s="468"/>
      <c r="AI281" s="468"/>
      <c r="AJ281" s="468"/>
      <c r="AK281" s="474">
        <f t="shared" ref="AK281:AL281" si="927">Q281</f>
        <v>1.01</v>
      </c>
      <c r="AL281" s="475">
        <f t="shared" si="927"/>
        <v>1453</v>
      </c>
      <c r="AM281" s="468"/>
      <c r="AN281" s="468"/>
      <c r="AO281" s="468"/>
      <c r="AP281" s="468"/>
      <c r="AQ281" s="476"/>
      <c r="AR281" s="476"/>
      <c r="AS281" s="476"/>
      <c r="AT281" s="468"/>
      <c r="AU281" s="477"/>
      <c r="AV281" s="477"/>
      <c r="AW281" s="477"/>
      <c r="AX281" s="477"/>
      <c r="AY281" s="477"/>
      <c r="AZ281" s="477"/>
      <c r="BA281" s="477"/>
      <c r="BB281" s="477"/>
      <c r="BC281" s="477"/>
      <c r="BD281" s="477"/>
      <c r="BE281" s="477"/>
    </row>
    <row r="282" ht="12.75" customHeight="1">
      <c r="A282" s="245" t="s">
        <v>503</v>
      </c>
      <c r="B282" s="246" t="s">
        <v>359</v>
      </c>
      <c r="C282" s="247" t="s">
        <v>360</v>
      </c>
      <c r="D282" s="247" t="s">
        <v>165</v>
      </c>
      <c r="E282" s="248"/>
      <c r="F282" s="248"/>
      <c r="G282" s="247" t="s">
        <v>131</v>
      </c>
      <c r="H282" s="248" t="s">
        <v>1419</v>
      </c>
      <c r="I282" s="248" t="s">
        <v>105</v>
      </c>
      <c r="J282" s="300" t="s">
        <v>106</v>
      </c>
      <c r="K282" s="301">
        <v>3.5</v>
      </c>
      <c r="L282" s="302">
        <v>5130.0</v>
      </c>
      <c r="M282" s="303">
        <v>0.53</v>
      </c>
      <c r="N282" s="250">
        <v>776.0</v>
      </c>
      <c r="O282" s="249">
        <v>0.51</v>
      </c>
      <c r="P282" s="250">
        <v>747.0</v>
      </c>
      <c r="Q282" s="251">
        <f t="shared" ref="Q282:R282" si="928">M282-O282</f>
        <v>0.02</v>
      </c>
      <c r="R282" s="252">
        <f t="shared" si="928"/>
        <v>29</v>
      </c>
      <c r="S282" s="253">
        <v>1465.9</v>
      </c>
      <c r="T282" s="254">
        <v>15.0</v>
      </c>
      <c r="U282" s="255" t="s">
        <v>107</v>
      </c>
      <c r="V282" s="255"/>
      <c r="W282" s="304">
        <v>0.4381</v>
      </c>
      <c r="X282" s="304">
        <v>0.012939</v>
      </c>
      <c r="Y282" s="304">
        <v>0.425161</v>
      </c>
      <c r="Z282" s="305">
        <f>IFERROR(ROUND(K282/W282,0),0)</f>
        <v>8</v>
      </c>
      <c r="AA282" s="306">
        <f t="shared" ref="AA282:AA283" si="930">Z282*W282</f>
        <v>3.5048</v>
      </c>
      <c r="AB282" s="307">
        <f t="shared" ref="AB282:AB283" si="931">ROUND(AA282*S282,0)</f>
        <v>5138</v>
      </c>
      <c r="AC282" s="308">
        <f t="shared" ref="AC282:AC283" si="932">AA282</f>
        <v>3.5048</v>
      </c>
      <c r="AD282" s="309">
        <f t="shared" ref="AD282:AD293" si="933">ROUND(AC282*S282,0)</f>
        <v>5138</v>
      </c>
      <c r="AE282" s="425"/>
      <c r="AF282" s="425"/>
      <c r="AG282" s="310">
        <f t="shared" ref="AG282:AG293" si="934">IFERROR(ROUND(Z282*Y282,2),0)</f>
        <v>3.4</v>
      </c>
      <c r="AH282" s="252">
        <f t="shared" ref="AH282:AH293" si="935">ROUND(AG282*S282,0)</f>
        <v>4984</v>
      </c>
      <c r="AI282" s="306">
        <f t="shared" ref="AI282:AI283" si="936">ROUND(AC282*0.15,2)</f>
        <v>0.53</v>
      </c>
      <c r="AJ282" s="252">
        <f t="shared" ref="AJ282:AJ283" si="937">ROUND(AD282*0.15,0)</f>
        <v>771</v>
      </c>
      <c r="AK282" s="426"/>
      <c r="AL282" s="426"/>
      <c r="AM282" s="426"/>
      <c r="AN282" s="426"/>
      <c r="AO282" s="426"/>
      <c r="AP282" s="426"/>
      <c r="AQ282" s="427"/>
      <c r="AR282" s="427"/>
      <c r="AS282" s="427"/>
      <c r="AT282" s="426"/>
      <c r="AU282" s="410"/>
      <c r="AV282" s="410"/>
      <c r="AW282" s="410"/>
      <c r="AX282" s="410"/>
      <c r="AY282" s="410"/>
      <c r="AZ282" s="410"/>
      <c r="BA282" s="410"/>
      <c r="BB282" s="410"/>
      <c r="BC282" s="410"/>
      <c r="BD282" s="410"/>
      <c r="BE282" s="410"/>
    </row>
    <row r="283" ht="12.75" customHeight="1">
      <c r="A283" s="245" t="s">
        <v>504</v>
      </c>
      <c r="B283" s="246" t="s">
        <v>359</v>
      </c>
      <c r="C283" s="247" t="s">
        <v>360</v>
      </c>
      <c r="D283" s="247" t="s">
        <v>165</v>
      </c>
      <c r="E283" s="248"/>
      <c r="F283" s="248"/>
      <c r="G283" s="247" t="s">
        <v>131</v>
      </c>
      <c r="H283" s="248" t="s">
        <v>1420</v>
      </c>
      <c r="I283" s="248" t="s">
        <v>105</v>
      </c>
      <c r="J283" s="300" t="s">
        <v>106</v>
      </c>
      <c r="K283" s="314">
        <f t="shared" ref="K283:R283" si="929">-K282</f>
        <v>-3.5</v>
      </c>
      <c r="L283" s="309">
        <f t="shared" si="929"/>
        <v>-5130</v>
      </c>
      <c r="M283" s="315">
        <f t="shared" si="929"/>
        <v>-0.53</v>
      </c>
      <c r="N283" s="252">
        <f t="shared" si="929"/>
        <v>-776</v>
      </c>
      <c r="O283" s="251">
        <f t="shared" si="929"/>
        <v>-0.51</v>
      </c>
      <c r="P283" s="252">
        <f t="shared" si="929"/>
        <v>-747</v>
      </c>
      <c r="Q283" s="251">
        <f t="shared" si="929"/>
        <v>-0.02</v>
      </c>
      <c r="R283" s="252">
        <f t="shared" si="929"/>
        <v>-29</v>
      </c>
      <c r="S283" s="253">
        <v>1465.9</v>
      </c>
      <c r="T283" s="254">
        <v>15.0</v>
      </c>
      <c r="U283" s="255" t="s">
        <v>107</v>
      </c>
      <c r="V283" s="255"/>
      <c r="W283" s="304">
        <v>0.4381</v>
      </c>
      <c r="X283" s="304">
        <v>0.012939</v>
      </c>
      <c r="Y283" s="304">
        <v>0.425161</v>
      </c>
      <c r="Z283" s="305">
        <f>-Z282</f>
        <v>-8</v>
      </c>
      <c r="AA283" s="306">
        <f t="shared" si="930"/>
        <v>-3.5048</v>
      </c>
      <c r="AB283" s="307">
        <f t="shared" si="931"/>
        <v>-5138</v>
      </c>
      <c r="AC283" s="308">
        <f t="shared" si="932"/>
        <v>-3.5048</v>
      </c>
      <c r="AD283" s="309">
        <f t="shared" si="933"/>
        <v>-5138</v>
      </c>
      <c r="AE283" s="425"/>
      <c r="AF283" s="425"/>
      <c r="AG283" s="310">
        <f t="shared" si="934"/>
        <v>-3.4</v>
      </c>
      <c r="AH283" s="252">
        <f t="shared" si="935"/>
        <v>-4984</v>
      </c>
      <c r="AI283" s="306">
        <f t="shared" si="936"/>
        <v>-0.53</v>
      </c>
      <c r="AJ283" s="252">
        <f t="shared" si="937"/>
        <v>-771</v>
      </c>
      <c r="AK283" s="426"/>
      <c r="AL283" s="426"/>
      <c r="AM283" s="426"/>
      <c r="AN283" s="426"/>
      <c r="AO283" s="426"/>
      <c r="AP283" s="426"/>
      <c r="AQ283" s="427"/>
      <c r="AR283" s="427"/>
      <c r="AS283" s="427"/>
      <c r="AT283" s="426"/>
      <c r="AU283" s="410"/>
      <c r="AV283" s="410"/>
      <c r="AW283" s="410"/>
      <c r="AX283" s="410"/>
      <c r="AY283" s="410"/>
      <c r="AZ283" s="410"/>
      <c r="BA283" s="410"/>
      <c r="BB283" s="410"/>
      <c r="BC283" s="410"/>
      <c r="BD283" s="410"/>
      <c r="BE283" s="410"/>
    </row>
    <row r="284" ht="12.75" customHeight="1">
      <c r="A284" s="256" t="s">
        <v>505</v>
      </c>
      <c r="B284" s="257" t="s">
        <v>359</v>
      </c>
      <c r="C284" s="258" t="s">
        <v>360</v>
      </c>
      <c r="D284" s="258" t="s">
        <v>165</v>
      </c>
      <c r="E284" s="259"/>
      <c r="F284" s="259"/>
      <c r="G284" s="258" t="s">
        <v>131</v>
      </c>
      <c r="H284" s="259" t="s">
        <v>1421</v>
      </c>
      <c r="I284" s="259" t="s">
        <v>105</v>
      </c>
      <c r="J284" s="316" t="s">
        <v>106</v>
      </c>
      <c r="K284" s="317">
        <f>ROUND(M284/0.15,2)</f>
        <v>0.13</v>
      </c>
      <c r="L284" s="318">
        <f>ROUND(N284/0.15,0)</f>
        <v>193</v>
      </c>
      <c r="M284" s="319">
        <f t="shared" ref="M284:N284" si="938">Q284</f>
        <v>0.02</v>
      </c>
      <c r="N284" s="261">
        <f t="shared" si="938"/>
        <v>29</v>
      </c>
      <c r="O284" s="262">
        <v>0.51</v>
      </c>
      <c r="P284" s="263">
        <v>747.0</v>
      </c>
      <c r="Q284" s="260">
        <f t="shared" ref="Q284:R284" si="939">M282-O284</f>
        <v>0.02</v>
      </c>
      <c r="R284" s="261">
        <f t="shared" si="939"/>
        <v>29</v>
      </c>
      <c r="S284" s="264">
        <v>1465.9</v>
      </c>
      <c r="T284" s="265">
        <v>15.0</v>
      </c>
      <c r="U284" s="266" t="s">
        <v>107</v>
      </c>
      <c r="V284" s="266" t="s">
        <v>1422</v>
      </c>
      <c r="W284" s="320">
        <v>0.4381</v>
      </c>
      <c r="X284" s="320">
        <v>0.012939</v>
      </c>
      <c r="Y284" s="320">
        <v>0.425161</v>
      </c>
      <c r="Z284" s="321">
        <f>Z282</f>
        <v>8</v>
      </c>
      <c r="AA284" s="426"/>
      <c r="AB284" s="428"/>
      <c r="AC284" s="323">
        <f>IFERROR(ROUND(Z284*X284,2),0)</f>
        <v>0.1</v>
      </c>
      <c r="AD284" s="318">
        <f t="shared" si="933"/>
        <v>147</v>
      </c>
      <c r="AE284" s="429"/>
      <c r="AF284" s="429"/>
      <c r="AG284" s="324">
        <f t="shared" si="934"/>
        <v>3.4</v>
      </c>
      <c r="AH284" s="261">
        <f t="shared" si="935"/>
        <v>4984</v>
      </c>
      <c r="AI284" s="426"/>
      <c r="AJ284" s="426"/>
      <c r="AK284" s="325">
        <f>ROUND(AC284*0.15,2)</f>
        <v>0.02</v>
      </c>
      <c r="AL284" s="261">
        <f>ROUND(AD284*0.15,0)</f>
        <v>22</v>
      </c>
      <c r="AM284" s="325"/>
      <c r="AN284" s="325"/>
      <c r="AO284" s="325">
        <f>ROUND(AG284*0.15,2)</f>
        <v>0.51</v>
      </c>
      <c r="AP284" s="261">
        <f>ROUND(AH284*0.15,0)</f>
        <v>748</v>
      </c>
      <c r="AQ284" s="326"/>
      <c r="AR284" s="326"/>
      <c r="AS284" s="326">
        <f>IFERROR(AC284/K284,IFERROR(AO284/O284,""))</f>
        <v>0.7692307692</v>
      </c>
      <c r="AT284" s="426" t="s">
        <v>1055</v>
      </c>
      <c r="AU284" s="410"/>
      <c r="AV284" s="410"/>
      <c r="AW284" s="410"/>
      <c r="AX284" s="410"/>
      <c r="AY284" s="410"/>
      <c r="AZ284" s="410"/>
      <c r="BA284" s="410"/>
      <c r="BB284" s="410"/>
      <c r="BC284" s="410"/>
      <c r="BD284" s="410"/>
      <c r="BE284" s="410"/>
    </row>
    <row r="285" ht="12.75" customHeight="1">
      <c r="A285" s="245" t="s">
        <v>507</v>
      </c>
      <c r="B285" s="246" t="s">
        <v>359</v>
      </c>
      <c r="C285" s="247" t="s">
        <v>360</v>
      </c>
      <c r="D285" s="247" t="s">
        <v>170</v>
      </c>
      <c r="E285" s="248"/>
      <c r="F285" s="248"/>
      <c r="G285" s="247" t="s">
        <v>135</v>
      </c>
      <c r="H285" s="248" t="s">
        <v>1423</v>
      </c>
      <c r="I285" s="248" t="s">
        <v>105</v>
      </c>
      <c r="J285" s="300" t="s">
        <v>106</v>
      </c>
      <c r="K285" s="301">
        <v>8.01</v>
      </c>
      <c r="L285" s="302">
        <v>11433.0</v>
      </c>
      <c r="M285" s="303">
        <v>1.2</v>
      </c>
      <c r="N285" s="250">
        <v>1712.0</v>
      </c>
      <c r="O285" s="249">
        <v>1.2</v>
      </c>
      <c r="P285" s="250">
        <v>1712.0</v>
      </c>
      <c r="Q285" s="251">
        <f t="shared" ref="Q285:R285" si="940">M285-O285</f>
        <v>0</v>
      </c>
      <c r="R285" s="252">
        <f t="shared" si="940"/>
        <v>0</v>
      </c>
      <c r="S285" s="253">
        <v>1427.4</v>
      </c>
      <c r="T285" s="254">
        <v>15.0</v>
      </c>
      <c r="U285" s="255" t="s">
        <v>107</v>
      </c>
      <c r="V285" s="255"/>
      <c r="W285" s="304">
        <v>1.3356</v>
      </c>
      <c r="X285" s="304">
        <v>0.0</v>
      </c>
      <c r="Y285" s="304">
        <v>1.3356</v>
      </c>
      <c r="Z285" s="305">
        <f>IFERROR(ROUND(K285/W285,0),0)</f>
        <v>6</v>
      </c>
      <c r="AA285" s="306">
        <f t="shared" ref="AA285:AA286" si="942">Z285*W285</f>
        <v>8.0136</v>
      </c>
      <c r="AB285" s="307">
        <f t="shared" ref="AB285:AB286" si="943">ROUND(AA285*S285,0)</f>
        <v>11439</v>
      </c>
      <c r="AC285" s="308">
        <f t="shared" ref="AC285:AC286" si="944">AA285</f>
        <v>8.0136</v>
      </c>
      <c r="AD285" s="309">
        <f t="shared" si="933"/>
        <v>11439</v>
      </c>
      <c r="AE285" s="425"/>
      <c r="AF285" s="425"/>
      <c r="AG285" s="310">
        <f t="shared" si="934"/>
        <v>8.01</v>
      </c>
      <c r="AH285" s="252">
        <f t="shared" si="935"/>
        <v>11433</v>
      </c>
      <c r="AI285" s="306">
        <f t="shared" ref="AI285:AI286" si="945">ROUND(AC285*0.15,2)</f>
        <v>1.2</v>
      </c>
      <c r="AJ285" s="252">
        <f t="shared" ref="AJ285:AJ286" si="946">ROUND(AD285*0.15,0)</f>
        <v>1716</v>
      </c>
      <c r="AK285" s="426"/>
      <c r="AL285" s="426"/>
      <c r="AM285" s="426"/>
      <c r="AN285" s="426"/>
      <c r="AO285" s="426"/>
      <c r="AP285" s="426"/>
      <c r="AQ285" s="427"/>
      <c r="AR285" s="427"/>
      <c r="AS285" s="427"/>
      <c r="AT285" s="426"/>
      <c r="AU285" s="410"/>
      <c r="AV285" s="410"/>
      <c r="AW285" s="410"/>
      <c r="AX285" s="410"/>
      <c r="AY285" s="410"/>
      <c r="AZ285" s="410"/>
      <c r="BA285" s="410"/>
      <c r="BB285" s="410"/>
      <c r="BC285" s="410"/>
      <c r="BD285" s="410"/>
      <c r="BE285" s="410"/>
    </row>
    <row r="286" ht="12.75" customHeight="1">
      <c r="A286" s="245" t="s">
        <v>508</v>
      </c>
      <c r="B286" s="246" t="s">
        <v>359</v>
      </c>
      <c r="C286" s="247" t="s">
        <v>360</v>
      </c>
      <c r="D286" s="247" t="s">
        <v>170</v>
      </c>
      <c r="E286" s="248"/>
      <c r="F286" s="248"/>
      <c r="G286" s="247" t="s">
        <v>135</v>
      </c>
      <c r="H286" s="248" t="s">
        <v>1424</v>
      </c>
      <c r="I286" s="248" t="s">
        <v>105</v>
      </c>
      <c r="J286" s="300" t="s">
        <v>106</v>
      </c>
      <c r="K286" s="314">
        <f t="shared" ref="K286:R286" si="941">-K285</f>
        <v>-8.01</v>
      </c>
      <c r="L286" s="309">
        <f t="shared" si="941"/>
        <v>-11433</v>
      </c>
      <c r="M286" s="315">
        <f t="shared" si="941"/>
        <v>-1.2</v>
      </c>
      <c r="N286" s="252">
        <f t="shared" si="941"/>
        <v>-1712</v>
      </c>
      <c r="O286" s="251">
        <f t="shared" si="941"/>
        <v>-1.2</v>
      </c>
      <c r="P286" s="252">
        <f t="shared" si="941"/>
        <v>-1712</v>
      </c>
      <c r="Q286" s="251">
        <f t="shared" si="941"/>
        <v>0</v>
      </c>
      <c r="R286" s="252">
        <f t="shared" si="941"/>
        <v>0</v>
      </c>
      <c r="S286" s="253">
        <v>1427.4</v>
      </c>
      <c r="T286" s="254">
        <v>15.0</v>
      </c>
      <c r="U286" s="255" t="s">
        <v>107</v>
      </c>
      <c r="V286" s="255"/>
      <c r="W286" s="304">
        <v>1.3356</v>
      </c>
      <c r="X286" s="304">
        <v>0.0</v>
      </c>
      <c r="Y286" s="304">
        <v>1.3356</v>
      </c>
      <c r="Z286" s="305">
        <f>-Z285</f>
        <v>-6</v>
      </c>
      <c r="AA286" s="306">
        <f t="shared" si="942"/>
        <v>-8.0136</v>
      </c>
      <c r="AB286" s="307">
        <f t="shared" si="943"/>
        <v>-11439</v>
      </c>
      <c r="AC286" s="308">
        <f t="shared" si="944"/>
        <v>-8.0136</v>
      </c>
      <c r="AD286" s="309">
        <f t="shared" si="933"/>
        <v>-11439</v>
      </c>
      <c r="AE286" s="425"/>
      <c r="AF286" s="425"/>
      <c r="AG286" s="310">
        <f t="shared" si="934"/>
        <v>-8.01</v>
      </c>
      <c r="AH286" s="252">
        <f t="shared" si="935"/>
        <v>-11433</v>
      </c>
      <c r="AI286" s="306">
        <f t="shared" si="945"/>
        <v>-1.2</v>
      </c>
      <c r="AJ286" s="252">
        <f t="shared" si="946"/>
        <v>-1716</v>
      </c>
      <c r="AK286" s="426"/>
      <c r="AL286" s="426"/>
      <c r="AM286" s="426"/>
      <c r="AN286" s="426"/>
      <c r="AO286" s="426"/>
      <c r="AP286" s="426"/>
      <c r="AQ286" s="427"/>
      <c r="AR286" s="427"/>
      <c r="AS286" s="427"/>
      <c r="AT286" s="426"/>
      <c r="AU286" s="410"/>
      <c r="AV286" s="410"/>
      <c r="AW286" s="410"/>
      <c r="AX286" s="410"/>
      <c r="AY286" s="410"/>
      <c r="AZ286" s="410"/>
      <c r="BA286" s="410"/>
      <c r="BB286" s="410"/>
      <c r="BC286" s="410"/>
      <c r="BD286" s="410"/>
      <c r="BE286" s="410"/>
    </row>
    <row r="287" ht="12.75" customHeight="1">
      <c r="A287" s="256" t="s">
        <v>509</v>
      </c>
      <c r="B287" s="257" t="s">
        <v>359</v>
      </c>
      <c r="C287" s="258" t="s">
        <v>360</v>
      </c>
      <c r="D287" s="258" t="s">
        <v>170</v>
      </c>
      <c r="E287" s="259"/>
      <c r="F287" s="259"/>
      <c r="G287" s="258" t="s">
        <v>135</v>
      </c>
      <c r="H287" s="259" t="s">
        <v>1425</v>
      </c>
      <c r="I287" s="259" t="s">
        <v>105</v>
      </c>
      <c r="J287" s="316" t="s">
        <v>106</v>
      </c>
      <c r="K287" s="317">
        <f>ROUND(M287/0.15,2)</f>
        <v>0</v>
      </c>
      <c r="L287" s="318">
        <f>ROUND(N287/0.15,0)</f>
        <v>0</v>
      </c>
      <c r="M287" s="319">
        <f t="shared" ref="M287:N287" si="947">Q287</f>
        <v>0</v>
      </c>
      <c r="N287" s="261">
        <f t="shared" si="947"/>
        <v>0</v>
      </c>
      <c r="O287" s="262">
        <v>1.2</v>
      </c>
      <c r="P287" s="263">
        <v>1712.0</v>
      </c>
      <c r="Q287" s="260">
        <f t="shared" ref="Q287:R287" si="948">M285-O287</f>
        <v>0</v>
      </c>
      <c r="R287" s="261">
        <f t="shared" si="948"/>
        <v>0</v>
      </c>
      <c r="S287" s="264">
        <v>1427.4</v>
      </c>
      <c r="T287" s="265">
        <v>15.0</v>
      </c>
      <c r="U287" s="266" t="s">
        <v>107</v>
      </c>
      <c r="V287" s="266" t="s">
        <v>1426</v>
      </c>
      <c r="W287" s="320">
        <v>1.3356</v>
      </c>
      <c r="X287" s="320">
        <v>0.0</v>
      </c>
      <c r="Y287" s="320">
        <v>1.3356</v>
      </c>
      <c r="Z287" s="321">
        <f>Z285</f>
        <v>6</v>
      </c>
      <c r="AA287" s="426"/>
      <c r="AB287" s="428"/>
      <c r="AC287" s="323">
        <f>IFERROR(ROUND(Z287*X287,2),0)</f>
        <v>0</v>
      </c>
      <c r="AD287" s="318">
        <f t="shared" si="933"/>
        <v>0</v>
      </c>
      <c r="AE287" s="429"/>
      <c r="AF287" s="429"/>
      <c r="AG287" s="324">
        <f t="shared" si="934"/>
        <v>8.01</v>
      </c>
      <c r="AH287" s="261">
        <f t="shared" si="935"/>
        <v>11433</v>
      </c>
      <c r="AI287" s="426"/>
      <c r="AJ287" s="426"/>
      <c r="AK287" s="325">
        <f>ROUND(AC287*0.15,2)</f>
        <v>0</v>
      </c>
      <c r="AL287" s="261">
        <f>ROUND(AD287*0.15,0)</f>
        <v>0</v>
      </c>
      <c r="AM287" s="325"/>
      <c r="AN287" s="325"/>
      <c r="AO287" s="325">
        <f>ROUND(AG287*0.15,2)</f>
        <v>1.2</v>
      </c>
      <c r="AP287" s="261">
        <f>ROUND(AH287*0.15,0)</f>
        <v>1715</v>
      </c>
      <c r="AQ287" s="326"/>
      <c r="AR287" s="326"/>
      <c r="AS287" s="326">
        <f>IFERROR(AC287/K287,IFERROR(AO287/O287,""))</f>
        <v>1</v>
      </c>
      <c r="AT287" s="426"/>
      <c r="AU287" s="410"/>
      <c r="AV287" s="410"/>
      <c r="AW287" s="410"/>
      <c r="AX287" s="410"/>
      <c r="AY287" s="410"/>
      <c r="AZ287" s="410"/>
      <c r="BA287" s="410"/>
      <c r="BB287" s="410"/>
      <c r="BC287" s="410"/>
      <c r="BD287" s="410"/>
      <c r="BE287" s="410"/>
    </row>
    <row r="288" ht="12.75" customHeight="1">
      <c r="A288" s="245" t="s">
        <v>511</v>
      </c>
      <c r="B288" s="246" t="s">
        <v>359</v>
      </c>
      <c r="C288" s="247" t="s">
        <v>360</v>
      </c>
      <c r="D288" s="247" t="s">
        <v>179</v>
      </c>
      <c r="E288" s="248"/>
      <c r="F288" s="248"/>
      <c r="G288" s="247" t="s">
        <v>139</v>
      </c>
      <c r="H288" s="248" t="s">
        <v>1427</v>
      </c>
      <c r="I288" s="248" t="s">
        <v>105</v>
      </c>
      <c r="J288" s="300" t="s">
        <v>106</v>
      </c>
      <c r="K288" s="301">
        <v>5.94</v>
      </c>
      <c r="L288" s="302">
        <v>8443.0</v>
      </c>
      <c r="M288" s="303">
        <v>0.89</v>
      </c>
      <c r="N288" s="250">
        <v>1265.0</v>
      </c>
      <c r="O288" s="249">
        <v>0.65</v>
      </c>
      <c r="P288" s="250">
        <v>923.0</v>
      </c>
      <c r="Q288" s="251">
        <f t="shared" ref="Q288:R288" si="949">M288-O288</f>
        <v>0.24</v>
      </c>
      <c r="R288" s="252">
        <f t="shared" si="949"/>
        <v>342</v>
      </c>
      <c r="S288" s="253">
        <v>1421.5</v>
      </c>
      <c r="T288" s="254">
        <v>15.0</v>
      </c>
      <c r="U288" s="255" t="s">
        <v>107</v>
      </c>
      <c r="V288" s="255"/>
      <c r="W288" s="304">
        <v>0.6598</v>
      </c>
      <c r="X288" s="304">
        <v>0.178349</v>
      </c>
      <c r="Y288" s="304">
        <v>0.481451</v>
      </c>
      <c r="Z288" s="305">
        <f>IFERROR(ROUND(K288/W288,0),0)</f>
        <v>9</v>
      </c>
      <c r="AA288" s="306">
        <f t="shared" ref="AA288:AA289" si="951">Z288*W288</f>
        <v>5.9382</v>
      </c>
      <c r="AB288" s="307">
        <f t="shared" ref="AB288:AB289" si="952">ROUND(AA288*S288,0)</f>
        <v>8441</v>
      </c>
      <c r="AC288" s="308">
        <f t="shared" ref="AC288:AC289" si="953">AA288</f>
        <v>5.9382</v>
      </c>
      <c r="AD288" s="309">
        <f t="shared" si="933"/>
        <v>8441</v>
      </c>
      <c r="AE288" s="425"/>
      <c r="AF288" s="425"/>
      <c r="AG288" s="310">
        <f t="shared" si="934"/>
        <v>4.33</v>
      </c>
      <c r="AH288" s="252">
        <f t="shared" si="935"/>
        <v>6155</v>
      </c>
      <c r="AI288" s="306">
        <f t="shared" ref="AI288:AI289" si="954">ROUND(AC288*0.15,2)</f>
        <v>0.89</v>
      </c>
      <c r="AJ288" s="252">
        <f t="shared" ref="AJ288:AJ289" si="955">ROUND(AD288*0.15,0)</f>
        <v>1266</v>
      </c>
      <c r="AK288" s="426"/>
      <c r="AL288" s="426"/>
      <c r="AM288" s="426"/>
      <c r="AN288" s="426"/>
      <c r="AO288" s="426"/>
      <c r="AP288" s="426"/>
      <c r="AQ288" s="427"/>
      <c r="AR288" s="427"/>
      <c r="AS288" s="427"/>
      <c r="AT288" s="426"/>
      <c r="AU288" s="410"/>
      <c r="AV288" s="410"/>
      <c r="AW288" s="410"/>
      <c r="AX288" s="410"/>
      <c r="AY288" s="410"/>
      <c r="AZ288" s="410"/>
      <c r="BA288" s="410"/>
      <c r="BB288" s="410"/>
      <c r="BC288" s="410"/>
      <c r="BD288" s="410"/>
      <c r="BE288" s="410"/>
    </row>
    <row r="289" ht="12.75" customHeight="1">
      <c r="A289" s="245" t="s">
        <v>512</v>
      </c>
      <c r="B289" s="246" t="s">
        <v>359</v>
      </c>
      <c r="C289" s="247" t="s">
        <v>360</v>
      </c>
      <c r="D289" s="247" t="s">
        <v>179</v>
      </c>
      <c r="E289" s="248"/>
      <c r="F289" s="248"/>
      <c r="G289" s="247" t="s">
        <v>139</v>
      </c>
      <c r="H289" s="248" t="s">
        <v>1428</v>
      </c>
      <c r="I289" s="248" t="s">
        <v>105</v>
      </c>
      <c r="J289" s="300" t="s">
        <v>106</v>
      </c>
      <c r="K289" s="314">
        <f t="shared" ref="K289:R289" si="950">-K288</f>
        <v>-5.94</v>
      </c>
      <c r="L289" s="309">
        <f t="shared" si="950"/>
        <v>-8443</v>
      </c>
      <c r="M289" s="315">
        <f t="shared" si="950"/>
        <v>-0.89</v>
      </c>
      <c r="N289" s="252">
        <f t="shared" si="950"/>
        <v>-1265</v>
      </c>
      <c r="O289" s="251">
        <f t="shared" si="950"/>
        <v>-0.65</v>
      </c>
      <c r="P289" s="252">
        <f t="shared" si="950"/>
        <v>-923</v>
      </c>
      <c r="Q289" s="251">
        <f t="shared" si="950"/>
        <v>-0.24</v>
      </c>
      <c r="R289" s="252">
        <f t="shared" si="950"/>
        <v>-342</v>
      </c>
      <c r="S289" s="253">
        <v>1421.5</v>
      </c>
      <c r="T289" s="254">
        <v>15.0</v>
      </c>
      <c r="U289" s="255" t="s">
        <v>107</v>
      </c>
      <c r="V289" s="255"/>
      <c r="W289" s="304">
        <v>0.6598</v>
      </c>
      <c r="X289" s="304">
        <v>0.178349</v>
      </c>
      <c r="Y289" s="304">
        <v>0.481451</v>
      </c>
      <c r="Z289" s="305">
        <f>-Z288</f>
        <v>-9</v>
      </c>
      <c r="AA289" s="306">
        <f t="shared" si="951"/>
        <v>-5.9382</v>
      </c>
      <c r="AB289" s="307">
        <f t="shared" si="952"/>
        <v>-8441</v>
      </c>
      <c r="AC289" s="308">
        <f t="shared" si="953"/>
        <v>-5.9382</v>
      </c>
      <c r="AD289" s="309">
        <f t="shared" si="933"/>
        <v>-8441</v>
      </c>
      <c r="AE289" s="425"/>
      <c r="AF289" s="425"/>
      <c r="AG289" s="310">
        <f t="shared" si="934"/>
        <v>-4.33</v>
      </c>
      <c r="AH289" s="252">
        <f t="shared" si="935"/>
        <v>-6155</v>
      </c>
      <c r="AI289" s="306">
        <f t="shared" si="954"/>
        <v>-0.89</v>
      </c>
      <c r="AJ289" s="252">
        <f t="shared" si="955"/>
        <v>-1266</v>
      </c>
      <c r="AK289" s="426"/>
      <c r="AL289" s="426"/>
      <c r="AM289" s="426"/>
      <c r="AN289" s="426"/>
      <c r="AO289" s="426"/>
      <c r="AP289" s="426"/>
      <c r="AQ289" s="427"/>
      <c r="AR289" s="427"/>
      <c r="AS289" s="427"/>
      <c r="AT289" s="426"/>
      <c r="AU289" s="410"/>
      <c r="AV289" s="410"/>
      <c r="AW289" s="410"/>
      <c r="AX289" s="410"/>
      <c r="AY289" s="410"/>
      <c r="AZ289" s="410"/>
      <c r="BA289" s="410"/>
      <c r="BB289" s="410"/>
      <c r="BC289" s="410"/>
      <c r="BD289" s="410"/>
      <c r="BE289" s="410"/>
    </row>
    <row r="290" ht="12.75" customHeight="1">
      <c r="A290" s="256" t="s">
        <v>513</v>
      </c>
      <c r="B290" s="257" t="s">
        <v>359</v>
      </c>
      <c r="C290" s="258" t="s">
        <v>360</v>
      </c>
      <c r="D290" s="258" t="s">
        <v>179</v>
      </c>
      <c r="E290" s="259"/>
      <c r="F290" s="259"/>
      <c r="G290" s="258" t="s">
        <v>139</v>
      </c>
      <c r="H290" s="259" t="s">
        <v>1429</v>
      </c>
      <c r="I290" s="259" t="s">
        <v>105</v>
      </c>
      <c r="J290" s="316" t="s">
        <v>106</v>
      </c>
      <c r="K290" s="317">
        <f>ROUND(M290/0.15,2)</f>
        <v>1.6</v>
      </c>
      <c r="L290" s="318">
        <f>ROUND(N290/0.15,0)</f>
        <v>2280</v>
      </c>
      <c r="M290" s="319">
        <f t="shared" ref="M290:N290" si="956">Q290</f>
        <v>0.24</v>
      </c>
      <c r="N290" s="261">
        <f t="shared" si="956"/>
        <v>342</v>
      </c>
      <c r="O290" s="262">
        <v>0.65</v>
      </c>
      <c r="P290" s="263">
        <v>923.0</v>
      </c>
      <c r="Q290" s="260">
        <f t="shared" ref="Q290:R290" si="957">M288-O290</f>
        <v>0.24</v>
      </c>
      <c r="R290" s="261">
        <f t="shared" si="957"/>
        <v>342</v>
      </c>
      <c r="S290" s="264">
        <v>1421.5</v>
      </c>
      <c r="T290" s="265">
        <v>15.0</v>
      </c>
      <c r="U290" s="266" t="s">
        <v>107</v>
      </c>
      <c r="V290" s="266" t="s">
        <v>1430</v>
      </c>
      <c r="W290" s="320">
        <v>0.6598</v>
      </c>
      <c r="X290" s="320">
        <v>0.178349</v>
      </c>
      <c r="Y290" s="320">
        <v>0.481451</v>
      </c>
      <c r="Z290" s="321">
        <f>Z288</f>
        <v>9</v>
      </c>
      <c r="AA290" s="426"/>
      <c r="AB290" s="428"/>
      <c r="AC290" s="323">
        <f>IFERROR(ROUND(Z290*X290,2),0)</f>
        <v>1.61</v>
      </c>
      <c r="AD290" s="318">
        <f t="shared" si="933"/>
        <v>2289</v>
      </c>
      <c r="AE290" s="429"/>
      <c r="AF290" s="429"/>
      <c r="AG290" s="324">
        <f t="shared" si="934"/>
        <v>4.33</v>
      </c>
      <c r="AH290" s="261">
        <f t="shared" si="935"/>
        <v>6155</v>
      </c>
      <c r="AI290" s="426"/>
      <c r="AJ290" s="426"/>
      <c r="AK290" s="325">
        <f>ROUND(AC290*0.15,2)</f>
        <v>0.24</v>
      </c>
      <c r="AL290" s="261">
        <f>ROUND(AD290*0.15,0)</f>
        <v>343</v>
      </c>
      <c r="AM290" s="325"/>
      <c r="AN290" s="325"/>
      <c r="AO290" s="325">
        <f>ROUND(AG290*0.15,2)</f>
        <v>0.65</v>
      </c>
      <c r="AP290" s="261">
        <f>ROUND(AH290*0.15,0)</f>
        <v>923</v>
      </c>
      <c r="AQ290" s="326"/>
      <c r="AR290" s="326"/>
      <c r="AS290" s="326">
        <f>IFERROR(AC290/K290,IFERROR(AO290/O290,""))</f>
        <v>1.00625</v>
      </c>
      <c r="AT290" s="426"/>
      <c r="AU290" s="410"/>
      <c r="AV290" s="410"/>
      <c r="AW290" s="410"/>
      <c r="AX290" s="410"/>
      <c r="AY290" s="410"/>
      <c r="AZ290" s="410"/>
      <c r="BA290" s="410"/>
      <c r="BB290" s="410"/>
      <c r="BC290" s="410"/>
      <c r="BD290" s="410"/>
      <c r="BE290" s="410"/>
    </row>
    <row r="291" ht="12.75" customHeight="1">
      <c r="A291" s="245" t="s">
        <v>793</v>
      </c>
      <c r="B291" s="246" t="s">
        <v>359</v>
      </c>
      <c r="C291" s="247" t="s">
        <v>360</v>
      </c>
      <c r="D291" s="247" t="s">
        <v>185</v>
      </c>
      <c r="E291" s="248"/>
      <c r="F291" s="248"/>
      <c r="G291" s="247" t="s">
        <v>127</v>
      </c>
      <c r="H291" s="248" t="s">
        <v>1431</v>
      </c>
      <c r="I291" s="248" t="s">
        <v>105</v>
      </c>
      <c r="J291" s="300" t="s">
        <v>106</v>
      </c>
      <c r="K291" s="301">
        <v>4.04</v>
      </c>
      <c r="L291" s="302">
        <v>5814.0</v>
      </c>
      <c r="M291" s="303">
        <v>0.61</v>
      </c>
      <c r="N291" s="250">
        <v>877.0</v>
      </c>
      <c r="O291" s="249">
        <v>0.32</v>
      </c>
      <c r="P291" s="250">
        <v>460.0</v>
      </c>
      <c r="Q291" s="251">
        <f t="shared" ref="Q291:R291" si="958">M291-O291</f>
        <v>0.29</v>
      </c>
      <c r="R291" s="252">
        <f t="shared" si="958"/>
        <v>417</v>
      </c>
      <c r="S291" s="253">
        <v>1439.3</v>
      </c>
      <c r="T291" s="254">
        <v>15.0</v>
      </c>
      <c r="U291" s="255" t="s">
        <v>107</v>
      </c>
      <c r="V291" s="255"/>
      <c r="W291" s="304">
        <v>0.6734</v>
      </c>
      <c r="X291" s="304">
        <v>0.318871</v>
      </c>
      <c r="Y291" s="304">
        <v>0.354529</v>
      </c>
      <c r="Z291" s="305">
        <f>IFERROR(ROUND(K291/W291,0),0)</f>
        <v>6</v>
      </c>
      <c r="AA291" s="306">
        <f t="shared" ref="AA291:AA292" si="960">Z291*W291</f>
        <v>4.0404</v>
      </c>
      <c r="AB291" s="307">
        <f t="shared" ref="AB291:AB292" si="961">ROUND(AA291*S291,0)</f>
        <v>5815</v>
      </c>
      <c r="AC291" s="308">
        <f t="shared" ref="AC291:AC292" si="962">AA291</f>
        <v>4.0404</v>
      </c>
      <c r="AD291" s="309">
        <f t="shared" si="933"/>
        <v>5815</v>
      </c>
      <c r="AE291" s="425"/>
      <c r="AF291" s="425"/>
      <c r="AG291" s="310">
        <f t="shared" si="934"/>
        <v>2.13</v>
      </c>
      <c r="AH291" s="252">
        <f t="shared" si="935"/>
        <v>3066</v>
      </c>
      <c r="AI291" s="306">
        <f t="shared" ref="AI291:AI292" si="963">ROUND(AC291*0.15,2)</f>
        <v>0.61</v>
      </c>
      <c r="AJ291" s="252">
        <f t="shared" ref="AJ291:AJ292" si="964">ROUND(AD291*0.15,0)</f>
        <v>872</v>
      </c>
      <c r="AK291" s="426"/>
      <c r="AL291" s="426"/>
      <c r="AM291" s="426"/>
      <c r="AN291" s="426"/>
      <c r="AO291" s="426"/>
      <c r="AP291" s="426"/>
      <c r="AQ291" s="427"/>
      <c r="AR291" s="427"/>
      <c r="AS291" s="427"/>
      <c r="AT291" s="426"/>
      <c r="AU291" s="410"/>
      <c r="AV291" s="410"/>
      <c r="AW291" s="410"/>
      <c r="AX291" s="410"/>
      <c r="AY291" s="410"/>
      <c r="AZ291" s="410"/>
      <c r="BA291" s="410"/>
      <c r="BB291" s="410"/>
      <c r="BC291" s="410"/>
      <c r="BD291" s="410"/>
      <c r="BE291" s="410"/>
    </row>
    <row r="292" ht="12.75" customHeight="1">
      <c r="A292" s="245" t="s">
        <v>795</v>
      </c>
      <c r="B292" s="246" t="s">
        <v>359</v>
      </c>
      <c r="C292" s="247" t="s">
        <v>360</v>
      </c>
      <c r="D292" s="247" t="s">
        <v>185</v>
      </c>
      <c r="E292" s="248"/>
      <c r="F292" s="248"/>
      <c r="G292" s="247" t="s">
        <v>127</v>
      </c>
      <c r="H292" s="248" t="s">
        <v>1432</v>
      </c>
      <c r="I292" s="248" t="s">
        <v>105</v>
      </c>
      <c r="J292" s="300" t="s">
        <v>106</v>
      </c>
      <c r="K292" s="314">
        <f t="shared" ref="K292:R292" si="959">-K291</f>
        <v>-4.04</v>
      </c>
      <c r="L292" s="309">
        <f t="shared" si="959"/>
        <v>-5814</v>
      </c>
      <c r="M292" s="315">
        <f t="shared" si="959"/>
        <v>-0.61</v>
      </c>
      <c r="N292" s="252">
        <f t="shared" si="959"/>
        <v>-877</v>
      </c>
      <c r="O292" s="251">
        <f t="shared" si="959"/>
        <v>-0.32</v>
      </c>
      <c r="P292" s="252">
        <f t="shared" si="959"/>
        <v>-460</v>
      </c>
      <c r="Q292" s="251">
        <f t="shared" si="959"/>
        <v>-0.29</v>
      </c>
      <c r="R292" s="252">
        <f t="shared" si="959"/>
        <v>-417</v>
      </c>
      <c r="S292" s="253">
        <v>1439.3</v>
      </c>
      <c r="T292" s="254">
        <v>15.0</v>
      </c>
      <c r="U292" s="255" t="s">
        <v>107</v>
      </c>
      <c r="V292" s="255"/>
      <c r="W292" s="304">
        <v>0.6734</v>
      </c>
      <c r="X292" s="304">
        <v>0.318871</v>
      </c>
      <c r="Y292" s="304">
        <v>0.354529</v>
      </c>
      <c r="Z292" s="305">
        <f>-Z291</f>
        <v>-6</v>
      </c>
      <c r="AA292" s="306">
        <f t="shared" si="960"/>
        <v>-4.0404</v>
      </c>
      <c r="AB292" s="307">
        <f t="shared" si="961"/>
        <v>-5815</v>
      </c>
      <c r="AC292" s="308">
        <f t="shared" si="962"/>
        <v>-4.0404</v>
      </c>
      <c r="AD292" s="309">
        <f t="shared" si="933"/>
        <v>-5815</v>
      </c>
      <c r="AE292" s="425"/>
      <c r="AF292" s="425"/>
      <c r="AG292" s="310">
        <f t="shared" si="934"/>
        <v>-2.13</v>
      </c>
      <c r="AH292" s="252">
        <f t="shared" si="935"/>
        <v>-3066</v>
      </c>
      <c r="AI292" s="306">
        <f t="shared" si="963"/>
        <v>-0.61</v>
      </c>
      <c r="AJ292" s="252">
        <f t="shared" si="964"/>
        <v>-872</v>
      </c>
      <c r="AK292" s="426"/>
      <c r="AL292" s="426"/>
      <c r="AM292" s="426"/>
      <c r="AN292" s="426"/>
      <c r="AO292" s="426"/>
      <c r="AP292" s="426"/>
      <c r="AQ292" s="427"/>
      <c r="AR292" s="427"/>
      <c r="AS292" s="427"/>
      <c r="AT292" s="426"/>
      <c r="AU292" s="410"/>
      <c r="AV292" s="410"/>
      <c r="AW292" s="410"/>
      <c r="AX292" s="410"/>
      <c r="AY292" s="410"/>
      <c r="AZ292" s="410"/>
      <c r="BA292" s="410"/>
      <c r="BB292" s="410"/>
      <c r="BC292" s="410"/>
      <c r="BD292" s="410"/>
      <c r="BE292" s="410"/>
    </row>
    <row r="293" ht="12.75" customHeight="1">
      <c r="A293" s="256" t="s">
        <v>797</v>
      </c>
      <c r="B293" s="257" t="s">
        <v>359</v>
      </c>
      <c r="C293" s="258" t="s">
        <v>360</v>
      </c>
      <c r="D293" s="258" t="s">
        <v>185</v>
      </c>
      <c r="E293" s="259"/>
      <c r="F293" s="259"/>
      <c r="G293" s="258" t="s">
        <v>127</v>
      </c>
      <c r="H293" s="259" t="s">
        <v>1433</v>
      </c>
      <c r="I293" s="259" t="s">
        <v>105</v>
      </c>
      <c r="J293" s="316" t="s">
        <v>106</v>
      </c>
      <c r="K293" s="317">
        <f>ROUND(M293/0.15,2)</f>
        <v>1.93</v>
      </c>
      <c r="L293" s="318">
        <f>ROUND(N293/0.15,0)</f>
        <v>2780</v>
      </c>
      <c r="M293" s="319">
        <f t="shared" ref="M293:N293" si="965">Q293</f>
        <v>0.29</v>
      </c>
      <c r="N293" s="261">
        <f t="shared" si="965"/>
        <v>417</v>
      </c>
      <c r="O293" s="262">
        <v>0.32</v>
      </c>
      <c r="P293" s="263">
        <v>460.0</v>
      </c>
      <c r="Q293" s="260">
        <f t="shared" ref="Q293:R293" si="966">M291-O293</f>
        <v>0.29</v>
      </c>
      <c r="R293" s="261">
        <f t="shared" si="966"/>
        <v>417</v>
      </c>
      <c r="S293" s="264">
        <v>1439.3</v>
      </c>
      <c r="T293" s="265">
        <v>15.0</v>
      </c>
      <c r="U293" s="266" t="s">
        <v>107</v>
      </c>
      <c r="V293" s="266" t="s">
        <v>1434</v>
      </c>
      <c r="W293" s="320">
        <v>0.6734</v>
      </c>
      <c r="X293" s="320">
        <v>0.318871</v>
      </c>
      <c r="Y293" s="320">
        <v>0.354529</v>
      </c>
      <c r="Z293" s="321">
        <f>Z291</f>
        <v>6</v>
      </c>
      <c r="AA293" s="426"/>
      <c r="AB293" s="428"/>
      <c r="AC293" s="323">
        <f>IFERROR(ROUND(Z293*X293,2),0)</f>
        <v>1.91</v>
      </c>
      <c r="AD293" s="318">
        <f t="shared" si="933"/>
        <v>2749</v>
      </c>
      <c r="AE293" s="429"/>
      <c r="AF293" s="429"/>
      <c r="AG293" s="324">
        <f t="shared" si="934"/>
        <v>2.13</v>
      </c>
      <c r="AH293" s="261">
        <f t="shared" si="935"/>
        <v>3066</v>
      </c>
      <c r="AI293" s="426"/>
      <c r="AJ293" s="426"/>
      <c r="AK293" s="325">
        <f>ROUND(AC293*0.15,2)</f>
        <v>0.29</v>
      </c>
      <c r="AL293" s="261">
        <f>ROUND(AD293*0.15,0)</f>
        <v>412</v>
      </c>
      <c r="AM293" s="325"/>
      <c r="AN293" s="325"/>
      <c r="AO293" s="325">
        <f>ROUND(AG293*0.15,2)</f>
        <v>0.32</v>
      </c>
      <c r="AP293" s="261">
        <f>ROUND(AH293*0.15,0)</f>
        <v>460</v>
      </c>
      <c r="AQ293" s="326"/>
      <c r="AR293" s="326"/>
      <c r="AS293" s="326">
        <f>IFERROR(AC293/K293,IFERROR(AO293/O293,""))</f>
        <v>0.9896373057</v>
      </c>
      <c r="AT293" s="426" t="s">
        <v>1055</v>
      </c>
      <c r="AU293" s="410"/>
      <c r="AV293" s="410"/>
      <c r="AW293" s="410"/>
      <c r="AX293" s="410"/>
      <c r="AY293" s="410"/>
      <c r="AZ293" s="410"/>
      <c r="BA293" s="410"/>
      <c r="BB293" s="410"/>
      <c r="BC293" s="410"/>
      <c r="BD293" s="410"/>
      <c r="BE293" s="410"/>
    </row>
    <row r="294" ht="12.75" customHeight="1">
      <c r="A294" s="267" t="s">
        <v>517</v>
      </c>
      <c r="B294" s="268" t="s">
        <v>359</v>
      </c>
      <c r="C294" s="269" t="s">
        <v>360</v>
      </c>
      <c r="D294" s="269" t="s">
        <v>385</v>
      </c>
      <c r="E294" s="270"/>
      <c r="F294" s="270"/>
      <c r="G294" s="269" t="s">
        <v>288</v>
      </c>
      <c r="H294" s="270" t="s">
        <v>1435</v>
      </c>
      <c r="I294" s="270" t="s">
        <v>105</v>
      </c>
      <c r="J294" s="354" t="s">
        <v>106</v>
      </c>
      <c r="K294" s="355">
        <v>4.87</v>
      </c>
      <c r="L294" s="356">
        <v>7005.0</v>
      </c>
      <c r="M294" s="357">
        <v>0.73</v>
      </c>
      <c r="N294" s="272">
        <v>1050.0</v>
      </c>
      <c r="O294" s="271">
        <v>0.0</v>
      </c>
      <c r="P294" s="272">
        <v>0.0</v>
      </c>
      <c r="Q294" s="273">
        <f t="shared" ref="Q294:R294" si="967">M294-O294</f>
        <v>0.73</v>
      </c>
      <c r="R294" s="274">
        <f t="shared" si="967"/>
        <v>1050</v>
      </c>
      <c r="S294" s="275">
        <v>1438.5</v>
      </c>
      <c r="T294" s="276">
        <v>15.0</v>
      </c>
      <c r="U294" s="277" t="s">
        <v>107</v>
      </c>
      <c r="V294" s="277"/>
      <c r="W294" s="468"/>
      <c r="X294" s="468"/>
      <c r="Y294" s="468"/>
      <c r="Z294" s="468"/>
      <c r="AA294" s="468"/>
      <c r="AB294" s="469"/>
      <c r="AC294" s="470">
        <f t="shared" ref="AC294:AD294" si="968">K294</f>
        <v>4.87</v>
      </c>
      <c r="AD294" s="471">
        <f t="shared" si="968"/>
        <v>7005</v>
      </c>
      <c r="AE294" s="472"/>
      <c r="AF294" s="472"/>
      <c r="AG294" s="473"/>
      <c r="AH294" s="468"/>
      <c r="AI294" s="468"/>
      <c r="AJ294" s="468"/>
      <c r="AK294" s="474">
        <f t="shared" ref="AK294:AL294" si="969">Q294</f>
        <v>0.73</v>
      </c>
      <c r="AL294" s="475">
        <f t="shared" si="969"/>
        <v>1050</v>
      </c>
      <c r="AM294" s="468"/>
      <c r="AN294" s="468"/>
      <c r="AO294" s="468"/>
      <c r="AP294" s="468"/>
      <c r="AQ294" s="476"/>
      <c r="AR294" s="476"/>
      <c r="AS294" s="476"/>
      <c r="AT294" s="468"/>
      <c r="AU294" s="477"/>
      <c r="AV294" s="477"/>
      <c r="AW294" s="477"/>
      <c r="AX294" s="477"/>
      <c r="AY294" s="477"/>
      <c r="AZ294" s="477"/>
      <c r="BA294" s="477"/>
      <c r="BB294" s="477"/>
      <c r="BC294" s="477"/>
      <c r="BD294" s="477"/>
      <c r="BE294" s="477"/>
    </row>
    <row r="295" ht="12.75" customHeight="1">
      <c r="A295" s="245" t="s">
        <v>519</v>
      </c>
      <c r="B295" s="246" t="s">
        <v>359</v>
      </c>
      <c r="C295" s="247" t="s">
        <v>360</v>
      </c>
      <c r="D295" s="247" t="s">
        <v>187</v>
      </c>
      <c r="E295" s="248"/>
      <c r="F295" s="248"/>
      <c r="G295" s="247" t="s">
        <v>131</v>
      </c>
      <c r="H295" s="248" t="s">
        <v>1436</v>
      </c>
      <c r="I295" s="248" t="s">
        <v>105</v>
      </c>
      <c r="J295" s="300" t="s">
        <v>106</v>
      </c>
      <c r="K295" s="301">
        <v>5.21</v>
      </c>
      <c r="L295" s="302">
        <v>7432.0</v>
      </c>
      <c r="M295" s="303">
        <v>0.78</v>
      </c>
      <c r="N295" s="250">
        <v>1112.0</v>
      </c>
      <c r="O295" s="249">
        <v>0.76</v>
      </c>
      <c r="P295" s="250">
        <v>1084.0</v>
      </c>
      <c r="Q295" s="251">
        <f t="shared" ref="Q295:R295" si="970">M295-O295</f>
        <v>0.02</v>
      </c>
      <c r="R295" s="252">
        <f t="shared" si="970"/>
        <v>28</v>
      </c>
      <c r="S295" s="253">
        <v>1426.6</v>
      </c>
      <c r="T295" s="254">
        <v>15.0</v>
      </c>
      <c r="U295" s="255" t="s">
        <v>107</v>
      </c>
      <c r="V295" s="255"/>
      <c r="W295" s="304">
        <v>0.651</v>
      </c>
      <c r="X295" s="304">
        <v>0.019227</v>
      </c>
      <c r="Y295" s="304">
        <v>0.631773</v>
      </c>
      <c r="Z295" s="305">
        <f>IFERROR(ROUND(K295/W295,0),0)</f>
        <v>8</v>
      </c>
      <c r="AA295" s="306">
        <f t="shared" ref="AA295:AA296" si="972">Z295*W295</f>
        <v>5.208</v>
      </c>
      <c r="AB295" s="307">
        <f t="shared" ref="AB295:AB296" si="973">ROUND(AA295*S295,0)</f>
        <v>7430</v>
      </c>
      <c r="AC295" s="308">
        <f t="shared" ref="AC295:AC296" si="974">AA295</f>
        <v>5.208</v>
      </c>
      <c r="AD295" s="309">
        <f t="shared" ref="AD295:AD306" si="975">ROUND(AC295*S295,0)</f>
        <v>7430</v>
      </c>
      <c r="AE295" s="425"/>
      <c r="AF295" s="425"/>
      <c r="AG295" s="310">
        <f t="shared" ref="AG295:AG306" si="976">IFERROR(ROUND(Z295*Y295,2),0)</f>
        <v>5.05</v>
      </c>
      <c r="AH295" s="252">
        <f t="shared" ref="AH295:AH306" si="977">ROUND(AG295*S295,0)</f>
        <v>7204</v>
      </c>
      <c r="AI295" s="306">
        <f t="shared" ref="AI295:AI296" si="978">ROUND(AC295*0.15,2)</f>
        <v>0.78</v>
      </c>
      <c r="AJ295" s="252">
        <f t="shared" ref="AJ295:AJ296" si="979">ROUND(AD295*0.15,0)</f>
        <v>1115</v>
      </c>
      <c r="AK295" s="426"/>
      <c r="AL295" s="426"/>
      <c r="AM295" s="426"/>
      <c r="AN295" s="426"/>
      <c r="AO295" s="426"/>
      <c r="AP295" s="426"/>
      <c r="AQ295" s="427"/>
      <c r="AR295" s="427"/>
      <c r="AS295" s="427"/>
      <c r="AT295" s="426"/>
      <c r="AU295" s="410"/>
      <c r="AV295" s="410"/>
      <c r="AW295" s="410"/>
      <c r="AX295" s="410"/>
      <c r="AY295" s="410"/>
      <c r="AZ295" s="410"/>
      <c r="BA295" s="410"/>
      <c r="BB295" s="410"/>
      <c r="BC295" s="410"/>
      <c r="BD295" s="410"/>
      <c r="BE295" s="410"/>
    </row>
    <row r="296" ht="12.75" customHeight="1">
      <c r="A296" s="245" t="s">
        <v>520</v>
      </c>
      <c r="B296" s="246" t="s">
        <v>359</v>
      </c>
      <c r="C296" s="247" t="s">
        <v>360</v>
      </c>
      <c r="D296" s="247" t="s">
        <v>187</v>
      </c>
      <c r="E296" s="248"/>
      <c r="F296" s="248"/>
      <c r="G296" s="247" t="s">
        <v>131</v>
      </c>
      <c r="H296" s="248" t="s">
        <v>1437</v>
      </c>
      <c r="I296" s="248" t="s">
        <v>105</v>
      </c>
      <c r="J296" s="300" t="s">
        <v>106</v>
      </c>
      <c r="K296" s="314">
        <f t="shared" ref="K296:R296" si="971">-K295</f>
        <v>-5.21</v>
      </c>
      <c r="L296" s="309">
        <f t="shared" si="971"/>
        <v>-7432</v>
      </c>
      <c r="M296" s="315">
        <f t="shared" si="971"/>
        <v>-0.78</v>
      </c>
      <c r="N296" s="252">
        <f t="shared" si="971"/>
        <v>-1112</v>
      </c>
      <c r="O296" s="251">
        <f t="shared" si="971"/>
        <v>-0.76</v>
      </c>
      <c r="P296" s="252">
        <f t="shared" si="971"/>
        <v>-1084</v>
      </c>
      <c r="Q296" s="251">
        <f t="shared" si="971"/>
        <v>-0.02</v>
      </c>
      <c r="R296" s="252">
        <f t="shared" si="971"/>
        <v>-28</v>
      </c>
      <c r="S296" s="253">
        <v>1426.6</v>
      </c>
      <c r="T296" s="254">
        <v>15.0</v>
      </c>
      <c r="U296" s="255" t="s">
        <v>107</v>
      </c>
      <c r="V296" s="255"/>
      <c r="W296" s="304">
        <v>0.651</v>
      </c>
      <c r="X296" s="304">
        <v>0.019227</v>
      </c>
      <c r="Y296" s="304">
        <v>0.631773</v>
      </c>
      <c r="Z296" s="305">
        <f>-Z295</f>
        <v>-8</v>
      </c>
      <c r="AA296" s="306">
        <f t="shared" si="972"/>
        <v>-5.208</v>
      </c>
      <c r="AB296" s="307">
        <f t="shared" si="973"/>
        <v>-7430</v>
      </c>
      <c r="AC296" s="308">
        <f t="shared" si="974"/>
        <v>-5.208</v>
      </c>
      <c r="AD296" s="309">
        <f t="shared" si="975"/>
        <v>-7430</v>
      </c>
      <c r="AE296" s="425"/>
      <c r="AF296" s="425"/>
      <c r="AG296" s="310">
        <f t="shared" si="976"/>
        <v>-5.05</v>
      </c>
      <c r="AH296" s="252">
        <f t="shared" si="977"/>
        <v>-7204</v>
      </c>
      <c r="AI296" s="306">
        <f t="shared" si="978"/>
        <v>-0.78</v>
      </c>
      <c r="AJ296" s="252">
        <f t="shared" si="979"/>
        <v>-1115</v>
      </c>
      <c r="AK296" s="426"/>
      <c r="AL296" s="426"/>
      <c r="AM296" s="426"/>
      <c r="AN296" s="426"/>
      <c r="AO296" s="426"/>
      <c r="AP296" s="426"/>
      <c r="AQ296" s="427"/>
      <c r="AR296" s="427"/>
      <c r="AS296" s="427"/>
      <c r="AT296" s="426"/>
      <c r="AU296" s="410"/>
      <c r="AV296" s="410"/>
      <c r="AW296" s="410"/>
      <c r="AX296" s="410"/>
      <c r="AY296" s="410"/>
      <c r="AZ296" s="410"/>
      <c r="BA296" s="410"/>
      <c r="BB296" s="410"/>
      <c r="BC296" s="410"/>
      <c r="BD296" s="410"/>
      <c r="BE296" s="410"/>
    </row>
    <row r="297" ht="12.75" customHeight="1">
      <c r="A297" s="256" t="s">
        <v>521</v>
      </c>
      <c r="B297" s="257" t="s">
        <v>359</v>
      </c>
      <c r="C297" s="258" t="s">
        <v>360</v>
      </c>
      <c r="D297" s="258" t="s">
        <v>187</v>
      </c>
      <c r="E297" s="259"/>
      <c r="F297" s="259"/>
      <c r="G297" s="258" t="s">
        <v>131</v>
      </c>
      <c r="H297" s="259" t="s">
        <v>1438</v>
      </c>
      <c r="I297" s="259" t="s">
        <v>105</v>
      </c>
      <c r="J297" s="316" t="s">
        <v>106</v>
      </c>
      <c r="K297" s="317">
        <f>ROUND(M297/0.15,2)</f>
        <v>0.13</v>
      </c>
      <c r="L297" s="318">
        <f>ROUND(N297/0.15,0)</f>
        <v>187</v>
      </c>
      <c r="M297" s="319">
        <f t="shared" ref="M297:N297" si="980">Q297</f>
        <v>0.02</v>
      </c>
      <c r="N297" s="261">
        <f t="shared" si="980"/>
        <v>28</v>
      </c>
      <c r="O297" s="262">
        <v>0.76</v>
      </c>
      <c r="P297" s="263">
        <v>1084.0</v>
      </c>
      <c r="Q297" s="260">
        <f t="shared" ref="Q297:R297" si="981">M295-O297</f>
        <v>0.02</v>
      </c>
      <c r="R297" s="261">
        <f t="shared" si="981"/>
        <v>28</v>
      </c>
      <c r="S297" s="264">
        <v>1426.6</v>
      </c>
      <c r="T297" s="265">
        <v>15.0</v>
      </c>
      <c r="U297" s="266" t="s">
        <v>107</v>
      </c>
      <c r="V297" s="266" t="s">
        <v>1439</v>
      </c>
      <c r="W297" s="320">
        <v>0.651</v>
      </c>
      <c r="X297" s="320">
        <v>0.019227</v>
      </c>
      <c r="Y297" s="320">
        <v>0.631773</v>
      </c>
      <c r="Z297" s="321">
        <f>Z295</f>
        <v>8</v>
      </c>
      <c r="AA297" s="426"/>
      <c r="AB297" s="428"/>
      <c r="AC297" s="323">
        <f>IFERROR(ROUND(Z297*X297,2),0)</f>
        <v>0.15</v>
      </c>
      <c r="AD297" s="318">
        <f t="shared" si="975"/>
        <v>214</v>
      </c>
      <c r="AE297" s="429"/>
      <c r="AF297" s="429"/>
      <c r="AG297" s="324">
        <f t="shared" si="976"/>
        <v>5.05</v>
      </c>
      <c r="AH297" s="261">
        <f t="shared" si="977"/>
        <v>7204</v>
      </c>
      <c r="AI297" s="426"/>
      <c r="AJ297" s="426"/>
      <c r="AK297" s="325">
        <f>ROUND(AC297*0.15,2)</f>
        <v>0.02</v>
      </c>
      <c r="AL297" s="261">
        <f>ROUND(AD297*0.15,0)</f>
        <v>32</v>
      </c>
      <c r="AM297" s="325"/>
      <c r="AN297" s="325"/>
      <c r="AO297" s="325">
        <f>ROUND(AG297*0.15,2)</f>
        <v>0.76</v>
      </c>
      <c r="AP297" s="261">
        <f>ROUND(AH297*0.15,0)</f>
        <v>1081</v>
      </c>
      <c r="AQ297" s="326"/>
      <c r="AR297" s="326"/>
      <c r="AS297" s="326">
        <f>IFERROR(AC297/K297,IFERROR(AO297/O297,""))</f>
        <v>1.153846154</v>
      </c>
      <c r="AT297" s="426" t="s">
        <v>1055</v>
      </c>
      <c r="AU297" s="410"/>
      <c r="AV297" s="410"/>
      <c r="AW297" s="410"/>
      <c r="AX297" s="410"/>
      <c r="AY297" s="410"/>
      <c r="AZ297" s="410"/>
      <c r="BA297" s="410"/>
      <c r="BB297" s="410"/>
      <c r="BC297" s="410"/>
      <c r="BD297" s="410"/>
      <c r="BE297" s="410"/>
    </row>
    <row r="298" ht="12.75" customHeight="1">
      <c r="A298" s="245" t="s">
        <v>523</v>
      </c>
      <c r="B298" s="246" t="s">
        <v>359</v>
      </c>
      <c r="C298" s="247" t="s">
        <v>360</v>
      </c>
      <c r="D298" s="247" t="s">
        <v>191</v>
      </c>
      <c r="E298" s="248"/>
      <c r="F298" s="248"/>
      <c r="G298" s="247" t="s">
        <v>135</v>
      </c>
      <c r="H298" s="248" t="s">
        <v>1440</v>
      </c>
      <c r="I298" s="248" t="s">
        <v>105</v>
      </c>
      <c r="J298" s="300" t="s">
        <v>106</v>
      </c>
      <c r="K298" s="301">
        <v>14.24</v>
      </c>
      <c r="L298" s="302">
        <v>19941.0</v>
      </c>
      <c r="M298" s="303">
        <v>2.14</v>
      </c>
      <c r="N298" s="250">
        <v>2996.0</v>
      </c>
      <c r="O298" s="249">
        <v>2.14</v>
      </c>
      <c r="P298" s="250">
        <v>2996.0</v>
      </c>
      <c r="Q298" s="251">
        <f t="shared" ref="Q298:R298" si="982">M298-O298</f>
        <v>0</v>
      </c>
      <c r="R298" s="252">
        <f t="shared" si="982"/>
        <v>0</v>
      </c>
      <c r="S298" s="253">
        <v>1400.4</v>
      </c>
      <c r="T298" s="254">
        <v>15.0</v>
      </c>
      <c r="U298" s="255" t="s">
        <v>107</v>
      </c>
      <c r="V298" s="255"/>
      <c r="W298" s="304">
        <v>2.3734</v>
      </c>
      <c r="X298" s="304">
        <v>0.0</v>
      </c>
      <c r="Y298" s="304">
        <v>2.3734</v>
      </c>
      <c r="Z298" s="305">
        <f>IFERROR(ROUND(K298/W298,0),0)</f>
        <v>6</v>
      </c>
      <c r="AA298" s="306">
        <f t="shared" ref="AA298:AA299" si="984">Z298*W298</f>
        <v>14.2404</v>
      </c>
      <c r="AB298" s="307">
        <f t="shared" ref="AB298:AB299" si="985">ROUND(AA298*S298,0)</f>
        <v>19942</v>
      </c>
      <c r="AC298" s="308">
        <f t="shared" ref="AC298:AC299" si="986">AA298</f>
        <v>14.2404</v>
      </c>
      <c r="AD298" s="309">
        <f t="shared" si="975"/>
        <v>19942</v>
      </c>
      <c r="AE298" s="425"/>
      <c r="AF298" s="425"/>
      <c r="AG298" s="310">
        <f t="shared" si="976"/>
        <v>14.24</v>
      </c>
      <c r="AH298" s="252">
        <f t="shared" si="977"/>
        <v>19942</v>
      </c>
      <c r="AI298" s="306">
        <f t="shared" ref="AI298:AI299" si="987">ROUND(AC298*0.15,2)</f>
        <v>2.14</v>
      </c>
      <c r="AJ298" s="252">
        <f t="shared" ref="AJ298:AJ299" si="988">ROUND(AD298*0.15,0)</f>
        <v>2991</v>
      </c>
      <c r="AK298" s="426"/>
      <c r="AL298" s="426"/>
      <c r="AM298" s="426"/>
      <c r="AN298" s="426"/>
      <c r="AO298" s="426"/>
      <c r="AP298" s="426"/>
      <c r="AQ298" s="427"/>
      <c r="AR298" s="427"/>
      <c r="AS298" s="427"/>
      <c r="AT298" s="426"/>
      <c r="AU298" s="410"/>
      <c r="AV298" s="410"/>
      <c r="AW298" s="410"/>
      <c r="AX298" s="410"/>
      <c r="AY298" s="410"/>
      <c r="AZ298" s="410"/>
      <c r="BA298" s="410"/>
      <c r="BB298" s="410"/>
      <c r="BC298" s="410"/>
      <c r="BD298" s="410"/>
      <c r="BE298" s="410"/>
    </row>
    <row r="299" ht="12.75" customHeight="1">
      <c r="A299" s="245" t="s">
        <v>524</v>
      </c>
      <c r="B299" s="246" t="s">
        <v>359</v>
      </c>
      <c r="C299" s="247" t="s">
        <v>360</v>
      </c>
      <c r="D299" s="247" t="s">
        <v>191</v>
      </c>
      <c r="E299" s="248"/>
      <c r="F299" s="248"/>
      <c r="G299" s="247" t="s">
        <v>135</v>
      </c>
      <c r="H299" s="248" t="s">
        <v>1441</v>
      </c>
      <c r="I299" s="248" t="s">
        <v>105</v>
      </c>
      <c r="J299" s="300" t="s">
        <v>106</v>
      </c>
      <c r="K299" s="314">
        <f t="shared" ref="K299:R299" si="983">-K298</f>
        <v>-14.24</v>
      </c>
      <c r="L299" s="309">
        <f t="shared" si="983"/>
        <v>-19941</v>
      </c>
      <c r="M299" s="315">
        <f t="shared" si="983"/>
        <v>-2.14</v>
      </c>
      <c r="N299" s="252">
        <f t="shared" si="983"/>
        <v>-2996</v>
      </c>
      <c r="O299" s="251">
        <f t="shared" si="983"/>
        <v>-2.14</v>
      </c>
      <c r="P299" s="252">
        <f t="shared" si="983"/>
        <v>-2996</v>
      </c>
      <c r="Q299" s="251">
        <f t="shared" si="983"/>
        <v>0</v>
      </c>
      <c r="R299" s="252">
        <f t="shared" si="983"/>
        <v>0</v>
      </c>
      <c r="S299" s="253">
        <v>1400.4</v>
      </c>
      <c r="T299" s="254">
        <v>15.0</v>
      </c>
      <c r="U299" s="255" t="s">
        <v>107</v>
      </c>
      <c r="V299" s="255"/>
      <c r="W299" s="304">
        <v>2.3734</v>
      </c>
      <c r="X299" s="304">
        <v>0.0</v>
      </c>
      <c r="Y299" s="304">
        <v>2.3734</v>
      </c>
      <c r="Z299" s="305">
        <f>-Z298</f>
        <v>-6</v>
      </c>
      <c r="AA299" s="306">
        <f t="shared" si="984"/>
        <v>-14.2404</v>
      </c>
      <c r="AB299" s="307">
        <f t="shared" si="985"/>
        <v>-19942</v>
      </c>
      <c r="AC299" s="308">
        <f t="shared" si="986"/>
        <v>-14.2404</v>
      </c>
      <c r="AD299" s="309">
        <f t="shared" si="975"/>
        <v>-19942</v>
      </c>
      <c r="AE299" s="425"/>
      <c r="AF299" s="425"/>
      <c r="AG299" s="310">
        <f t="shared" si="976"/>
        <v>-14.24</v>
      </c>
      <c r="AH299" s="252">
        <f t="shared" si="977"/>
        <v>-19942</v>
      </c>
      <c r="AI299" s="306">
        <f t="shared" si="987"/>
        <v>-2.14</v>
      </c>
      <c r="AJ299" s="252">
        <f t="shared" si="988"/>
        <v>-2991</v>
      </c>
      <c r="AK299" s="426"/>
      <c r="AL299" s="426"/>
      <c r="AM299" s="426"/>
      <c r="AN299" s="426"/>
      <c r="AO299" s="426"/>
      <c r="AP299" s="426"/>
      <c r="AQ299" s="427"/>
      <c r="AR299" s="427"/>
      <c r="AS299" s="427"/>
      <c r="AT299" s="426"/>
      <c r="AU299" s="410"/>
      <c r="AV299" s="410"/>
      <c r="AW299" s="410"/>
      <c r="AX299" s="410"/>
      <c r="AY299" s="410"/>
      <c r="AZ299" s="410"/>
      <c r="BA299" s="410"/>
      <c r="BB299" s="410"/>
      <c r="BC299" s="410"/>
      <c r="BD299" s="410"/>
      <c r="BE299" s="410"/>
    </row>
    <row r="300" ht="12.75" customHeight="1">
      <c r="A300" s="256" t="s">
        <v>525</v>
      </c>
      <c r="B300" s="257" t="s">
        <v>359</v>
      </c>
      <c r="C300" s="258" t="s">
        <v>360</v>
      </c>
      <c r="D300" s="258" t="s">
        <v>191</v>
      </c>
      <c r="E300" s="259"/>
      <c r="F300" s="259"/>
      <c r="G300" s="258" t="s">
        <v>135</v>
      </c>
      <c r="H300" s="259" t="s">
        <v>1442</v>
      </c>
      <c r="I300" s="259" t="s">
        <v>105</v>
      </c>
      <c r="J300" s="316" t="s">
        <v>106</v>
      </c>
      <c r="K300" s="317">
        <f>ROUND(M300/0.15,2)</f>
        <v>0</v>
      </c>
      <c r="L300" s="318">
        <f>ROUND(N300/0.15,0)</f>
        <v>0</v>
      </c>
      <c r="M300" s="319">
        <f t="shared" ref="M300:N300" si="989">Q300</f>
        <v>0</v>
      </c>
      <c r="N300" s="261">
        <f t="shared" si="989"/>
        <v>0</v>
      </c>
      <c r="O300" s="262">
        <v>2.14</v>
      </c>
      <c r="P300" s="263">
        <v>2996.0</v>
      </c>
      <c r="Q300" s="260">
        <f t="shared" ref="Q300:R300" si="990">M298-O300</f>
        <v>0</v>
      </c>
      <c r="R300" s="261">
        <f t="shared" si="990"/>
        <v>0</v>
      </c>
      <c r="S300" s="264">
        <v>1400.4</v>
      </c>
      <c r="T300" s="265">
        <v>15.0</v>
      </c>
      <c r="U300" s="266" t="s">
        <v>107</v>
      </c>
      <c r="V300" s="266" t="s">
        <v>1443</v>
      </c>
      <c r="W300" s="320">
        <v>2.3734</v>
      </c>
      <c r="X300" s="320">
        <v>0.0</v>
      </c>
      <c r="Y300" s="320">
        <v>2.3734</v>
      </c>
      <c r="Z300" s="321">
        <f>Z298</f>
        <v>6</v>
      </c>
      <c r="AA300" s="426"/>
      <c r="AB300" s="428"/>
      <c r="AC300" s="323">
        <f>IFERROR(ROUND(Z300*X300,2),0)</f>
        <v>0</v>
      </c>
      <c r="AD300" s="318">
        <f t="shared" si="975"/>
        <v>0</v>
      </c>
      <c r="AE300" s="429"/>
      <c r="AF300" s="429"/>
      <c r="AG300" s="324">
        <f t="shared" si="976"/>
        <v>14.24</v>
      </c>
      <c r="AH300" s="261">
        <f t="shared" si="977"/>
        <v>19942</v>
      </c>
      <c r="AI300" s="426"/>
      <c r="AJ300" s="426"/>
      <c r="AK300" s="325">
        <f>ROUND(AC300*0.15,2)</f>
        <v>0</v>
      </c>
      <c r="AL300" s="261">
        <f>ROUND(AD300*0.15,0)</f>
        <v>0</v>
      </c>
      <c r="AM300" s="325"/>
      <c r="AN300" s="325"/>
      <c r="AO300" s="325">
        <f>ROUND(AG300*0.15,2)</f>
        <v>2.14</v>
      </c>
      <c r="AP300" s="261">
        <f>ROUND(AH300*0.15,0)</f>
        <v>2991</v>
      </c>
      <c r="AQ300" s="326"/>
      <c r="AR300" s="326"/>
      <c r="AS300" s="326">
        <f>IFERROR(AC300/K300,IFERROR(AO300/O300,""))</f>
        <v>1</v>
      </c>
      <c r="AT300" s="426"/>
      <c r="AU300" s="410"/>
      <c r="AV300" s="410"/>
      <c r="AW300" s="410"/>
      <c r="AX300" s="410"/>
      <c r="AY300" s="410"/>
      <c r="AZ300" s="410"/>
      <c r="BA300" s="410"/>
      <c r="BB300" s="410"/>
      <c r="BC300" s="410"/>
      <c r="BD300" s="410"/>
      <c r="BE300" s="410"/>
    </row>
    <row r="301" ht="12.75" customHeight="1">
      <c r="A301" s="245" t="s">
        <v>527</v>
      </c>
      <c r="B301" s="246" t="s">
        <v>359</v>
      </c>
      <c r="C301" s="247" t="s">
        <v>360</v>
      </c>
      <c r="D301" s="247" t="s">
        <v>195</v>
      </c>
      <c r="E301" s="248"/>
      <c r="F301" s="248"/>
      <c r="G301" s="247" t="s">
        <v>139</v>
      </c>
      <c r="H301" s="248" t="s">
        <v>1444</v>
      </c>
      <c r="I301" s="248" t="s">
        <v>105</v>
      </c>
      <c r="J301" s="300" t="s">
        <v>106</v>
      </c>
      <c r="K301" s="301">
        <v>6.84</v>
      </c>
      <c r="L301" s="302">
        <v>9562.0</v>
      </c>
      <c r="M301" s="303">
        <v>1.03</v>
      </c>
      <c r="N301" s="250">
        <v>1439.0</v>
      </c>
      <c r="O301" s="249">
        <v>0.75</v>
      </c>
      <c r="P301" s="250">
        <v>1048.0</v>
      </c>
      <c r="Q301" s="251">
        <f t="shared" ref="Q301:R301" si="991">M301-O301</f>
        <v>0.28</v>
      </c>
      <c r="R301" s="252">
        <f t="shared" si="991"/>
        <v>391</v>
      </c>
      <c r="S301" s="253">
        <v>1398.0</v>
      </c>
      <c r="T301" s="254">
        <v>15.0</v>
      </c>
      <c r="U301" s="255" t="s">
        <v>107</v>
      </c>
      <c r="V301" s="255"/>
      <c r="W301" s="304">
        <v>0.76</v>
      </c>
      <c r="X301" s="304">
        <v>0.205434</v>
      </c>
      <c r="Y301" s="304">
        <v>0.554566</v>
      </c>
      <c r="Z301" s="305">
        <f>IFERROR(ROUND(K301/W301,0),0)</f>
        <v>9</v>
      </c>
      <c r="AA301" s="306">
        <f t="shared" ref="AA301:AA302" si="993">Z301*W301</f>
        <v>6.84</v>
      </c>
      <c r="AB301" s="307">
        <f t="shared" ref="AB301:AB302" si="994">ROUND(AA301*S301,0)</f>
        <v>9562</v>
      </c>
      <c r="AC301" s="308">
        <f t="shared" ref="AC301:AC302" si="995">AA301</f>
        <v>6.84</v>
      </c>
      <c r="AD301" s="309">
        <f t="shared" si="975"/>
        <v>9562</v>
      </c>
      <c r="AE301" s="425"/>
      <c r="AF301" s="425"/>
      <c r="AG301" s="310">
        <f t="shared" si="976"/>
        <v>4.99</v>
      </c>
      <c r="AH301" s="252">
        <f t="shared" si="977"/>
        <v>6976</v>
      </c>
      <c r="AI301" s="306">
        <f t="shared" ref="AI301:AI302" si="996">ROUND(AC301*0.15,2)</f>
        <v>1.03</v>
      </c>
      <c r="AJ301" s="252">
        <f t="shared" ref="AJ301:AJ302" si="997">ROUND(AD301*0.15,0)</f>
        <v>1434</v>
      </c>
      <c r="AK301" s="426"/>
      <c r="AL301" s="426"/>
      <c r="AM301" s="426"/>
      <c r="AN301" s="426"/>
      <c r="AO301" s="426"/>
      <c r="AP301" s="426"/>
      <c r="AQ301" s="427"/>
      <c r="AR301" s="427"/>
      <c r="AS301" s="427"/>
      <c r="AT301" s="426"/>
      <c r="AU301" s="410"/>
      <c r="AV301" s="410"/>
      <c r="AW301" s="410"/>
      <c r="AX301" s="410"/>
      <c r="AY301" s="410"/>
      <c r="AZ301" s="410"/>
      <c r="BA301" s="410"/>
      <c r="BB301" s="410"/>
      <c r="BC301" s="410"/>
      <c r="BD301" s="410"/>
      <c r="BE301" s="410"/>
    </row>
    <row r="302" ht="12.75" customHeight="1">
      <c r="A302" s="245" t="s">
        <v>528</v>
      </c>
      <c r="B302" s="246" t="s">
        <v>359</v>
      </c>
      <c r="C302" s="247" t="s">
        <v>360</v>
      </c>
      <c r="D302" s="247" t="s">
        <v>195</v>
      </c>
      <c r="E302" s="248"/>
      <c r="F302" s="248"/>
      <c r="G302" s="247" t="s">
        <v>139</v>
      </c>
      <c r="H302" s="248" t="s">
        <v>1445</v>
      </c>
      <c r="I302" s="248" t="s">
        <v>105</v>
      </c>
      <c r="J302" s="300" t="s">
        <v>106</v>
      </c>
      <c r="K302" s="314">
        <f t="shared" ref="K302:R302" si="992">-K301</f>
        <v>-6.84</v>
      </c>
      <c r="L302" s="309">
        <f t="shared" si="992"/>
        <v>-9562</v>
      </c>
      <c r="M302" s="315">
        <f t="shared" si="992"/>
        <v>-1.03</v>
      </c>
      <c r="N302" s="252">
        <f t="shared" si="992"/>
        <v>-1439</v>
      </c>
      <c r="O302" s="251">
        <f t="shared" si="992"/>
        <v>-0.75</v>
      </c>
      <c r="P302" s="252">
        <f t="shared" si="992"/>
        <v>-1048</v>
      </c>
      <c r="Q302" s="251">
        <f t="shared" si="992"/>
        <v>-0.28</v>
      </c>
      <c r="R302" s="252">
        <f t="shared" si="992"/>
        <v>-391</v>
      </c>
      <c r="S302" s="253">
        <v>1398.0</v>
      </c>
      <c r="T302" s="254">
        <v>15.0</v>
      </c>
      <c r="U302" s="255" t="s">
        <v>107</v>
      </c>
      <c r="V302" s="255"/>
      <c r="W302" s="304">
        <v>0.76</v>
      </c>
      <c r="X302" s="304">
        <v>0.205434</v>
      </c>
      <c r="Y302" s="304">
        <v>0.554566</v>
      </c>
      <c r="Z302" s="305">
        <f>-Z301</f>
        <v>-9</v>
      </c>
      <c r="AA302" s="306">
        <f t="shared" si="993"/>
        <v>-6.84</v>
      </c>
      <c r="AB302" s="307">
        <f t="shared" si="994"/>
        <v>-9562</v>
      </c>
      <c r="AC302" s="308">
        <f t="shared" si="995"/>
        <v>-6.84</v>
      </c>
      <c r="AD302" s="309">
        <f t="shared" si="975"/>
        <v>-9562</v>
      </c>
      <c r="AE302" s="425"/>
      <c r="AF302" s="425"/>
      <c r="AG302" s="310">
        <f t="shared" si="976"/>
        <v>-4.99</v>
      </c>
      <c r="AH302" s="252">
        <f t="shared" si="977"/>
        <v>-6976</v>
      </c>
      <c r="AI302" s="306">
        <f t="shared" si="996"/>
        <v>-1.03</v>
      </c>
      <c r="AJ302" s="252">
        <f t="shared" si="997"/>
        <v>-1434</v>
      </c>
      <c r="AK302" s="426"/>
      <c r="AL302" s="426"/>
      <c r="AM302" s="426"/>
      <c r="AN302" s="426"/>
      <c r="AO302" s="426"/>
      <c r="AP302" s="426"/>
      <c r="AQ302" s="427"/>
      <c r="AR302" s="427"/>
      <c r="AS302" s="427"/>
      <c r="AT302" s="426"/>
      <c r="AU302" s="410"/>
      <c r="AV302" s="410"/>
      <c r="AW302" s="410"/>
      <c r="AX302" s="410"/>
      <c r="AY302" s="410"/>
      <c r="AZ302" s="410"/>
      <c r="BA302" s="410"/>
      <c r="BB302" s="410"/>
      <c r="BC302" s="410"/>
      <c r="BD302" s="410"/>
      <c r="BE302" s="410"/>
    </row>
    <row r="303" ht="12.75" customHeight="1">
      <c r="A303" s="256" t="s">
        <v>529</v>
      </c>
      <c r="B303" s="257" t="s">
        <v>359</v>
      </c>
      <c r="C303" s="258" t="s">
        <v>360</v>
      </c>
      <c r="D303" s="258" t="s">
        <v>195</v>
      </c>
      <c r="E303" s="259"/>
      <c r="F303" s="259"/>
      <c r="G303" s="258" t="s">
        <v>139</v>
      </c>
      <c r="H303" s="259" t="s">
        <v>1446</v>
      </c>
      <c r="I303" s="259" t="s">
        <v>105</v>
      </c>
      <c r="J303" s="316" t="s">
        <v>106</v>
      </c>
      <c r="K303" s="317">
        <f>ROUND(M303/0.15,2)</f>
        <v>1.87</v>
      </c>
      <c r="L303" s="318">
        <f>ROUND(N303/0.15,0)</f>
        <v>2607</v>
      </c>
      <c r="M303" s="319">
        <f t="shared" ref="M303:N303" si="998">Q303</f>
        <v>0.28</v>
      </c>
      <c r="N303" s="261">
        <f t="shared" si="998"/>
        <v>391</v>
      </c>
      <c r="O303" s="262">
        <v>0.75</v>
      </c>
      <c r="P303" s="263">
        <v>1048.0</v>
      </c>
      <c r="Q303" s="260">
        <f t="shared" ref="Q303:R303" si="999">M301-O303</f>
        <v>0.28</v>
      </c>
      <c r="R303" s="261">
        <f t="shared" si="999"/>
        <v>391</v>
      </c>
      <c r="S303" s="264">
        <v>1398.0</v>
      </c>
      <c r="T303" s="265">
        <v>15.0</v>
      </c>
      <c r="U303" s="266" t="s">
        <v>107</v>
      </c>
      <c r="V303" s="266" t="s">
        <v>1447</v>
      </c>
      <c r="W303" s="320">
        <v>0.76</v>
      </c>
      <c r="X303" s="320">
        <v>0.205434</v>
      </c>
      <c r="Y303" s="320">
        <v>0.554566</v>
      </c>
      <c r="Z303" s="321">
        <f>Z301</f>
        <v>9</v>
      </c>
      <c r="AA303" s="426"/>
      <c r="AB303" s="428"/>
      <c r="AC303" s="323">
        <f>IFERROR(ROUND(Z303*X303,2),0)</f>
        <v>1.85</v>
      </c>
      <c r="AD303" s="318">
        <f t="shared" si="975"/>
        <v>2586</v>
      </c>
      <c r="AE303" s="429"/>
      <c r="AF303" s="429"/>
      <c r="AG303" s="324">
        <f t="shared" si="976"/>
        <v>4.99</v>
      </c>
      <c r="AH303" s="261">
        <f t="shared" si="977"/>
        <v>6976</v>
      </c>
      <c r="AI303" s="426"/>
      <c r="AJ303" s="426"/>
      <c r="AK303" s="325">
        <f>ROUND(AC303*0.15,2)</f>
        <v>0.28</v>
      </c>
      <c r="AL303" s="261">
        <f>ROUND(AD303*0.15,0)</f>
        <v>388</v>
      </c>
      <c r="AM303" s="325"/>
      <c r="AN303" s="325"/>
      <c r="AO303" s="325">
        <f>ROUND(AG303*0.15,2)</f>
        <v>0.75</v>
      </c>
      <c r="AP303" s="261">
        <f>ROUND(AH303*0.15,0)</f>
        <v>1046</v>
      </c>
      <c r="AQ303" s="326"/>
      <c r="AR303" s="326"/>
      <c r="AS303" s="326">
        <f>IFERROR(AC303/K303,IFERROR(AO303/O303,""))</f>
        <v>0.9893048128</v>
      </c>
      <c r="AT303" s="426" t="s">
        <v>1055</v>
      </c>
      <c r="AU303" s="410"/>
      <c r="AV303" s="410"/>
      <c r="AW303" s="410"/>
      <c r="AX303" s="410"/>
      <c r="AY303" s="410"/>
      <c r="AZ303" s="410"/>
      <c r="BA303" s="410"/>
      <c r="BB303" s="410"/>
      <c r="BC303" s="410"/>
      <c r="BD303" s="410"/>
      <c r="BE303" s="410"/>
    </row>
    <row r="304" ht="12.75" customHeight="1">
      <c r="A304" s="245" t="s">
        <v>813</v>
      </c>
      <c r="B304" s="246" t="s">
        <v>359</v>
      </c>
      <c r="C304" s="247" t="s">
        <v>360</v>
      </c>
      <c r="D304" s="247" t="s">
        <v>390</v>
      </c>
      <c r="E304" s="248"/>
      <c r="F304" s="248"/>
      <c r="G304" s="247" t="s">
        <v>127</v>
      </c>
      <c r="H304" s="248" t="s">
        <v>1448</v>
      </c>
      <c r="I304" s="248" t="s">
        <v>105</v>
      </c>
      <c r="J304" s="300" t="s">
        <v>106</v>
      </c>
      <c r="K304" s="301">
        <v>9.77</v>
      </c>
      <c r="L304" s="302">
        <v>13368.0</v>
      </c>
      <c r="M304" s="303">
        <v>1.47</v>
      </c>
      <c r="N304" s="250">
        <v>2011.0</v>
      </c>
      <c r="O304" s="249">
        <v>0.78</v>
      </c>
      <c r="P304" s="250">
        <v>1067.0</v>
      </c>
      <c r="Q304" s="251">
        <f t="shared" ref="Q304:R304" si="1000">M304-O304</f>
        <v>0.69</v>
      </c>
      <c r="R304" s="252">
        <f t="shared" si="1000"/>
        <v>944</v>
      </c>
      <c r="S304" s="253">
        <v>1368.3</v>
      </c>
      <c r="T304" s="254">
        <v>15.0</v>
      </c>
      <c r="U304" s="255" t="s">
        <v>107</v>
      </c>
      <c r="V304" s="255"/>
      <c r="W304" s="304">
        <v>1.6276</v>
      </c>
      <c r="X304" s="304">
        <v>0.770708</v>
      </c>
      <c r="Y304" s="304">
        <v>0.856892</v>
      </c>
      <c r="Z304" s="305">
        <f>IFERROR(ROUND(K304/W304,0),0)</f>
        <v>6</v>
      </c>
      <c r="AA304" s="306">
        <f t="shared" ref="AA304:AA305" si="1002">Z304*W304</f>
        <v>9.7656</v>
      </c>
      <c r="AB304" s="307">
        <f t="shared" ref="AB304:AB305" si="1003">ROUND(AA304*S304,0)</f>
        <v>13362</v>
      </c>
      <c r="AC304" s="308">
        <f t="shared" ref="AC304:AC305" si="1004">AA304</f>
        <v>9.7656</v>
      </c>
      <c r="AD304" s="309">
        <f t="shared" si="975"/>
        <v>13362</v>
      </c>
      <c r="AE304" s="425"/>
      <c r="AF304" s="425"/>
      <c r="AG304" s="310">
        <f t="shared" si="976"/>
        <v>5.14</v>
      </c>
      <c r="AH304" s="252">
        <f t="shared" si="977"/>
        <v>7033</v>
      </c>
      <c r="AI304" s="306">
        <f t="shared" ref="AI304:AI305" si="1005">ROUND(AC304*0.15,2)</f>
        <v>1.46</v>
      </c>
      <c r="AJ304" s="252">
        <f t="shared" ref="AJ304:AJ305" si="1006">ROUND(AD304*0.15,0)</f>
        <v>2004</v>
      </c>
      <c r="AK304" s="426"/>
      <c r="AL304" s="426"/>
      <c r="AM304" s="426"/>
      <c r="AN304" s="426"/>
      <c r="AO304" s="426"/>
      <c r="AP304" s="426"/>
      <c r="AQ304" s="427"/>
      <c r="AR304" s="427"/>
      <c r="AS304" s="427"/>
      <c r="AT304" s="426"/>
      <c r="AU304" s="410"/>
      <c r="AV304" s="410"/>
      <c r="AW304" s="410"/>
      <c r="AX304" s="410"/>
      <c r="AY304" s="410"/>
      <c r="AZ304" s="410"/>
      <c r="BA304" s="410"/>
      <c r="BB304" s="410"/>
      <c r="BC304" s="410"/>
      <c r="BD304" s="410"/>
      <c r="BE304" s="410"/>
    </row>
    <row r="305" ht="12.75" customHeight="1">
      <c r="A305" s="245" t="s">
        <v>815</v>
      </c>
      <c r="B305" s="246" t="s">
        <v>359</v>
      </c>
      <c r="C305" s="247" t="s">
        <v>360</v>
      </c>
      <c r="D305" s="247" t="s">
        <v>390</v>
      </c>
      <c r="E305" s="248"/>
      <c r="F305" s="248"/>
      <c r="G305" s="247" t="s">
        <v>127</v>
      </c>
      <c r="H305" s="248" t="s">
        <v>1449</v>
      </c>
      <c r="I305" s="248" t="s">
        <v>105</v>
      </c>
      <c r="J305" s="300" t="s">
        <v>106</v>
      </c>
      <c r="K305" s="314">
        <f t="shared" ref="K305:R305" si="1001">-K304</f>
        <v>-9.77</v>
      </c>
      <c r="L305" s="309">
        <f t="shared" si="1001"/>
        <v>-13368</v>
      </c>
      <c r="M305" s="315">
        <f t="shared" si="1001"/>
        <v>-1.47</v>
      </c>
      <c r="N305" s="252">
        <f t="shared" si="1001"/>
        <v>-2011</v>
      </c>
      <c r="O305" s="251">
        <f t="shared" si="1001"/>
        <v>-0.78</v>
      </c>
      <c r="P305" s="252">
        <f t="shared" si="1001"/>
        <v>-1067</v>
      </c>
      <c r="Q305" s="251">
        <f t="shared" si="1001"/>
        <v>-0.69</v>
      </c>
      <c r="R305" s="252">
        <f t="shared" si="1001"/>
        <v>-944</v>
      </c>
      <c r="S305" s="253">
        <v>1368.3</v>
      </c>
      <c r="T305" s="254">
        <v>15.0</v>
      </c>
      <c r="U305" s="255" t="s">
        <v>107</v>
      </c>
      <c r="V305" s="255"/>
      <c r="W305" s="304">
        <v>1.6276</v>
      </c>
      <c r="X305" s="304">
        <v>0.770708</v>
      </c>
      <c r="Y305" s="304">
        <v>0.856892</v>
      </c>
      <c r="Z305" s="305">
        <f>-Z304</f>
        <v>-6</v>
      </c>
      <c r="AA305" s="306">
        <f t="shared" si="1002"/>
        <v>-9.7656</v>
      </c>
      <c r="AB305" s="307">
        <f t="shared" si="1003"/>
        <v>-13362</v>
      </c>
      <c r="AC305" s="308">
        <f t="shared" si="1004"/>
        <v>-9.7656</v>
      </c>
      <c r="AD305" s="309">
        <f t="shared" si="975"/>
        <v>-13362</v>
      </c>
      <c r="AE305" s="425"/>
      <c r="AF305" s="425"/>
      <c r="AG305" s="310">
        <f t="shared" si="976"/>
        <v>-5.14</v>
      </c>
      <c r="AH305" s="252">
        <f t="shared" si="977"/>
        <v>-7033</v>
      </c>
      <c r="AI305" s="306">
        <f t="shared" si="1005"/>
        <v>-1.46</v>
      </c>
      <c r="AJ305" s="252">
        <f t="shared" si="1006"/>
        <v>-2004</v>
      </c>
      <c r="AK305" s="426"/>
      <c r="AL305" s="426"/>
      <c r="AM305" s="426"/>
      <c r="AN305" s="426"/>
      <c r="AO305" s="426"/>
      <c r="AP305" s="426"/>
      <c r="AQ305" s="427"/>
      <c r="AR305" s="427"/>
      <c r="AS305" s="427"/>
      <c r="AT305" s="426"/>
      <c r="AU305" s="410"/>
      <c r="AV305" s="410"/>
      <c r="AW305" s="410"/>
      <c r="AX305" s="410"/>
      <c r="AY305" s="410"/>
      <c r="AZ305" s="410"/>
      <c r="BA305" s="410"/>
      <c r="BB305" s="410"/>
      <c r="BC305" s="410"/>
      <c r="BD305" s="410"/>
      <c r="BE305" s="410"/>
    </row>
    <row r="306" ht="12.75" customHeight="1">
      <c r="A306" s="256" t="s">
        <v>817</v>
      </c>
      <c r="B306" s="257" t="s">
        <v>359</v>
      </c>
      <c r="C306" s="258" t="s">
        <v>360</v>
      </c>
      <c r="D306" s="258" t="s">
        <v>390</v>
      </c>
      <c r="E306" s="259"/>
      <c r="F306" s="259"/>
      <c r="G306" s="258" t="s">
        <v>127</v>
      </c>
      <c r="H306" s="259" t="s">
        <v>1450</v>
      </c>
      <c r="I306" s="259" t="s">
        <v>105</v>
      </c>
      <c r="J306" s="316" t="s">
        <v>106</v>
      </c>
      <c r="K306" s="317">
        <f>ROUND(M306/0.15,2)</f>
        <v>4.6</v>
      </c>
      <c r="L306" s="318">
        <f>ROUND(N306/0.15,0)</f>
        <v>6293</v>
      </c>
      <c r="M306" s="319">
        <f t="shared" ref="M306:N306" si="1007">Q306</f>
        <v>0.69</v>
      </c>
      <c r="N306" s="261">
        <f t="shared" si="1007"/>
        <v>944</v>
      </c>
      <c r="O306" s="262">
        <v>0.78</v>
      </c>
      <c r="P306" s="263">
        <v>1067.0</v>
      </c>
      <c r="Q306" s="260">
        <f t="shared" ref="Q306:R306" si="1008">M304-O306</f>
        <v>0.69</v>
      </c>
      <c r="R306" s="261">
        <f t="shared" si="1008"/>
        <v>944</v>
      </c>
      <c r="S306" s="264">
        <v>1368.3</v>
      </c>
      <c r="T306" s="265">
        <v>15.0</v>
      </c>
      <c r="U306" s="266" t="s">
        <v>107</v>
      </c>
      <c r="V306" s="266" t="s">
        <v>1451</v>
      </c>
      <c r="W306" s="320">
        <v>1.6276</v>
      </c>
      <c r="X306" s="320">
        <v>0.770708</v>
      </c>
      <c r="Y306" s="320">
        <v>0.856892</v>
      </c>
      <c r="Z306" s="321">
        <f>Z304</f>
        <v>6</v>
      </c>
      <c r="AA306" s="426"/>
      <c r="AB306" s="428"/>
      <c r="AC306" s="323">
        <f>IFERROR(ROUND(Z306*X306,2),0)</f>
        <v>4.62</v>
      </c>
      <c r="AD306" s="318">
        <f t="shared" si="975"/>
        <v>6322</v>
      </c>
      <c r="AE306" s="429"/>
      <c r="AF306" s="429"/>
      <c r="AG306" s="324">
        <f t="shared" si="976"/>
        <v>5.14</v>
      </c>
      <c r="AH306" s="261">
        <f t="shared" si="977"/>
        <v>7033</v>
      </c>
      <c r="AI306" s="426"/>
      <c r="AJ306" s="426"/>
      <c r="AK306" s="325">
        <f>ROUND(AC306*0.15,2)</f>
        <v>0.69</v>
      </c>
      <c r="AL306" s="261">
        <f>ROUND(AD306*0.15,0)</f>
        <v>948</v>
      </c>
      <c r="AM306" s="325"/>
      <c r="AN306" s="325"/>
      <c r="AO306" s="325">
        <f>ROUND(AG306*0.15,2)</f>
        <v>0.77</v>
      </c>
      <c r="AP306" s="261">
        <f>ROUND(AH306*0.15,0)</f>
        <v>1055</v>
      </c>
      <c r="AQ306" s="326"/>
      <c r="AR306" s="326"/>
      <c r="AS306" s="326">
        <f>IFERROR(AC306/K306,IFERROR(AO306/O306,""))</f>
        <v>1.004347826</v>
      </c>
      <c r="AT306" s="426"/>
      <c r="AU306" s="410"/>
      <c r="AV306" s="410"/>
      <c r="AW306" s="410"/>
      <c r="AX306" s="410"/>
      <c r="AY306" s="410"/>
      <c r="AZ306" s="410"/>
      <c r="BA306" s="410"/>
      <c r="BB306" s="410"/>
      <c r="BC306" s="410"/>
      <c r="BD306" s="410"/>
      <c r="BE306" s="410"/>
    </row>
    <row r="307" ht="12.75" customHeight="1">
      <c r="A307" s="267" t="s">
        <v>820</v>
      </c>
      <c r="B307" s="268" t="s">
        <v>359</v>
      </c>
      <c r="C307" s="269" t="s">
        <v>360</v>
      </c>
      <c r="D307" s="269" t="s">
        <v>200</v>
      </c>
      <c r="E307" s="270"/>
      <c r="F307" s="270"/>
      <c r="G307" s="269" t="s">
        <v>288</v>
      </c>
      <c r="H307" s="270" t="s">
        <v>1452</v>
      </c>
      <c r="I307" s="270" t="s">
        <v>105</v>
      </c>
      <c r="J307" s="354" t="s">
        <v>106</v>
      </c>
      <c r="K307" s="355">
        <v>4.7</v>
      </c>
      <c r="L307" s="356">
        <v>6492.0</v>
      </c>
      <c r="M307" s="357">
        <v>0.7</v>
      </c>
      <c r="N307" s="272">
        <v>966.0</v>
      </c>
      <c r="O307" s="271">
        <v>0.0</v>
      </c>
      <c r="P307" s="272">
        <v>0.0</v>
      </c>
      <c r="Q307" s="273">
        <f t="shared" ref="Q307:R307" si="1009">M307-O307</f>
        <v>0.7</v>
      </c>
      <c r="R307" s="274">
        <f t="shared" si="1009"/>
        <v>966</v>
      </c>
      <c r="S307" s="275">
        <v>1381.4</v>
      </c>
      <c r="T307" s="276">
        <v>15.0</v>
      </c>
      <c r="U307" s="277" t="s">
        <v>107</v>
      </c>
      <c r="V307" s="277"/>
      <c r="W307" s="468"/>
      <c r="X307" s="468"/>
      <c r="Y307" s="468"/>
      <c r="Z307" s="468"/>
      <c r="AA307" s="468"/>
      <c r="AB307" s="469"/>
      <c r="AC307" s="470">
        <f t="shared" ref="AC307:AD307" si="1010">K307</f>
        <v>4.7</v>
      </c>
      <c r="AD307" s="471">
        <f t="shared" si="1010"/>
        <v>6492</v>
      </c>
      <c r="AE307" s="472"/>
      <c r="AF307" s="472"/>
      <c r="AG307" s="473"/>
      <c r="AH307" s="468"/>
      <c r="AI307" s="468"/>
      <c r="AJ307" s="468"/>
      <c r="AK307" s="474">
        <f t="shared" ref="AK307:AL307" si="1011">Q307</f>
        <v>0.7</v>
      </c>
      <c r="AL307" s="475">
        <f t="shared" si="1011"/>
        <v>966</v>
      </c>
      <c r="AM307" s="468"/>
      <c r="AN307" s="468"/>
      <c r="AO307" s="468"/>
      <c r="AP307" s="468"/>
      <c r="AQ307" s="476"/>
      <c r="AR307" s="476"/>
      <c r="AS307" s="476"/>
      <c r="AT307" s="468"/>
      <c r="AU307" s="477"/>
      <c r="AV307" s="477"/>
      <c r="AW307" s="477"/>
      <c r="AX307" s="477"/>
      <c r="AY307" s="477"/>
      <c r="AZ307" s="477"/>
      <c r="BA307" s="477"/>
      <c r="BB307" s="477"/>
      <c r="BC307" s="477"/>
      <c r="BD307" s="477"/>
      <c r="BE307" s="477"/>
    </row>
    <row r="308" ht="12.75" customHeight="1">
      <c r="A308" s="245" t="s">
        <v>822</v>
      </c>
      <c r="B308" s="246" t="s">
        <v>359</v>
      </c>
      <c r="C308" s="247" t="s">
        <v>360</v>
      </c>
      <c r="D308" s="247" t="s">
        <v>199</v>
      </c>
      <c r="E308" s="248"/>
      <c r="F308" s="248"/>
      <c r="G308" s="247" t="s">
        <v>131</v>
      </c>
      <c r="H308" s="248" t="s">
        <v>1453</v>
      </c>
      <c r="I308" s="248" t="s">
        <v>105</v>
      </c>
      <c r="J308" s="300" t="s">
        <v>106</v>
      </c>
      <c r="K308" s="301">
        <v>5.88</v>
      </c>
      <c r="L308" s="302">
        <v>8096.0</v>
      </c>
      <c r="M308" s="303">
        <v>0.88</v>
      </c>
      <c r="N308" s="250">
        <v>1211.0</v>
      </c>
      <c r="O308" s="249">
        <v>0.85</v>
      </c>
      <c r="P308" s="250">
        <v>1170.0</v>
      </c>
      <c r="Q308" s="251">
        <f t="shared" ref="Q308:R308" si="1012">M308-O308</f>
        <v>0.03</v>
      </c>
      <c r="R308" s="252">
        <f t="shared" si="1012"/>
        <v>41</v>
      </c>
      <c r="S308" s="253">
        <v>1376.9</v>
      </c>
      <c r="T308" s="254">
        <v>15.0</v>
      </c>
      <c r="U308" s="255" t="s">
        <v>107</v>
      </c>
      <c r="V308" s="255"/>
      <c r="W308" s="304">
        <v>0.7351</v>
      </c>
      <c r="X308" s="304">
        <v>0.021711</v>
      </c>
      <c r="Y308" s="304">
        <v>0.713389</v>
      </c>
      <c r="Z308" s="305">
        <f>IFERROR(ROUND(K308/W308,0),0)</f>
        <v>8</v>
      </c>
      <c r="AA308" s="306">
        <f t="shared" ref="AA308:AA309" si="1014">Z308*W308</f>
        <v>5.8808</v>
      </c>
      <c r="AB308" s="307">
        <f t="shared" ref="AB308:AB309" si="1015">ROUND(AA308*S308,0)</f>
        <v>8097</v>
      </c>
      <c r="AC308" s="308">
        <f t="shared" ref="AC308:AC309" si="1016">AA308</f>
        <v>5.8808</v>
      </c>
      <c r="AD308" s="309">
        <f t="shared" ref="AD308:AD319" si="1017">ROUND(AC308*S308,0)</f>
        <v>8097</v>
      </c>
      <c r="AE308" s="425"/>
      <c r="AF308" s="425"/>
      <c r="AG308" s="310">
        <f t="shared" ref="AG308:AG319" si="1018">IFERROR(ROUND(Z308*Y308,2),0)</f>
        <v>5.71</v>
      </c>
      <c r="AH308" s="252">
        <f t="shared" ref="AH308:AH319" si="1019">ROUND(AG308*S308,0)</f>
        <v>7862</v>
      </c>
      <c r="AI308" s="306">
        <f t="shared" ref="AI308:AI309" si="1020">ROUND(AC308*0.15,2)</f>
        <v>0.88</v>
      </c>
      <c r="AJ308" s="252">
        <f t="shared" ref="AJ308:AJ309" si="1021">ROUND(AD308*0.15,0)</f>
        <v>1215</v>
      </c>
      <c r="AK308" s="426"/>
      <c r="AL308" s="426"/>
      <c r="AM308" s="426"/>
      <c r="AN308" s="426"/>
      <c r="AO308" s="426"/>
      <c r="AP308" s="426"/>
      <c r="AQ308" s="427"/>
      <c r="AR308" s="427"/>
      <c r="AS308" s="427"/>
      <c r="AT308" s="426"/>
      <c r="AU308" s="410"/>
      <c r="AV308" s="410"/>
      <c r="AW308" s="410"/>
      <c r="AX308" s="410"/>
      <c r="AY308" s="410"/>
      <c r="AZ308" s="410"/>
      <c r="BA308" s="410"/>
      <c r="BB308" s="410"/>
      <c r="BC308" s="410"/>
      <c r="BD308" s="410"/>
      <c r="BE308" s="410"/>
    </row>
    <row r="309" ht="12.75" customHeight="1">
      <c r="A309" s="245" t="s">
        <v>824</v>
      </c>
      <c r="B309" s="246" t="s">
        <v>359</v>
      </c>
      <c r="C309" s="247" t="s">
        <v>360</v>
      </c>
      <c r="D309" s="247" t="s">
        <v>199</v>
      </c>
      <c r="E309" s="248"/>
      <c r="F309" s="248"/>
      <c r="G309" s="247" t="s">
        <v>131</v>
      </c>
      <c r="H309" s="248" t="s">
        <v>1454</v>
      </c>
      <c r="I309" s="248" t="s">
        <v>105</v>
      </c>
      <c r="J309" s="300" t="s">
        <v>106</v>
      </c>
      <c r="K309" s="314">
        <f t="shared" ref="K309:R309" si="1013">-K308</f>
        <v>-5.88</v>
      </c>
      <c r="L309" s="309">
        <f t="shared" si="1013"/>
        <v>-8096</v>
      </c>
      <c r="M309" s="315">
        <f t="shared" si="1013"/>
        <v>-0.88</v>
      </c>
      <c r="N309" s="252">
        <f t="shared" si="1013"/>
        <v>-1211</v>
      </c>
      <c r="O309" s="251">
        <f t="shared" si="1013"/>
        <v>-0.85</v>
      </c>
      <c r="P309" s="252">
        <f t="shared" si="1013"/>
        <v>-1170</v>
      </c>
      <c r="Q309" s="251">
        <f t="shared" si="1013"/>
        <v>-0.03</v>
      </c>
      <c r="R309" s="252">
        <f t="shared" si="1013"/>
        <v>-41</v>
      </c>
      <c r="S309" s="253">
        <v>1376.9</v>
      </c>
      <c r="T309" s="254">
        <v>15.0</v>
      </c>
      <c r="U309" s="255" t="s">
        <v>107</v>
      </c>
      <c r="V309" s="255"/>
      <c r="W309" s="304">
        <v>0.7351</v>
      </c>
      <c r="X309" s="304">
        <v>0.021711</v>
      </c>
      <c r="Y309" s="304">
        <v>0.713389</v>
      </c>
      <c r="Z309" s="305">
        <f>-Z308</f>
        <v>-8</v>
      </c>
      <c r="AA309" s="306">
        <f t="shared" si="1014"/>
        <v>-5.8808</v>
      </c>
      <c r="AB309" s="307">
        <f t="shared" si="1015"/>
        <v>-8097</v>
      </c>
      <c r="AC309" s="308">
        <f t="shared" si="1016"/>
        <v>-5.8808</v>
      </c>
      <c r="AD309" s="309">
        <f t="shared" si="1017"/>
        <v>-8097</v>
      </c>
      <c r="AE309" s="425"/>
      <c r="AF309" s="425"/>
      <c r="AG309" s="310">
        <f t="shared" si="1018"/>
        <v>-5.71</v>
      </c>
      <c r="AH309" s="252">
        <f t="shared" si="1019"/>
        <v>-7862</v>
      </c>
      <c r="AI309" s="306">
        <f t="shared" si="1020"/>
        <v>-0.88</v>
      </c>
      <c r="AJ309" s="252">
        <f t="shared" si="1021"/>
        <v>-1215</v>
      </c>
      <c r="AK309" s="426"/>
      <c r="AL309" s="426"/>
      <c r="AM309" s="426"/>
      <c r="AN309" s="426"/>
      <c r="AO309" s="426"/>
      <c r="AP309" s="426"/>
      <c r="AQ309" s="427"/>
      <c r="AR309" s="427"/>
      <c r="AS309" s="427"/>
      <c r="AT309" s="426"/>
      <c r="AU309" s="410"/>
      <c r="AV309" s="410"/>
      <c r="AW309" s="410"/>
      <c r="AX309" s="410"/>
      <c r="AY309" s="410"/>
      <c r="AZ309" s="410"/>
      <c r="BA309" s="410"/>
      <c r="BB309" s="410"/>
      <c r="BC309" s="410"/>
      <c r="BD309" s="410"/>
      <c r="BE309" s="410"/>
    </row>
    <row r="310" ht="12.75" customHeight="1">
      <c r="A310" s="256" t="s">
        <v>826</v>
      </c>
      <c r="B310" s="257" t="s">
        <v>359</v>
      </c>
      <c r="C310" s="258" t="s">
        <v>360</v>
      </c>
      <c r="D310" s="258" t="s">
        <v>199</v>
      </c>
      <c r="E310" s="259"/>
      <c r="F310" s="259"/>
      <c r="G310" s="258" t="s">
        <v>131</v>
      </c>
      <c r="H310" s="259" t="s">
        <v>1455</v>
      </c>
      <c r="I310" s="259" t="s">
        <v>105</v>
      </c>
      <c r="J310" s="316" t="s">
        <v>106</v>
      </c>
      <c r="K310" s="317">
        <f>ROUND(M310/0.15,2)</f>
        <v>0.2</v>
      </c>
      <c r="L310" s="318">
        <f>ROUND(N310/0.15,0)</f>
        <v>273</v>
      </c>
      <c r="M310" s="319">
        <f t="shared" ref="M310:N310" si="1022">Q310</f>
        <v>0.03</v>
      </c>
      <c r="N310" s="261">
        <f t="shared" si="1022"/>
        <v>41</v>
      </c>
      <c r="O310" s="262">
        <v>0.85</v>
      </c>
      <c r="P310" s="263">
        <v>1170.0</v>
      </c>
      <c r="Q310" s="260">
        <f t="shared" ref="Q310:R310" si="1023">M308-O310</f>
        <v>0.03</v>
      </c>
      <c r="R310" s="261">
        <f t="shared" si="1023"/>
        <v>41</v>
      </c>
      <c r="S310" s="264">
        <v>1376.9</v>
      </c>
      <c r="T310" s="265">
        <v>15.0</v>
      </c>
      <c r="U310" s="266" t="s">
        <v>107</v>
      </c>
      <c r="V310" s="266" t="s">
        <v>1456</v>
      </c>
      <c r="W310" s="320">
        <v>0.7351</v>
      </c>
      <c r="X310" s="320">
        <v>0.021711</v>
      </c>
      <c r="Y310" s="320">
        <v>0.713389</v>
      </c>
      <c r="Z310" s="321">
        <f>Z308</f>
        <v>8</v>
      </c>
      <c r="AA310" s="426"/>
      <c r="AB310" s="428"/>
      <c r="AC310" s="323">
        <f>IFERROR(ROUND(Z310*X310,2),0)</f>
        <v>0.17</v>
      </c>
      <c r="AD310" s="318">
        <f t="shared" si="1017"/>
        <v>234</v>
      </c>
      <c r="AE310" s="429"/>
      <c r="AF310" s="429"/>
      <c r="AG310" s="324">
        <f t="shared" si="1018"/>
        <v>5.71</v>
      </c>
      <c r="AH310" s="261">
        <f t="shared" si="1019"/>
        <v>7862</v>
      </c>
      <c r="AI310" s="426"/>
      <c r="AJ310" s="426"/>
      <c r="AK310" s="325">
        <f>ROUND(AC310*0.15,2)</f>
        <v>0.03</v>
      </c>
      <c r="AL310" s="261">
        <f>ROUND(AD310*0.15,0)</f>
        <v>35</v>
      </c>
      <c r="AM310" s="325"/>
      <c r="AN310" s="325"/>
      <c r="AO310" s="325">
        <f>ROUND(AG310*0.15,2)</f>
        <v>0.86</v>
      </c>
      <c r="AP310" s="261">
        <f>ROUND(AH310*0.15,0)</f>
        <v>1179</v>
      </c>
      <c r="AQ310" s="326"/>
      <c r="AR310" s="326"/>
      <c r="AS310" s="326">
        <f>IFERROR(AC310/K310,IFERROR(AO310/O310,""))</f>
        <v>0.85</v>
      </c>
      <c r="AT310" s="426" t="s">
        <v>1055</v>
      </c>
      <c r="AU310" s="410"/>
      <c r="AV310" s="410"/>
      <c r="AW310" s="410"/>
      <c r="AX310" s="410"/>
      <c r="AY310" s="410"/>
      <c r="AZ310" s="410"/>
      <c r="BA310" s="410"/>
      <c r="BB310" s="410"/>
      <c r="BC310" s="410"/>
      <c r="BD310" s="410"/>
      <c r="BE310" s="410"/>
    </row>
    <row r="311" ht="12.75" customHeight="1">
      <c r="A311" s="245" t="s">
        <v>534</v>
      </c>
      <c r="B311" s="246" t="s">
        <v>359</v>
      </c>
      <c r="C311" s="247" t="s">
        <v>360</v>
      </c>
      <c r="D311" s="247" t="s">
        <v>201</v>
      </c>
      <c r="E311" s="248"/>
      <c r="F311" s="248"/>
      <c r="G311" s="247" t="s">
        <v>135</v>
      </c>
      <c r="H311" s="248" t="s">
        <v>1457</v>
      </c>
      <c r="I311" s="248" t="s">
        <v>105</v>
      </c>
      <c r="J311" s="300" t="s">
        <v>106</v>
      </c>
      <c r="K311" s="301">
        <v>8.82</v>
      </c>
      <c r="L311" s="302">
        <v>11985.0</v>
      </c>
      <c r="M311" s="303">
        <v>1.32</v>
      </c>
      <c r="N311" s="250">
        <v>1793.0</v>
      </c>
      <c r="O311" s="249">
        <v>1.32</v>
      </c>
      <c r="P311" s="250">
        <v>1793.0</v>
      </c>
      <c r="Q311" s="251">
        <f t="shared" ref="Q311:R311" si="1024">M311-O311</f>
        <v>0</v>
      </c>
      <c r="R311" s="252">
        <f t="shared" si="1024"/>
        <v>0</v>
      </c>
      <c r="S311" s="253">
        <v>1358.9</v>
      </c>
      <c r="T311" s="254">
        <v>15.0</v>
      </c>
      <c r="U311" s="255" t="s">
        <v>107</v>
      </c>
      <c r="V311" s="255"/>
      <c r="W311" s="304">
        <v>1.4707</v>
      </c>
      <c r="X311" s="304">
        <v>0.0</v>
      </c>
      <c r="Y311" s="304">
        <v>1.4707</v>
      </c>
      <c r="Z311" s="305">
        <f>IFERROR(ROUND(K311/W311,0),0)</f>
        <v>6</v>
      </c>
      <c r="AA311" s="306">
        <f t="shared" ref="AA311:AA312" si="1026">Z311*W311</f>
        <v>8.8242</v>
      </c>
      <c r="AB311" s="307">
        <f t="shared" ref="AB311:AB312" si="1027">ROUND(AA311*S311,0)</f>
        <v>11991</v>
      </c>
      <c r="AC311" s="308">
        <f t="shared" ref="AC311:AC312" si="1028">AA311</f>
        <v>8.8242</v>
      </c>
      <c r="AD311" s="309">
        <f t="shared" si="1017"/>
        <v>11991</v>
      </c>
      <c r="AE311" s="425"/>
      <c r="AF311" s="425"/>
      <c r="AG311" s="310">
        <f t="shared" si="1018"/>
        <v>8.82</v>
      </c>
      <c r="AH311" s="252">
        <f t="shared" si="1019"/>
        <v>11985</v>
      </c>
      <c r="AI311" s="306">
        <f t="shared" ref="AI311:AI312" si="1029">ROUND(AC311*0.15,2)</f>
        <v>1.32</v>
      </c>
      <c r="AJ311" s="252">
        <f t="shared" ref="AJ311:AJ312" si="1030">ROUND(AD311*0.15,0)</f>
        <v>1799</v>
      </c>
      <c r="AK311" s="426"/>
      <c r="AL311" s="426"/>
      <c r="AM311" s="426"/>
      <c r="AN311" s="426"/>
      <c r="AO311" s="426"/>
      <c r="AP311" s="426"/>
      <c r="AQ311" s="427"/>
      <c r="AR311" s="427"/>
      <c r="AS311" s="427"/>
      <c r="AT311" s="426"/>
      <c r="AU311" s="410"/>
      <c r="AV311" s="410"/>
      <c r="AW311" s="410"/>
      <c r="AX311" s="410"/>
      <c r="AY311" s="410"/>
      <c r="AZ311" s="410"/>
      <c r="BA311" s="410"/>
      <c r="BB311" s="410"/>
      <c r="BC311" s="410"/>
      <c r="BD311" s="410"/>
      <c r="BE311" s="410"/>
    </row>
    <row r="312" ht="12.75" customHeight="1">
      <c r="A312" s="245" t="s">
        <v>535</v>
      </c>
      <c r="B312" s="246" t="s">
        <v>359</v>
      </c>
      <c r="C312" s="247" t="s">
        <v>360</v>
      </c>
      <c r="D312" s="247" t="s">
        <v>201</v>
      </c>
      <c r="E312" s="248"/>
      <c r="F312" s="248"/>
      <c r="G312" s="247" t="s">
        <v>135</v>
      </c>
      <c r="H312" s="248" t="s">
        <v>1458</v>
      </c>
      <c r="I312" s="248" t="s">
        <v>105</v>
      </c>
      <c r="J312" s="300" t="s">
        <v>106</v>
      </c>
      <c r="K312" s="314">
        <f t="shared" ref="K312:R312" si="1025">-K311</f>
        <v>-8.82</v>
      </c>
      <c r="L312" s="309">
        <f t="shared" si="1025"/>
        <v>-11985</v>
      </c>
      <c r="M312" s="315">
        <f t="shared" si="1025"/>
        <v>-1.32</v>
      </c>
      <c r="N312" s="252">
        <f t="shared" si="1025"/>
        <v>-1793</v>
      </c>
      <c r="O312" s="251">
        <f t="shared" si="1025"/>
        <v>-1.32</v>
      </c>
      <c r="P312" s="252">
        <f t="shared" si="1025"/>
        <v>-1793</v>
      </c>
      <c r="Q312" s="251">
        <f t="shared" si="1025"/>
        <v>0</v>
      </c>
      <c r="R312" s="252">
        <f t="shared" si="1025"/>
        <v>0</v>
      </c>
      <c r="S312" s="253">
        <v>1358.9</v>
      </c>
      <c r="T312" s="254">
        <v>15.0</v>
      </c>
      <c r="U312" s="255" t="s">
        <v>107</v>
      </c>
      <c r="V312" s="255"/>
      <c r="W312" s="304">
        <v>1.4707</v>
      </c>
      <c r="X312" s="304">
        <v>0.0</v>
      </c>
      <c r="Y312" s="304">
        <v>1.4707</v>
      </c>
      <c r="Z312" s="305">
        <f>-Z311</f>
        <v>-6</v>
      </c>
      <c r="AA312" s="306">
        <f t="shared" si="1026"/>
        <v>-8.8242</v>
      </c>
      <c r="AB312" s="307">
        <f t="shared" si="1027"/>
        <v>-11991</v>
      </c>
      <c r="AC312" s="308">
        <f t="shared" si="1028"/>
        <v>-8.8242</v>
      </c>
      <c r="AD312" s="309">
        <f t="shared" si="1017"/>
        <v>-11991</v>
      </c>
      <c r="AE312" s="425"/>
      <c r="AF312" s="425"/>
      <c r="AG312" s="310">
        <f t="shared" si="1018"/>
        <v>-8.82</v>
      </c>
      <c r="AH312" s="252">
        <f t="shared" si="1019"/>
        <v>-11985</v>
      </c>
      <c r="AI312" s="306">
        <f t="shared" si="1029"/>
        <v>-1.32</v>
      </c>
      <c r="AJ312" s="252">
        <f t="shared" si="1030"/>
        <v>-1799</v>
      </c>
      <c r="AK312" s="426"/>
      <c r="AL312" s="426"/>
      <c r="AM312" s="426"/>
      <c r="AN312" s="426"/>
      <c r="AO312" s="426"/>
      <c r="AP312" s="426"/>
      <c r="AQ312" s="427"/>
      <c r="AR312" s="427"/>
      <c r="AS312" s="427"/>
      <c r="AT312" s="426"/>
      <c r="AU312" s="410"/>
      <c r="AV312" s="410"/>
      <c r="AW312" s="410"/>
      <c r="AX312" s="410"/>
      <c r="AY312" s="410"/>
      <c r="AZ312" s="410"/>
      <c r="BA312" s="410"/>
      <c r="BB312" s="410"/>
      <c r="BC312" s="410"/>
      <c r="BD312" s="410"/>
      <c r="BE312" s="410"/>
    </row>
    <row r="313" ht="12.75" customHeight="1">
      <c r="A313" s="256" t="s">
        <v>536</v>
      </c>
      <c r="B313" s="257" t="s">
        <v>359</v>
      </c>
      <c r="C313" s="258" t="s">
        <v>360</v>
      </c>
      <c r="D313" s="258" t="s">
        <v>201</v>
      </c>
      <c r="E313" s="259"/>
      <c r="F313" s="259"/>
      <c r="G313" s="258" t="s">
        <v>135</v>
      </c>
      <c r="H313" s="259" t="s">
        <v>1459</v>
      </c>
      <c r="I313" s="259" t="s">
        <v>105</v>
      </c>
      <c r="J313" s="316" t="s">
        <v>106</v>
      </c>
      <c r="K313" s="317">
        <f>ROUND(M313/0.15,2)</f>
        <v>0</v>
      </c>
      <c r="L313" s="318">
        <f>ROUND(N313/0.15,0)</f>
        <v>0</v>
      </c>
      <c r="M313" s="319">
        <f t="shared" ref="M313:N313" si="1031">Q313</f>
        <v>0</v>
      </c>
      <c r="N313" s="261">
        <f t="shared" si="1031"/>
        <v>0</v>
      </c>
      <c r="O313" s="262">
        <v>1.32</v>
      </c>
      <c r="P313" s="263">
        <v>1793.0</v>
      </c>
      <c r="Q313" s="260">
        <f t="shared" ref="Q313:R313" si="1032">M311-O313</f>
        <v>0</v>
      </c>
      <c r="R313" s="261">
        <f t="shared" si="1032"/>
        <v>0</v>
      </c>
      <c r="S313" s="264">
        <v>1358.9</v>
      </c>
      <c r="T313" s="265">
        <v>15.0</v>
      </c>
      <c r="U313" s="266" t="s">
        <v>107</v>
      </c>
      <c r="V313" s="266" t="s">
        <v>1460</v>
      </c>
      <c r="W313" s="320">
        <v>1.4707</v>
      </c>
      <c r="X313" s="320">
        <v>0.0</v>
      </c>
      <c r="Y313" s="320">
        <v>1.4707</v>
      </c>
      <c r="Z313" s="321">
        <f>Z311</f>
        <v>6</v>
      </c>
      <c r="AA313" s="426"/>
      <c r="AB313" s="428"/>
      <c r="AC313" s="323">
        <f>IFERROR(ROUND(Z313*X313,2),0)</f>
        <v>0</v>
      </c>
      <c r="AD313" s="318">
        <f t="shared" si="1017"/>
        <v>0</v>
      </c>
      <c r="AE313" s="429"/>
      <c r="AF313" s="429"/>
      <c r="AG313" s="324">
        <f t="shared" si="1018"/>
        <v>8.82</v>
      </c>
      <c r="AH313" s="261">
        <f t="shared" si="1019"/>
        <v>11985</v>
      </c>
      <c r="AI313" s="426"/>
      <c r="AJ313" s="426"/>
      <c r="AK313" s="325">
        <f>ROUND(AC313*0.15,2)</f>
        <v>0</v>
      </c>
      <c r="AL313" s="261">
        <f>ROUND(AD313*0.15,0)</f>
        <v>0</v>
      </c>
      <c r="AM313" s="325"/>
      <c r="AN313" s="325"/>
      <c r="AO313" s="325">
        <f>ROUND(AG313*0.15,2)</f>
        <v>1.32</v>
      </c>
      <c r="AP313" s="261">
        <f>ROUND(AH313*0.15,0)</f>
        <v>1798</v>
      </c>
      <c r="AQ313" s="326"/>
      <c r="AR313" s="326"/>
      <c r="AS313" s="326">
        <f>IFERROR(AC313/K313,IFERROR(AO313/O313,""))</f>
        <v>1</v>
      </c>
      <c r="AT313" s="426"/>
      <c r="AU313" s="410"/>
      <c r="AV313" s="410"/>
      <c r="AW313" s="410"/>
      <c r="AX313" s="410"/>
      <c r="AY313" s="410"/>
      <c r="AZ313" s="410"/>
      <c r="BA313" s="410"/>
      <c r="BB313" s="410"/>
      <c r="BC313" s="410"/>
      <c r="BD313" s="410"/>
      <c r="BE313" s="410"/>
    </row>
    <row r="314" ht="12.75" customHeight="1">
      <c r="A314" s="245" t="s">
        <v>833</v>
      </c>
      <c r="B314" s="246" t="s">
        <v>359</v>
      </c>
      <c r="C314" s="247" t="s">
        <v>360</v>
      </c>
      <c r="D314" s="247" t="s">
        <v>206</v>
      </c>
      <c r="E314" s="248"/>
      <c r="F314" s="248"/>
      <c r="G314" s="247" t="s">
        <v>139</v>
      </c>
      <c r="H314" s="248" t="s">
        <v>1461</v>
      </c>
      <c r="I314" s="248" t="s">
        <v>105</v>
      </c>
      <c r="J314" s="300" t="s">
        <v>106</v>
      </c>
      <c r="K314" s="301">
        <v>3.63</v>
      </c>
      <c r="L314" s="302">
        <v>4961.0</v>
      </c>
      <c r="M314" s="303">
        <v>0.55</v>
      </c>
      <c r="N314" s="250">
        <v>751.0</v>
      </c>
      <c r="O314" s="249">
        <v>0.4</v>
      </c>
      <c r="P314" s="250">
        <v>546.0</v>
      </c>
      <c r="Q314" s="251">
        <f t="shared" ref="Q314:R314" si="1033">M314-O314</f>
        <v>0.15</v>
      </c>
      <c r="R314" s="252">
        <f t="shared" si="1033"/>
        <v>205</v>
      </c>
      <c r="S314" s="253">
        <v>1363.6</v>
      </c>
      <c r="T314" s="254">
        <v>15.0</v>
      </c>
      <c r="U314" s="255" t="s">
        <v>107</v>
      </c>
      <c r="V314" s="255"/>
      <c r="W314" s="304">
        <v>0.4028</v>
      </c>
      <c r="X314" s="304">
        <v>0.10888</v>
      </c>
      <c r="Y314" s="304">
        <v>0.29392</v>
      </c>
      <c r="Z314" s="305">
        <f>IFERROR(ROUND(K314/W314,0),0)</f>
        <v>9</v>
      </c>
      <c r="AA314" s="306">
        <f t="shared" ref="AA314:AA315" si="1035">Z314*W314</f>
        <v>3.6252</v>
      </c>
      <c r="AB314" s="307">
        <f t="shared" ref="AB314:AB315" si="1036">ROUND(AA314*S314,0)</f>
        <v>4943</v>
      </c>
      <c r="AC314" s="308">
        <f t="shared" ref="AC314:AC315" si="1037">AA314</f>
        <v>3.6252</v>
      </c>
      <c r="AD314" s="309">
        <f t="shared" si="1017"/>
        <v>4943</v>
      </c>
      <c r="AE314" s="425"/>
      <c r="AF314" s="425"/>
      <c r="AG314" s="310">
        <f t="shared" si="1018"/>
        <v>2.65</v>
      </c>
      <c r="AH314" s="252">
        <f t="shared" si="1019"/>
        <v>3614</v>
      </c>
      <c r="AI314" s="306">
        <f t="shared" ref="AI314:AI315" si="1038">ROUND(AC314*0.15,2)</f>
        <v>0.54</v>
      </c>
      <c r="AJ314" s="252">
        <f t="shared" ref="AJ314:AJ315" si="1039">ROUND(AD314*0.15,0)</f>
        <v>741</v>
      </c>
      <c r="AK314" s="426"/>
      <c r="AL314" s="426"/>
      <c r="AM314" s="426"/>
      <c r="AN314" s="426"/>
      <c r="AO314" s="426"/>
      <c r="AP314" s="426"/>
      <c r="AQ314" s="427"/>
      <c r="AR314" s="427"/>
      <c r="AS314" s="427"/>
      <c r="AT314" s="426"/>
      <c r="AU314" s="410"/>
      <c r="AV314" s="410"/>
      <c r="AW314" s="410"/>
      <c r="AX314" s="410"/>
      <c r="AY314" s="410"/>
      <c r="AZ314" s="410"/>
      <c r="BA314" s="410"/>
      <c r="BB314" s="410"/>
      <c r="BC314" s="410"/>
      <c r="BD314" s="410"/>
      <c r="BE314" s="410"/>
    </row>
    <row r="315" ht="12.75" customHeight="1">
      <c r="A315" s="245" t="s">
        <v>835</v>
      </c>
      <c r="B315" s="246" t="s">
        <v>359</v>
      </c>
      <c r="C315" s="247" t="s">
        <v>360</v>
      </c>
      <c r="D315" s="247" t="s">
        <v>206</v>
      </c>
      <c r="E315" s="248"/>
      <c r="F315" s="248"/>
      <c r="G315" s="247" t="s">
        <v>139</v>
      </c>
      <c r="H315" s="248" t="s">
        <v>1462</v>
      </c>
      <c r="I315" s="248" t="s">
        <v>105</v>
      </c>
      <c r="J315" s="300" t="s">
        <v>106</v>
      </c>
      <c r="K315" s="314">
        <f t="shared" ref="K315:R315" si="1034">-K314</f>
        <v>-3.63</v>
      </c>
      <c r="L315" s="309">
        <f t="shared" si="1034"/>
        <v>-4961</v>
      </c>
      <c r="M315" s="315">
        <f t="shared" si="1034"/>
        <v>-0.55</v>
      </c>
      <c r="N315" s="252">
        <f t="shared" si="1034"/>
        <v>-751</v>
      </c>
      <c r="O315" s="251">
        <f t="shared" si="1034"/>
        <v>-0.4</v>
      </c>
      <c r="P315" s="252">
        <f t="shared" si="1034"/>
        <v>-546</v>
      </c>
      <c r="Q315" s="251">
        <f t="shared" si="1034"/>
        <v>-0.15</v>
      </c>
      <c r="R315" s="252">
        <f t="shared" si="1034"/>
        <v>-205</v>
      </c>
      <c r="S315" s="253">
        <v>1363.6</v>
      </c>
      <c r="T315" s="254">
        <v>15.0</v>
      </c>
      <c r="U315" s="255" t="s">
        <v>107</v>
      </c>
      <c r="V315" s="255"/>
      <c r="W315" s="304">
        <v>0.4028</v>
      </c>
      <c r="X315" s="304">
        <v>0.10888</v>
      </c>
      <c r="Y315" s="304">
        <v>0.29392</v>
      </c>
      <c r="Z315" s="305">
        <f>-Z314</f>
        <v>-9</v>
      </c>
      <c r="AA315" s="306">
        <f t="shared" si="1035"/>
        <v>-3.6252</v>
      </c>
      <c r="AB315" s="307">
        <f t="shared" si="1036"/>
        <v>-4943</v>
      </c>
      <c r="AC315" s="308">
        <f t="shared" si="1037"/>
        <v>-3.6252</v>
      </c>
      <c r="AD315" s="309">
        <f t="shared" si="1017"/>
        <v>-4943</v>
      </c>
      <c r="AE315" s="425"/>
      <c r="AF315" s="425"/>
      <c r="AG315" s="310">
        <f t="shared" si="1018"/>
        <v>-2.65</v>
      </c>
      <c r="AH315" s="252">
        <f t="shared" si="1019"/>
        <v>-3614</v>
      </c>
      <c r="AI315" s="306">
        <f t="shared" si="1038"/>
        <v>-0.54</v>
      </c>
      <c r="AJ315" s="252">
        <f t="shared" si="1039"/>
        <v>-741</v>
      </c>
      <c r="AK315" s="426"/>
      <c r="AL315" s="426"/>
      <c r="AM315" s="426"/>
      <c r="AN315" s="426"/>
      <c r="AO315" s="426"/>
      <c r="AP315" s="426"/>
      <c r="AQ315" s="427"/>
      <c r="AR315" s="427"/>
      <c r="AS315" s="427"/>
      <c r="AT315" s="426"/>
      <c r="AU315" s="410"/>
      <c r="AV315" s="410"/>
      <c r="AW315" s="410"/>
      <c r="AX315" s="410"/>
      <c r="AY315" s="410"/>
      <c r="AZ315" s="410"/>
      <c r="BA315" s="410"/>
      <c r="BB315" s="410"/>
      <c r="BC315" s="410"/>
      <c r="BD315" s="410"/>
      <c r="BE315" s="410"/>
    </row>
    <row r="316" ht="12.75" customHeight="1">
      <c r="A316" s="256" t="s">
        <v>837</v>
      </c>
      <c r="B316" s="257" t="s">
        <v>359</v>
      </c>
      <c r="C316" s="258" t="s">
        <v>360</v>
      </c>
      <c r="D316" s="258" t="s">
        <v>206</v>
      </c>
      <c r="E316" s="259"/>
      <c r="F316" s="259"/>
      <c r="G316" s="258" t="s">
        <v>139</v>
      </c>
      <c r="H316" s="259" t="s">
        <v>1463</v>
      </c>
      <c r="I316" s="259" t="s">
        <v>105</v>
      </c>
      <c r="J316" s="316" t="s">
        <v>106</v>
      </c>
      <c r="K316" s="317">
        <f>ROUND(M316/0.15,2)</f>
        <v>1</v>
      </c>
      <c r="L316" s="318">
        <f>ROUND(N316/0.15,0)</f>
        <v>1367</v>
      </c>
      <c r="M316" s="319">
        <f t="shared" ref="M316:N316" si="1040">Q316</f>
        <v>0.15</v>
      </c>
      <c r="N316" s="261">
        <f t="shared" si="1040"/>
        <v>205</v>
      </c>
      <c r="O316" s="262">
        <v>0.4</v>
      </c>
      <c r="P316" s="263">
        <v>546.0</v>
      </c>
      <c r="Q316" s="260">
        <f t="shared" ref="Q316:R316" si="1041">M314-O316</f>
        <v>0.15</v>
      </c>
      <c r="R316" s="261">
        <f t="shared" si="1041"/>
        <v>205</v>
      </c>
      <c r="S316" s="264">
        <v>1363.6</v>
      </c>
      <c r="T316" s="265">
        <v>15.0</v>
      </c>
      <c r="U316" s="266" t="s">
        <v>107</v>
      </c>
      <c r="V316" s="266" t="s">
        <v>1464</v>
      </c>
      <c r="W316" s="320">
        <v>0.4028</v>
      </c>
      <c r="X316" s="320">
        <v>0.10888</v>
      </c>
      <c r="Y316" s="320">
        <v>0.29392</v>
      </c>
      <c r="Z316" s="321">
        <f>Z314</f>
        <v>9</v>
      </c>
      <c r="AA316" s="426"/>
      <c r="AB316" s="428"/>
      <c r="AC316" s="323">
        <f>IFERROR(ROUND(Z316*X316,2),0)</f>
        <v>0.98</v>
      </c>
      <c r="AD316" s="318">
        <f t="shared" si="1017"/>
        <v>1336</v>
      </c>
      <c r="AE316" s="429"/>
      <c r="AF316" s="429"/>
      <c r="AG316" s="324">
        <f t="shared" si="1018"/>
        <v>2.65</v>
      </c>
      <c r="AH316" s="261">
        <f t="shared" si="1019"/>
        <v>3614</v>
      </c>
      <c r="AI316" s="426"/>
      <c r="AJ316" s="426"/>
      <c r="AK316" s="325">
        <f>ROUND(AC316*0.15,2)</f>
        <v>0.15</v>
      </c>
      <c r="AL316" s="261">
        <f>ROUND(AD316*0.15,0)</f>
        <v>200</v>
      </c>
      <c r="AM316" s="325"/>
      <c r="AN316" s="325"/>
      <c r="AO316" s="325">
        <f>ROUND(AG316*0.15,2)</f>
        <v>0.4</v>
      </c>
      <c r="AP316" s="261">
        <f>ROUND(AH316*0.15,0)</f>
        <v>542</v>
      </c>
      <c r="AQ316" s="326"/>
      <c r="AR316" s="326"/>
      <c r="AS316" s="326">
        <f>IFERROR(AC316/K316,IFERROR(AO316/O316,""))</f>
        <v>0.98</v>
      </c>
      <c r="AT316" s="426"/>
      <c r="AU316" s="410"/>
      <c r="AV316" s="410"/>
      <c r="AW316" s="410"/>
      <c r="AX316" s="410"/>
      <c r="AY316" s="410"/>
      <c r="AZ316" s="410"/>
      <c r="BA316" s="410"/>
      <c r="BB316" s="410"/>
      <c r="BC316" s="410"/>
      <c r="BD316" s="410"/>
      <c r="BE316" s="410"/>
    </row>
    <row r="317" ht="12.75" customHeight="1">
      <c r="A317" s="245" t="s">
        <v>539</v>
      </c>
      <c r="B317" s="246" t="s">
        <v>359</v>
      </c>
      <c r="C317" s="247" t="s">
        <v>360</v>
      </c>
      <c r="D317" s="247" t="s">
        <v>213</v>
      </c>
      <c r="E317" s="248"/>
      <c r="F317" s="248"/>
      <c r="G317" s="247" t="s">
        <v>127</v>
      </c>
      <c r="H317" s="248" t="s">
        <v>1465</v>
      </c>
      <c r="I317" s="248" t="s">
        <v>105</v>
      </c>
      <c r="J317" s="300" t="s">
        <v>106</v>
      </c>
      <c r="K317" s="301">
        <v>4.03</v>
      </c>
      <c r="L317" s="302">
        <v>5518.0</v>
      </c>
      <c r="M317" s="303">
        <v>0.6</v>
      </c>
      <c r="N317" s="250">
        <v>821.0</v>
      </c>
      <c r="O317" s="249">
        <v>0.31</v>
      </c>
      <c r="P317" s="250">
        <v>424.0</v>
      </c>
      <c r="Q317" s="251">
        <f t="shared" ref="Q317:R317" si="1042">M317-O317</f>
        <v>0.29</v>
      </c>
      <c r="R317" s="252">
        <f t="shared" si="1042"/>
        <v>397</v>
      </c>
      <c r="S317" s="253">
        <v>1369.4</v>
      </c>
      <c r="T317" s="254">
        <v>15.0</v>
      </c>
      <c r="U317" s="255" t="s">
        <v>107</v>
      </c>
      <c r="V317" s="255"/>
      <c r="W317" s="304">
        <v>0.6721</v>
      </c>
      <c r="X317" s="304">
        <v>0.318256</v>
      </c>
      <c r="Y317" s="304">
        <v>0.353844</v>
      </c>
      <c r="Z317" s="305">
        <f>IFERROR(ROUND(K317/W317,0),0)</f>
        <v>6</v>
      </c>
      <c r="AA317" s="306">
        <f t="shared" ref="AA317:AA318" si="1044">Z317*W317</f>
        <v>4.0326</v>
      </c>
      <c r="AB317" s="307">
        <f t="shared" ref="AB317:AB318" si="1045">ROUND(AA317*S317,0)</f>
        <v>5522</v>
      </c>
      <c r="AC317" s="308">
        <f t="shared" ref="AC317:AC318" si="1046">AA317</f>
        <v>4.0326</v>
      </c>
      <c r="AD317" s="309">
        <f t="shared" si="1017"/>
        <v>5522</v>
      </c>
      <c r="AE317" s="425"/>
      <c r="AF317" s="425"/>
      <c r="AG317" s="310">
        <f t="shared" si="1018"/>
        <v>2.12</v>
      </c>
      <c r="AH317" s="252">
        <f t="shared" si="1019"/>
        <v>2903</v>
      </c>
      <c r="AI317" s="306">
        <f t="shared" ref="AI317:AI318" si="1047">ROUND(AC317*0.15,2)</f>
        <v>0.6</v>
      </c>
      <c r="AJ317" s="252">
        <f t="shared" ref="AJ317:AJ318" si="1048">ROUND(AD317*0.15,0)</f>
        <v>828</v>
      </c>
      <c r="AK317" s="426"/>
      <c r="AL317" s="426"/>
      <c r="AM317" s="426"/>
      <c r="AN317" s="426"/>
      <c r="AO317" s="426"/>
      <c r="AP317" s="426"/>
      <c r="AQ317" s="427"/>
      <c r="AR317" s="427"/>
      <c r="AS317" s="427"/>
      <c r="AT317" s="426"/>
      <c r="AU317" s="410"/>
      <c r="AV317" s="410"/>
      <c r="AW317" s="410"/>
      <c r="AX317" s="410"/>
      <c r="AY317" s="410"/>
      <c r="AZ317" s="410"/>
      <c r="BA317" s="410"/>
      <c r="BB317" s="410"/>
      <c r="BC317" s="410"/>
      <c r="BD317" s="410"/>
      <c r="BE317" s="410"/>
    </row>
    <row r="318" ht="12.75" customHeight="1">
      <c r="A318" s="245" t="s">
        <v>540</v>
      </c>
      <c r="B318" s="246" t="s">
        <v>359</v>
      </c>
      <c r="C318" s="247" t="s">
        <v>360</v>
      </c>
      <c r="D318" s="247" t="s">
        <v>213</v>
      </c>
      <c r="E318" s="248"/>
      <c r="F318" s="248"/>
      <c r="G318" s="247" t="s">
        <v>127</v>
      </c>
      <c r="H318" s="248" t="s">
        <v>1466</v>
      </c>
      <c r="I318" s="248" t="s">
        <v>105</v>
      </c>
      <c r="J318" s="300" t="s">
        <v>106</v>
      </c>
      <c r="K318" s="314">
        <f t="shared" ref="K318:R318" si="1043">-K317</f>
        <v>-4.03</v>
      </c>
      <c r="L318" s="309">
        <f t="shared" si="1043"/>
        <v>-5518</v>
      </c>
      <c r="M318" s="315">
        <f t="shared" si="1043"/>
        <v>-0.6</v>
      </c>
      <c r="N318" s="252">
        <f t="shared" si="1043"/>
        <v>-821</v>
      </c>
      <c r="O318" s="251">
        <f t="shared" si="1043"/>
        <v>-0.31</v>
      </c>
      <c r="P318" s="252">
        <f t="shared" si="1043"/>
        <v>-424</v>
      </c>
      <c r="Q318" s="251">
        <f t="shared" si="1043"/>
        <v>-0.29</v>
      </c>
      <c r="R318" s="252">
        <f t="shared" si="1043"/>
        <v>-397</v>
      </c>
      <c r="S318" s="253">
        <v>1369.4</v>
      </c>
      <c r="T318" s="254">
        <v>15.0</v>
      </c>
      <c r="U318" s="255" t="s">
        <v>107</v>
      </c>
      <c r="V318" s="255"/>
      <c r="W318" s="304">
        <v>0.6721</v>
      </c>
      <c r="X318" s="304">
        <v>0.318256</v>
      </c>
      <c r="Y318" s="304">
        <v>0.353844</v>
      </c>
      <c r="Z318" s="305">
        <f>-Z317</f>
        <v>-6</v>
      </c>
      <c r="AA318" s="306">
        <f t="shared" si="1044"/>
        <v>-4.0326</v>
      </c>
      <c r="AB318" s="307">
        <f t="shared" si="1045"/>
        <v>-5522</v>
      </c>
      <c r="AC318" s="308">
        <f t="shared" si="1046"/>
        <v>-4.0326</v>
      </c>
      <c r="AD318" s="309">
        <f t="shared" si="1017"/>
        <v>-5522</v>
      </c>
      <c r="AE318" s="425"/>
      <c r="AF318" s="425"/>
      <c r="AG318" s="310">
        <f t="shared" si="1018"/>
        <v>-2.12</v>
      </c>
      <c r="AH318" s="252">
        <f t="shared" si="1019"/>
        <v>-2903</v>
      </c>
      <c r="AI318" s="306">
        <f t="shared" si="1047"/>
        <v>-0.6</v>
      </c>
      <c r="AJ318" s="252">
        <f t="shared" si="1048"/>
        <v>-828</v>
      </c>
      <c r="AK318" s="426"/>
      <c r="AL318" s="426"/>
      <c r="AM318" s="426"/>
      <c r="AN318" s="426"/>
      <c r="AO318" s="426"/>
      <c r="AP318" s="426"/>
      <c r="AQ318" s="427"/>
      <c r="AR318" s="427"/>
      <c r="AS318" s="427"/>
      <c r="AT318" s="426"/>
      <c r="AU318" s="410"/>
      <c r="AV318" s="410"/>
      <c r="AW318" s="410"/>
      <c r="AX318" s="410"/>
      <c r="AY318" s="410"/>
      <c r="AZ318" s="410"/>
      <c r="BA318" s="410"/>
      <c r="BB318" s="410"/>
      <c r="BC318" s="410"/>
      <c r="BD318" s="410"/>
      <c r="BE318" s="410"/>
    </row>
    <row r="319" ht="12.75" customHeight="1">
      <c r="A319" s="256" t="s">
        <v>541</v>
      </c>
      <c r="B319" s="257" t="s">
        <v>359</v>
      </c>
      <c r="C319" s="258" t="s">
        <v>360</v>
      </c>
      <c r="D319" s="258" t="s">
        <v>213</v>
      </c>
      <c r="E319" s="259"/>
      <c r="F319" s="259"/>
      <c r="G319" s="258" t="s">
        <v>127</v>
      </c>
      <c r="H319" s="259" t="s">
        <v>1467</v>
      </c>
      <c r="I319" s="259" t="s">
        <v>105</v>
      </c>
      <c r="J319" s="316" t="s">
        <v>106</v>
      </c>
      <c r="K319" s="317">
        <f>ROUND(M319/0.15,2)</f>
        <v>1.93</v>
      </c>
      <c r="L319" s="318">
        <f>ROUND(N319/0.15,0)</f>
        <v>2647</v>
      </c>
      <c r="M319" s="319">
        <f t="shared" ref="M319:N319" si="1049">Q319</f>
        <v>0.29</v>
      </c>
      <c r="N319" s="261">
        <f t="shared" si="1049"/>
        <v>397</v>
      </c>
      <c r="O319" s="262">
        <v>0.31</v>
      </c>
      <c r="P319" s="263">
        <v>424.0</v>
      </c>
      <c r="Q319" s="260">
        <f t="shared" ref="Q319:R319" si="1050">M317-O319</f>
        <v>0.29</v>
      </c>
      <c r="R319" s="261">
        <f t="shared" si="1050"/>
        <v>397</v>
      </c>
      <c r="S319" s="264">
        <v>1369.4</v>
      </c>
      <c r="T319" s="265">
        <v>15.0</v>
      </c>
      <c r="U319" s="266" t="s">
        <v>107</v>
      </c>
      <c r="V319" s="266" t="s">
        <v>1468</v>
      </c>
      <c r="W319" s="320">
        <v>0.6721</v>
      </c>
      <c r="X319" s="320">
        <v>0.318256</v>
      </c>
      <c r="Y319" s="320">
        <v>0.353844</v>
      </c>
      <c r="Z319" s="321">
        <f>Z317</f>
        <v>6</v>
      </c>
      <c r="AA319" s="426"/>
      <c r="AB319" s="428"/>
      <c r="AC319" s="323">
        <f>IFERROR(ROUND(Z319*X319,2),0)</f>
        <v>1.91</v>
      </c>
      <c r="AD319" s="318">
        <f t="shared" si="1017"/>
        <v>2616</v>
      </c>
      <c r="AE319" s="429"/>
      <c r="AF319" s="429"/>
      <c r="AG319" s="324">
        <f t="shared" si="1018"/>
        <v>2.12</v>
      </c>
      <c r="AH319" s="261">
        <f t="shared" si="1019"/>
        <v>2903</v>
      </c>
      <c r="AI319" s="426"/>
      <c r="AJ319" s="426"/>
      <c r="AK319" s="325">
        <f>ROUND(AC319*0.15,2)</f>
        <v>0.29</v>
      </c>
      <c r="AL319" s="261">
        <f>ROUND(AD319*0.15,0)</f>
        <v>392</v>
      </c>
      <c r="AM319" s="325"/>
      <c r="AN319" s="325"/>
      <c r="AO319" s="325">
        <f>ROUND(AG319*0.15,2)</f>
        <v>0.32</v>
      </c>
      <c r="AP319" s="261">
        <f>ROUND(AH319*0.15,0)</f>
        <v>435</v>
      </c>
      <c r="AQ319" s="326"/>
      <c r="AR319" s="326"/>
      <c r="AS319" s="326">
        <f>IFERROR(AC319/K319,IFERROR(AO319/O319,""))</f>
        <v>0.9896373057</v>
      </c>
      <c r="AT319" s="426"/>
      <c r="AU319" s="410"/>
      <c r="AV319" s="410"/>
      <c r="AW319" s="410"/>
      <c r="AX319" s="410"/>
      <c r="AY319" s="410"/>
      <c r="AZ319" s="410"/>
      <c r="BA319" s="410"/>
      <c r="BB319" s="410"/>
      <c r="BC319" s="410"/>
      <c r="BD319" s="410"/>
      <c r="BE319" s="410"/>
    </row>
    <row r="320" ht="12.75" customHeight="1">
      <c r="A320" s="267" t="s">
        <v>844</v>
      </c>
      <c r="B320" s="268" t="s">
        <v>359</v>
      </c>
      <c r="C320" s="269" t="s">
        <v>360</v>
      </c>
      <c r="D320" s="269" t="s">
        <v>218</v>
      </c>
      <c r="E320" s="270"/>
      <c r="F320" s="270"/>
      <c r="G320" s="269" t="s">
        <v>288</v>
      </c>
      <c r="H320" s="270" t="s">
        <v>1469</v>
      </c>
      <c r="I320" s="270" t="s">
        <v>105</v>
      </c>
      <c r="J320" s="354" t="s">
        <v>106</v>
      </c>
      <c r="K320" s="355">
        <v>4.88</v>
      </c>
      <c r="L320" s="356">
        <v>6605.0</v>
      </c>
      <c r="M320" s="357">
        <v>0.73</v>
      </c>
      <c r="N320" s="272">
        <v>988.0</v>
      </c>
      <c r="O320" s="271">
        <v>0.0</v>
      </c>
      <c r="P320" s="272">
        <v>0.0</v>
      </c>
      <c r="Q320" s="273">
        <f t="shared" ref="Q320:R320" si="1051">M320-O320</f>
        <v>0.73</v>
      </c>
      <c r="R320" s="274">
        <f t="shared" si="1051"/>
        <v>988</v>
      </c>
      <c r="S320" s="275">
        <v>1353.6</v>
      </c>
      <c r="T320" s="276">
        <v>15.0</v>
      </c>
      <c r="U320" s="277" t="s">
        <v>107</v>
      </c>
      <c r="V320" s="277"/>
      <c r="W320" s="468"/>
      <c r="X320" s="468"/>
      <c r="Y320" s="468"/>
      <c r="Z320" s="468"/>
      <c r="AA320" s="468"/>
      <c r="AB320" s="469"/>
      <c r="AC320" s="470">
        <f t="shared" ref="AC320:AD320" si="1052">K320</f>
        <v>4.88</v>
      </c>
      <c r="AD320" s="471">
        <f t="shared" si="1052"/>
        <v>6605</v>
      </c>
      <c r="AE320" s="472"/>
      <c r="AF320" s="472"/>
      <c r="AG320" s="473"/>
      <c r="AH320" s="468"/>
      <c r="AI320" s="468"/>
      <c r="AJ320" s="468"/>
      <c r="AK320" s="474">
        <f t="shared" ref="AK320:AL320" si="1053">Q320</f>
        <v>0.73</v>
      </c>
      <c r="AL320" s="475">
        <f t="shared" si="1053"/>
        <v>988</v>
      </c>
      <c r="AM320" s="468"/>
      <c r="AN320" s="468"/>
      <c r="AO320" s="468"/>
      <c r="AP320" s="468"/>
      <c r="AQ320" s="476"/>
      <c r="AR320" s="476"/>
      <c r="AS320" s="476"/>
      <c r="AT320" s="468"/>
      <c r="AU320" s="477"/>
      <c r="AV320" s="477"/>
      <c r="AW320" s="477"/>
      <c r="AX320" s="477"/>
      <c r="AY320" s="477"/>
      <c r="AZ320" s="477"/>
      <c r="BA320" s="477"/>
      <c r="BB320" s="477"/>
      <c r="BC320" s="477"/>
      <c r="BD320" s="477"/>
      <c r="BE320" s="477"/>
    </row>
    <row r="321" ht="12.75" customHeight="1">
      <c r="A321" s="245" t="s">
        <v>547</v>
      </c>
      <c r="B321" s="246" t="s">
        <v>359</v>
      </c>
      <c r="C321" s="247" t="s">
        <v>360</v>
      </c>
      <c r="D321" s="247" t="s">
        <v>218</v>
      </c>
      <c r="E321" s="248"/>
      <c r="F321" s="248"/>
      <c r="G321" s="247" t="s">
        <v>131</v>
      </c>
      <c r="H321" s="248" t="s">
        <v>1470</v>
      </c>
      <c r="I321" s="248" t="s">
        <v>105</v>
      </c>
      <c r="J321" s="300" t="s">
        <v>106</v>
      </c>
      <c r="K321" s="301">
        <v>4.28</v>
      </c>
      <c r="L321" s="302">
        <v>5793.0</v>
      </c>
      <c r="M321" s="303">
        <v>0.64</v>
      </c>
      <c r="N321" s="250">
        <v>866.0</v>
      </c>
      <c r="O321" s="249">
        <v>0.62</v>
      </c>
      <c r="P321" s="250">
        <v>839.0</v>
      </c>
      <c r="Q321" s="251">
        <f t="shared" ref="Q321:R321" si="1054">M321-O321</f>
        <v>0.02</v>
      </c>
      <c r="R321" s="252">
        <f t="shared" si="1054"/>
        <v>27</v>
      </c>
      <c r="S321" s="253">
        <v>1353.6</v>
      </c>
      <c r="T321" s="254">
        <v>15.0</v>
      </c>
      <c r="U321" s="255" t="s">
        <v>107</v>
      </c>
      <c r="V321" s="255"/>
      <c r="W321" s="304">
        <v>0.5354</v>
      </c>
      <c r="X321" s="304">
        <v>0.015813</v>
      </c>
      <c r="Y321" s="304">
        <v>0.519587</v>
      </c>
      <c r="Z321" s="305">
        <f>IFERROR(ROUND(K321/W321,0),0)</f>
        <v>8</v>
      </c>
      <c r="AA321" s="306">
        <f t="shared" ref="AA321:AA322" si="1056">Z321*W321</f>
        <v>4.2832</v>
      </c>
      <c r="AB321" s="307">
        <f t="shared" ref="AB321:AB322" si="1057">ROUND(AA321*S321,0)</f>
        <v>5798</v>
      </c>
      <c r="AC321" s="308">
        <f t="shared" ref="AC321:AC322" si="1058">AA321</f>
        <v>4.2832</v>
      </c>
      <c r="AD321" s="309">
        <f t="shared" ref="AD321:AD325" si="1059">ROUND(AC321*S321,0)</f>
        <v>5798</v>
      </c>
      <c r="AE321" s="425"/>
      <c r="AF321" s="425"/>
      <c r="AG321" s="310">
        <f t="shared" ref="AG321:AG325" si="1060">IFERROR(ROUND(Z321*Y321,2),0)</f>
        <v>4.16</v>
      </c>
      <c r="AH321" s="252">
        <f t="shared" ref="AH321:AH325" si="1061">ROUND(AG321*S321,0)</f>
        <v>5631</v>
      </c>
      <c r="AI321" s="306">
        <f t="shared" ref="AI321:AI322" si="1062">ROUND(AC321*0.15,2)</f>
        <v>0.64</v>
      </c>
      <c r="AJ321" s="252">
        <f t="shared" ref="AJ321:AJ322" si="1063">ROUND(AD321*0.15,0)</f>
        <v>870</v>
      </c>
      <c r="AK321" s="426"/>
      <c r="AL321" s="426"/>
      <c r="AM321" s="426"/>
      <c r="AN321" s="426"/>
      <c r="AO321" s="426"/>
      <c r="AP321" s="426"/>
      <c r="AQ321" s="427"/>
      <c r="AR321" s="427"/>
      <c r="AS321" s="427"/>
      <c r="AT321" s="426"/>
      <c r="AU321" s="410"/>
      <c r="AV321" s="410"/>
      <c r="AW321" s="410"/>
      <c r="AX321" s="410"/>
      <c r="AY321" s="410"/>
      <c r="AZ321" s="410"/>
      <c r="BA321" s="410"/>
      <c r="BB321" s="410"/>
      <c r="BC321" s="410"/>
      <c r="BD321" s="410"/>
      <c r="BE321" s="410"/>
    </row>
    <row r="322" ht="12.75" customHeight="1">
      <c r="A322" s="245" t="s">
        <v>548</v>
      </c>
      <c r="B322" s="246" t="s">
        <v>359</v>
      </c>
      <c r="C322" s="247" t="s">
        <v>360</v>
      </c>
      <c r="D322" s="247" t="s">
        <v>218</v>
      </c>
      <c r="E322" s="248"/>
      <c r="F322" s="248"/>
      <c r="G322" s="247" t="s">
        <v>131</v>
      </c>
      <c r="H322" s="248" t="s">
        <v>1471</v>
      </c>
      <c r="I322" s="248" t="s">
        <v>105</v>
      </c>
      <c r="J322" s="300" t="s">
        <v>106</v>
      </c>
      <c r="K322" s="314">
        <f t="shared" ref="K322:R322" si="1055">-K321</f>
        <v>-4.28</v>
      </c>
      <c r="L322" s="309">
        <f t="shared" si="1055"/>
        <v>-5793</v>
      </c>
      <c r="M322" s="315">
        <f t="shared" si="1055"/>
        <v>-0.64</v>
      </c>
      <c r="N322" s="252">
        <f t="shared" si="1055"/>
        <v>-866</v>
      </c>
      <c r="O322" s="251">
        <f t="shared" si="1055"/>
        <v>-0.62</v>
      </c>
      <c r="P322" s="252">
        <f t="shared" si="1055"/>
        <v>-839</v>
      </c>
      <c r="Q322" s="251">
        <f t="shared" si="1055"/>
        <v>-0.02</v>
      </c>
      <c r="R322" s="252">
        <f t="shared" si="1055"/>
        <v>-27</v>
      </c>
      <c r="S322" s="253">
        <v>1353.6</v>
      </c>
      <c r="T322" s="254">
        <v>15.0</v>
      </c>
      <c r="U322" s="255" t="s">
        <v>107</v>
      </c>
      <c r="V322" s="255"/>
      <c r="W322" s="304">
        <v>0.5354</v>
      </c>
      <c r="X322" s="304">
        <v>0.015813</v>
      </c>
      <c r="Y322" s="304">
        <v>0.519587</v>
      </c>
      <c r="Z322" s="305">
        <f>-Z321</f>
        <v>-8</v>
      </c>
      <c r="AA322" s="306">
        <f t="shared" si="1056"/>
        <v>-4.2832</v>
      </c>
      <c r="AB322" s="307">
        <f t="shared" si="1057"/>
        <v>-5798</v>
      </c>
      <c r="AC322" s="308">
        <f t="shared" si="1058"/>
        <v>-4.2832</v>
      </c>
      <c r="AD322" s="309">
        <f t="shared" si="1059"/>
        <v>-5798</v>
      </c>
      <c r="AE322" s="425"/>
      <c r="AF322" s="425"/>
      <c r="AG322" s="310">
        <f t="shared" si="1060"/>
        <v>-4.16</v>
      </c>
      <c r="AH322" s="252">
        <f t="shared" si="1061"/>
        <v>-5631</v>
      </c>
      <c r="AI322" s="306">
        <f t="shared" si="1062"/>
        <v>-0.64</v>
      </c>
      <c r="AJ322" s="252">
        <f t="shared" si="1063"/>
        <v>-870</v>
      </c>
      <c r="AK322" s="426"/>
      <c r="AL322" s="426"/>
      <c r="AM322" s="426"/>
      <c r="AN322" s="426"/>
      <c r="AO322" s="426"/>
      <c r="AP322" s="426"/>
      <c r="AQ322" s="427"/>
      <c r="AR322" s="427"/>
      <c r="AS322" s="427"/>
      <c r="AT322" s="426"/>
      <c r="AU322" s="410"/>
      <c r="AV322" s="410"/>
      <c r="AW322" s="410"/>
      <c r="AX322" s="410"/>
      <c r="AY322" s="410"/>
      <c r="AZ322" s="410"/>
      <c r="BA322" s="410"/>
      <c r="BB322" s="410"/>
      <c r="BC322" s="410"/>
      <c r="BD322" s="410"/>
      <c r="BE322" s="410"/>
    </row>
    <row r="323" ht="12.75" customHeight="1">
      <c r="A323" s="256" t="s">
        <v>549</v>
      </c>
      <c r="B323" s="257" t="s">
        <v>359</v>
      </c>
      <c r="C323" s="258" t="s">
        <v>360</v>
      </c>
      <c r="D323" s="258" t="s">
        <v>218</v>
      </c>
      <c r="E323" s="259"/>
      <c r="F323" s="259"/>
      <c r="G323" s="258" t="s">
        <v>131</v>
      </c>
      <c r="H323" s="259" t="s">
        <v>1472</v>
      </c>
      <c r="I323" s="259" t="s">
        <v>105</v>
      </c>
      <c r="J323" s="316" t="s">
        <v>106</v>
      </c>
      <c r="K323" s="317">
        <f>ROUND(M323/0.15,2)</f>
        <v>0.13</v>
      </c>
      <c r="L323" s="318">
        <f>ROUND(N323/0.15,0)</f>
        <v>180</v>
      </c>
      <c r="M323" s="319">
        <f t="shared" ref="M323:N323" si="1064">Q323</f>
        <v>0.02</v>
      </c>
      <c r="N323" s="261">
        <f t="shared" si="1064"/>
        <v>27</v>
      </c>
      <c r="O323" s="262">
        <v>0.62</v>
      </c>
      <c r="P323" s="263">
        <v>839.0</v>
      </c>
      <c r="Q323" s="260">
        <f t="shared" ref="Q323:R323" si="1065">M321-O323</f>
        <v>0.02</v>
      </c>
      <c r="R323" s="261">
        <f t="shared" si="1065"/>
        <v>27</v>
      </c>
      <c r="S323" s="264">
        <v>1353.6</v>
      </c>
      <c r="T323" s="265">
        <v>15.0</v>
      </c>
      <c r="U323" s="266" t="s">
        <v>107</v>
      </c>
      <c r="V323" s="266" t="s">
        <v>1473</v>
      </c>
      <c r="W323" s="320">
        <v>0.5354</v>
      </c>
      <c r="X323" s="320">
        <v>0.015813</v>
      </c>
      <c r="Y323" s="320">
        <v>0.519587</v>
      </c>
      <c r="Z323" s="321">
        <f>Z321</f>
        <v>8</v>
      </c>
      <c r="AA323" s="426"/>
      <c r="AB323" s="428"/>
      <c r="AC323" s="323">
        <f>IFERROR(ROUND(Z323*X323,2),0)</f>
        <v>0.13</v>
      </c>
      <c r="AD323" s="318">
        <f t="shared" si="1059"/>
        <v>176</v>
      </c>
      <c r="AE323" s="429"/>
      <c r="AF323" s="429"/>
      <c r="AG323" s="324">
        <f t="shared" si="1060"/>
        <v>4.16</v>
      </c>
      <c r="AH323" s="261">
        <f t="shared" si="1061"/>
        <v>5631</v>
      </c>
      <c r="AI323" s="426"/>
      <c r="AJ323" s="426"/>
      <c r="AK323" s="325">
        <f>ROUND(AC323*0.15,2)</f>
        <v>0.02</v>
      </c>
      <c r="AL323" s="261">
        <f>ROUND(AD323*0.15,0)</f>
        <v>26</v>
      </c>
      <c r="AM323" s="325"/>
      <c r="AN323" s="325"/>
      <c r="AO323" s="325">
        <f>ROUND(AG323*0.15,2)</f>
        <v>0.62</v>
      </c>
      <c r="AP323" s="261">
        <f>ROUND(AH323*0.15,0)</f>
        <v>845</v>
      </c>
      <c r="AQ323" s="326"/>
      <c r="AR323" s="326"/>
      <c r="AS323" s="326">
        <f>IFERROR(AC323/K323,IFERROR(AO323/O323,""))</f>
        <v>1</v>
      </c>
      <c r="AT323" s="478"/>
      <c r="AU323" s="410"/>
      <c r="AV323" s="410"/>
      <c r="AW323" s="410"/>
      <c r="AX323" s="410"/>
      <c r="AY323" s="410"/>
      <c r="AZ323" s="410"/>
      <c r="BA323" s="410"/>
      <c r="BB323" s="410"/>
      <c r="BC323" s="410"/>
      <c r="BD323" s="410"/>
      <c r="BE323" s="410"/>
    </row>
    <row r="324" ht="12.75" customHeight="1">
      <c r="A324" s="245" t="s">
        <v>551</v>
      </c>
      <c r="B324" s="246" t="s">
        <v>359</v>
      </c>
      <c r="C324" s="247" t="s">
        <v>360</v>
      </c>
      <c r="D324" s="247" t="s">
        <v>218</v>
      </c>
      <c r="E324" s="248"/>
      <c r="F324" s="248"/>
      <c r="G324" s="247" t="s">
        <v>377</v>
      </c>
      <c r="H324" s="248" t="s">
        <v>1474</v>
      </c>
      <c r="I324" s="248" t="s">
        <v>105</v>
      </c>
      <c r="J324" s="300" t="s">
        <v>106</v>
      </c>
      <c r="K324" s="301">
        <v>0.44</v>
      </c>
      <c r="L324" s="302">
        <v>595.0</v>
      </c>
      <c r="M324" s="303">
        <v>0.07</v>
      </c>
      <c r="N324" s="250">
        <v>94.0</v>
      </c>
      <c r="O324" s="249">
        <v>0.05</v>
      </c>
      <c r="P324" s="250">
        <v>67.0</v>
      </c>
      <c r="Q324" s="251">
        <f t="shared" ref="Q324:R324" si="1066">M324-O324</f>
        <v>0.02</v>
      </c>
      <c r="R324" s="252">
        <f t="shared" si="1066"/>
        <v>27</v>
      </c>
      <c r="S324" s="253">
        <v>1353.6</v>
      </c>
      <c r="T324" s="254">
        <v>15.0</v>
      </c>
      <c r="U324" s="255" t="s">
        <v>107</v>
      </c>
      <c r="V324" s="255"/>
      <c r="W324" s="304">
        <v>0.085544</v>
      </c>
      <c r="X324" s="304">
        <v>0.085544</v>
      </c>
      <c r="Y324" s="304">
        <v>0.0</v>
      </c>
      <c r="Z324" s="305">
        <f>IFERROR(ROUND(K324/W324,0),0)</f>
        <v>5</v>
      </c>
      <c r="AA324" s="306">
        <f t="shared" ref="AA324:AA325" si="1068">Z324*W324</f>
        <v>0.42772</v>
      </c>
      <c r="AB324" s="307">
        <f t="shared" ref="AB324:AB325" si="1069">ROUND(AA324*S324,0)</f>
        <v>579</v>
      </c>
      <c r="AC324" s="308">
        <f t="shared" ref="AC324:AC325" si="1070">AA324</f>
        <v>0.42772</v>
      </c>
      <c r="AD324" s="309">
        <f t="shared" si="1059"/>
        <v>579</v>
      </c>
      <c r="AE324" s="425"/>
      <c r="AF324" s="425"/>
      <c r="AG324" s="310">
        <f t="shared" si="1060"/>
        <v>0</v>
      </c>
      <c r="AH324" s="252">
        <f t="shared" si="1061"/>
        <v>0</v>
      </c>
      <c r="AI324" s="306">
        <f t="shared" ref="AI324:AI325" si="1071">ROUND(AC324*0.15,2)</f>
        <v>0.06</v>
      </c>
      <c r="AJ324" s="252">
        <f t="shared" ref="AJ324:AJ325" si="1072">ROUND(AD324*0.15,0)</f>
        <v>87</v>
      </c>
      <c r="AK324" s="426"/>
      <c r="AL324" s="426"/>
      <c r="AM324" s="426"/>
      <c r="AN324" s="426"/>
      <c r="AO324" s="426"/>
      <c r="AP324" s="426"/>
      <c r="AQ324" s="427"/>
      <c r="AR324" s="427"/>
      <c r="AS324" s="479"/>
      <c r="AT324" s="430" t="s">
        <v>1274</v>
      </c>
      <c r="AU324" s="431"/>
      <c r="AV324" s="431"/>
      <c r="AW324" s="431"/>
      <c r="AX324" s="431"/>
      <c r="AY324" s="431"/>
      <c r="AZ324" s="431"/>
      <c r="BA324" s="431"/>
      <c r="BB324" s="431"/>
      <c r="BC324" s="431"/>
      <c r="BD324" s="431"/>
      <c r="BE324" s="431"/>
    </row>
    <row r="325" ht="12.75" customHeight="1">
      <c r="A325" s="245" t="s">
        <v>552</v>
      </c>
      <c r="B325" s="246" t="s">
        <v>359</v>
      </c>
      <c r="C325" s="247" t="s">
        <v>360</v>
      </c>
      <c r="D325" s="247" t="s">
        <v>218</v>
      </c>
      <c r="E325" s="248"/>
      <c r="F325" s="248"/>
      <c r="G325" s="247" t="s">
        <v>377</v>
      </c>
      <c r="H325" s="248" t="s">
        <v>1475</v>
      </c>
      <c r="I325" s="248" t="s">
        <v>105</v>
      </c>
      <c r="J325" s="300" t="s">
        <v>106</v>
      </c>
      <c r="K325" s="314">
        <f t="shared" ref="K325:R325" si="1067">-K324</f>
        <v>-0.44</v>
      </c>
      <c r="L325" s="309">
        <f t="shared" si="1067"/>
        <v>-595</v>
      </c>
      <c r="M325" s="315">
        <f t="shared" si="1067"/>
        <v>-0.07</v>
      </c>
      <c r="N325" s="252">
        <f t="shared" si="1067"/>
        <v>-94</v>
      </c>
      <c r="O325" s="251">
        <f t="shared" si="1067"/>
        <v>-0.05</v>
      </c>
      <c r="P325" s="252">
        <f t="shared" si="1067"/>
        <v>-67</v>
      </c>
      <c r="Q325" s="251">
        <f t="shared" si="1067"/>
        <v>-0.02</v>
      </c>
      <c r="R325" s="252">
        <f t="shared" si="1067"/>
        <v>-27</v>
      </c>
      <c r="S325" s="253">
        <v>1353.6</v>
      </c>
      <c r="T325" s="254">
        <v>15.0</v>
      </c>
      <c r="U325" s="255" t="s">
        <v>107</v>
      </c>
      <c r="V325" s="255"/>
      <c r="W325" s="304">
        <v>0.085544</v>
      </c>
      <c r="X325" s="304">
        <v>0.085544</v>
      </c>
      <c r="Y325" s="304">
        <v>0.0</v>
      </c>
      <c r="Z325" s="305">
        <f>-Z324</f>
        <v>-5</v>
      </c>
      <c r="AA325" s="306">
        <f t="shared" si="1068"/>
        <v>-0.42772</v>
      </c>
      <c r="AB325" s="307">
        <f t="shared" si="1069"/>
        <v>-579</v>
      </c>
      <c r="AC325" s="308">
        <f t="shared" si="1070"/>
        <v>-0.42772</v>
      </c>
      <c r="AD325" s="309">
        <f t="shared" si="1059"/>
        <v>-579</v>
      </c>
      <c r="AE325" s="425"/>
      <c r="AF325" s="425"/>
      <c r="AG325" s="310">
        <f t="shared" si="1060"/>
        <v>0</v>
      </c>
      <c r="AH325" s="252">
        <f t="shared" si="1061"/>
        <v>0</v>
      </c>
      <c r="AI325" s="306">
        <f t="shared" si="1071"/>
        <v>-0.06</v>
      </c>
      <c r="AJ325" s="252">
        <f t="shared" si="1072"/>
        <v>-87</v>
      </c>
      <c r="AK325" s="426"/>
      <c r="AL325" s="426"/>
      <c r="AM325" s="426"/>
      <c r="AN325" s="426"/>
      <c r="AO325" s="426"/>
      <c r="AP325" s="426"/>
      <c r="AQ325" s="427"/>
      <c r="AR325" s="427"/>
      <c r="AS325" s="479"/>
      <c r="AT325" s="430" t="s">
        <v>1274</v>
      </c>
      <c r="AU325" s="431"/>
      <c r="AV325" s="431"/>
      <c r="AW325" s="431"/>
      <c r="AX325" s="431"/>
      <c r="AY325" s="431"/>
      <c r="AZ325" s="431"/>
      <c r="BA325" s="431"/>
      <c r="BB325" s="431"/>
      <c r="BC325" s="431"/>
      <c r="BD325" s="431"/>
      <c r="BE325" s="431"/>
    </row>
    <row r="326" ht="12.75" customHeight="1">
      <c r="A326" s="256" t="s">
        <v>553</v>
      </c>
      <c r="B326" s="257" t="s">
        <v>359</v>
      </c>
      <c r="C326" s="258" t="s">
        <v>360</v>
      </c>
      <c r="D326" s="258" t="s">
        <v>218</v>
      </c>
      <c r="E326" s="259"/>
      <c r="F326" s="259"/>
      <c r="G326" s="258" t="s">
        <v>377</v>
      </c>
      <c r="H326" s="259" t="s">
        <v>1476</v>
      </c>
      <c r="I326" s="259" t="s">
        <v>105</v>
      </c>
      <c r="J326" s="316" t="s">
        <v>106</v>
      </c>
      <c r="K326" s="317">
        <f>ROUND(M326/0.15,2)</f>
        <v>0.13</v>
      </c>
      <c r="L326" s="318">
        <f>ROUND(N326/0.15,0)</f>
        <v>180</v>
      </c>
      <c r="M326" s="319">
        <f t="shared" ref="M326:N326" si="1073">Q326</f>
        <v>0.02</v>
      </c>
      <c r="N326" s="261">
        <f t="shared" si="1073"/>
        <v>27</v>
      </c>
      <c r="O326" s="262">
        <v>0.05</v>
      </c>
      <c r="P326" s="263">
        <v>67.0</v>
      </c>
      <c r="Q326" s="260">
        <f t="shared" ref="Q326:R326" si="1074">M324-O326</f>
        <v>0.02</v>
      </c>
      <c r="R326" s="261">
        <f t="shared" si="1074"/>
        <v>27</v>
      </c>
      <c r="S326" s="264">
        <v>1353.6</v>
      </c>
      <c r="T326" s="265">
        <v>15.0</v>
      </c>
      <c r="U326" s="266" t="s">
        <v>107</v>
      </c>
      <c r="V326" s="266" t="s">
        <v>1477</v>
      </c>
      <c r="W326" s="320">
        <v>0.085544</v>
      </c>
      <c r="X326" s="320">
        <v>0.085544</v>
      </c>
      <c r="Y326" s="320">
        <v>0.0</v>
      </c>
      <c r="Z326" s="321">
        <f>Z324</f>
        <v>5</v>
      </c>
      <c r="AA326" s="426"/>
      <c r="AB326" s="428"/>
      <c r="AC326" s="432">
        <f t="shared" ref="AC326:AD326" si="1075">K326</f>
        <v>0.13</v>
      </c>
      <c r="AD326" s="433">
        <f t="shared" si="1075"/>
        <v>180</v>
      </c>
      <c r="AE326" s="434"/>
      <c r="AF326" s="434"/>
      <c r="AG326" s="348">
        <f t="shared" ref="AG326:AH326" si="1076">round(AO326/0.15,2)</f>
        <v>0.33</v>
      </c>
      <c r="AH326" s="348">
        <f t="shared" si="1076"/>
        <v>446.67</v>
      </c>
      <c r="AI326" s="435"/>
      <c r="AJ326" s="435"/>
      <c r="AK326" s="436">
        <f>ROUND(AC326*0.15,2)</f>
        <v>0.02</v>
      </c>
      <c r="AL326" s="437">
        <f>ROUND(AD326*0.15,0)</f>
        <v>27</v>
      </c>
      <c r="AM326" s="436"/>
      <c r="AN326" s="436"/>
      <c r="AO326" s="436">
        <f t="shared" ref="AO326:AP326" si="1077">O326</f>
        <v>0.05</v>
      </c>
      <c r="AP326" s="436">
        <f t="shared" si="1077"/>
        <v>67</v>
      </c>
      <c r="AQ326" s="438"/>
      <c r="AR326" s="438"/>
      <c r="AS326" s="480">
        <f>IFERROR(AC326/K326,IFERROR(AO326/O326,""))</f>
        <v>1</v>
      </c>
      <c r="AT326" s="430" t="s">
        <v>1274</v>
      </c>
      <c r="AU326" s="431"/>
      <c r="AV326" s="431"/>
      <c r="AW326" s="431"/>
      <c r="AX326" s="431"/>
      <c r="AY326" s="431"/>
      <c r="AZ326" s="431"/>
      <c r="BA326" s="431"/>
      <c r="BB326" s="431"/>
      <c r="BC326" s="431"/>
      <c r="BD326" s="431"/>
      <c r="BE326" s="431"/>
    </row>
    <row r="327" ht="12.75" customHeight="1">
      <c r="A327" s="439" t="s">
        <v>1478</v>
      </c>
      <c r="B327" s="481" t="str">
        <f t="shared" ref="B327:J327" si="1078">B326</f>
        <v>토스증권</v>
      </c>
      <c r="C327" s="482" t="str">
        <f t="shared" si="1078"/>
        <v>172-01-064087</v>
      </c>
      <c r="D327" s="482" t="str">
        <f t="shared" si="1078"/>
        <v>2025-07-01</v>
      </c>
      <c r="E327" s="483" t="str">
        <f t="shared" si="1078"/>
        <v/>
      </c>
      <c r="F327" s="483" t="str">
        <f t="shared" si="1078"/>
        <v/>
      </c>
      <c r="G327" s="482" t="str">
        <f t="shared" si="1078"/>
        <v>TQQQ</v>
      </c>
      <c r="H327" s="482" t="str">
        <f t="shared" si="1078"/>
        <v>프로셰어즈 QQQ 3배 ETF</v>
      </c>
      <c r="I327" s="482" t="str">
        <f t="shared" si="1078"/>
        <v>배당소득</v>
      </c>
      <c r="J327" s="481" t="str">
        <f t="shared" si="1078"/>
        <v>USD</v>
      </c>
      <c r="K327" s="442"/>
      <c r="L327" s="443"/>
      <c r="M327" s="444"/>
      <c r="N327" s="445"/>
      <c r="O327" s="446"/>
      <c r="P327" s="447"/>
      <c r="Q327" s="446"/>
      <c r="R327" s="448"/>
      <c r="S327" s="449"/>
      <c r="T327" s="450"/>
      <c r="U327" s="451"/>
      <c r="V327" s="451"/>
      <c r="W327" s="452"/>
      <c r="X327" s="452"/>
      <c r="Y327" s="452"/>
      <c r="Z327" s="448"/>
      <c r="AA327" s="446"/>
      <c r="AB327" s="453"/>
      <c r="AC327" s="454"/>
      <c r="AD327" s="455"/>
      <c r="AE327" s="456"/>
      <c r="AF327" s="457"/>
      <c r="AG327" s="458">
        <f>IFERROR(ROUND(AO327/0.15,2),0)</f>
        <v>-0.33</v>
      </c>
      <c r="AH327" s="458">
        <f>IFERROR(ROUND(AP327/0.15,0),0)</f>
        <v>-447</v>
      </c>
      <c r="AI327" s="457"/>
      <c r="AJ327" s="459"/>
      <c r="AK327" s="457"/>
      <c r="AL327" s="459"/>
      <c r="AM327" s="457"/>
      <c r="AN327" s="457"/>
      <c r="AO327" s="460">
        <f t="shared" ref="AO327:AP327" si="1079">-AO326</f>
        <v>-0.05</v>
      </c>
      <c r="AP327" s="460">
        <f t="shared" si="1079"/>
        <v>-67</v>
      </c>
      <c r="AQ327" s="459"/>
      <c r="AR327" s="459"/>
      <c r="AS327" s="484"/>
      <c r="AT327" s="430" t="s">
        <v>1274</v>
      </c>
      <c r="AU327" s="431"/>
      <c r="AV327" s="431"/>
      <c r="AW327" s="431"/>
      <c r="AX327" s="431"/>
      <c r="AY327" s="431"/>
      <c r="AZ327" s="431"/>
      <c r="BA327" s="431"/>
      <c r="BB327" s="431"/>
      <c r="BC327" s="431"/>
      <c r="BD327" s="431"/>
      <c r="BE327" s="431"/>
    </row>
    <row r="328" ht="12.75" customHeight="1">
      <c r="A328" s="439" t="s">
        <v>1479</v>
      </c>
      <c r="B328" s="481" t="str">
        <f t="shared" ref="B328:J328" si="1080">B327</f>
        <v>토스증권</v>
      </c>
      <c r="C328" s="482" t="str">
        <f t="shared" si="1080"/>
        <v>172-01-064087</v>
      </c>
      <c r="D328" s="482" t="str">
        <f t="shared" si="1080"/>
        <v>2025-07-01</v>
      </c>
      <c r="E328" s="483" t="str">
        <f t="shared" si="1080"/>
        <v/>
      </c>
      <c r="F328" s="483" t="str">
        <f t="shared" si="1080"/>
        <v/>
      </c>
      <c r="G328" s="482" t="str">
        <f t="shared" si="1080"/>
        <v>TQQQ</v>
      </c>
      <c r="H328" s="482" t="str">
        <f t="shared" si="1080"/>
        <v>프로셰어즈 QQQ 3배 ETF</v>
      </c>
      <c r="I328" s="482" t="str">
        <f t="shared" si="1080"/>
        <v>배당소득</v>
      </c>
      <c r="J328" s="481" t="str">
        <f t="shared" si="1080"/>
        <v>USD</v>
      </c>
      <c r="K328" s="442"/>
      <c r="L328" s="443"/>
      <c r="M328" s="444"/>
      <c r="N328" s="445"/>
      <c r="O328" s="446"/>
      <c r="P328" s="447"/>
      <c r="Q328" s="446"/>
      <c r="R328" s="448"/>
      <c r="S328" s="449"/>
      <c r="T328" s="450"/>
      <c r="U328" s="451"/>
      <c r="V328" s="451"/>
      <c r="W328" s="452"/>
      <c r="X328" s="452"/>
      <c r="Y328" s="452"/>
      <c r="Z328" s="448"/>
      <c r="AA328" s="446"/>
      <c r="AB328" s="453"/>
      <c r="AC328" s="454"/>
      <c r="AD328" s="461"/>
      <c r="AE328" s="462">
        <f>IFERROR(ROUND(AM328/0.15,2),0)</f>
        <v>0.33</v>
      </c>
      <c r="AF328" s="458">
        <f>IFERROR(ROUND(AN328/0.15,0),0)</f>
        <v>447</v>
      </c>
      <c r="AG328" s="467"/>
      <c r="AH328" s="467"/>
      <c r="AI328" s="457"/>
      <c r="AJ328" s="459"/>
      <c r="AK328" s="457"/>
      <c r="AL328" s="459"/>
      <c r="AM328" s="460">
        <f t="shared" ref="AM328:AN328" si="1081">AO326</f>
        <v>0.05</v>
      </c>
      <c r="AN328" s="460">
        <f t="shared" si="1081"/>
        <v>67</v>
      </c>
      <c r="AO328" s="457"/>
      <c r="AP328" s="465"/>
      <c r="AQ328" s="466">
        <f>AF328</f>
        <v>447</v>
      </c>
      <c r="AR328" s="466">
        <f>ROUND(AQ328*0.14,0)</f>
        <v>63</v>
      </c>
      <c r="AS328" s="484"/>
      <c r="AT328" s="430" t="s">
        <v>1274</v>
      </c>
      <c r="AU328" s="431"/>
      <c r="AV328" s="431"/>
      <c r="AW328" s="431"/>
      <c r="AX328" s="431"/>
      <c r="AY328" s="431"/>
      <c r="AZ328" s="431"/>
      <c r="BA328" s="431"/>
      <c r="BB328" s="431"/>
      <c r="BC328" s="431"/>
      <c r="BD328" s="431"/>
      <c r="BE328" s="431"/>
    </row>
    <row r="329" ht="12.75" customHeight="1">
      <c r="A329" s="267" t="s">
        <v>854</v>
      </c>
      <c r="B329" s="268" t="s">
        <v>359</v>
      </c>
      <c r="C329" s="269" t="s">
        <v>360</v>
      </c>
      <c r="D329" s="269" t="s">
        <v>400</v>
      </c>
      <c r="E329" s="270"/>
      <c r="F329" s="270"/>
      <c r="G329" s="269" t="s">
        <v>379</v>
      </c>
      <c r="H329" s="270" t="s">
        <v>1480</v>
      </c>
      <c r="I329" s="270" t="s">
        <v>105</v>
      </c>
      <c r="J329" s="354" t="s">
        <v>106</v>
      </c>
      <c r="K329" s="355">
        <v>7.17</v>
      </c>
      <c r="L329" s="356">
        <v>9698.0</v>
      </c>
      <c r="M329" s="357">
        <v>1.08</v>
      </c>
      <c r="N329" s="272">
        <v>1460.0</v>
      </c>
      <c r="O329" s="271">
        <v>0.0</v>
      </c>
      <c r="P329" s="272">
        <v>0.0</v>
      </c>
      <c r="Q329" s="273">
        <f t="shared" ref="Q329:R329" si="1082">M329-O329</f>
        <v>1.08</v>
      </c>
      <c r="R329" s="274">
        <f t="shared" si="1082"/>
        <v>1460</v>
      </c>
      <c r="S329" s="275">
        <v>1352.6</v>
      </c>
      <c r="T329" s="276">
        <v>15.0</v>
      </c>
      <c r="U329" s="277" t="s">
        <v>107</v>
      </c>
      <c r="V329" s="277"/>
      <c r="W329" s="468"/>
      <c r="X329" s="468"/>
      <c r="Y329" s="468"/>
      <c r="Z329" s="468"/>
      <c r="AA329" s="468"/>
      <c r="AB329" s="469"/>
      <c r="AC329" s="470">
        <f t="shared" ref="AC329:AD329" si="1083">K329</f>
        <v>7.17</v>
      </c>
      <c r="AD329" s="471">
        <f t="shared" si="1083"/>
        <v>9698</v>
      </c>
      <c r="AE329" s="472"/>
      <c r="AF329" s="472"/>
      <c r="AG329" s="473"/>
      <c r="AH329" s="468"/>
      <c r="AI329" s="468"/>
      <c r="AJ329" s="468"/>
      <c r="AK329" s="474">
        <f t="shared" ref="AK329:AL329" si="1084">Q329</f>
        <v>1.08</v>
      </c>
      <c r="AL329" s="475">
        <f t="shared" si="1084"/>
        <v>1460</v>
      </c>
      <c r="AM329" s="468"/>
      <c r="AN329" s="468"/>
      <c r="AO329" s="468"/>
      <c r="AP329" s="468"/>
      <c r="AQ329" s="476"/>
      <c r="AR329" s="476"/>
      <c r="AS329" s="476"/>
      <c r="AT329" s="485"/>
      <c r="AU329" s="477"/>
      <c r="AV329" s="477"/>
      <c r="AW329" s="477"/>
      <c r="AX329" s="477"/>
      <c r="AY329" s="477"/>
      <c r="AZ329" s="477"/>
      <c r="BA329" s="477"/>
      <c r="BB329" s="477"/>
      <c r="BC329" s="477"/>
      <c r="BD329" s="477"/>
      <c r="BE329" s="477"/>
    </row>
    <row r="330" ht="12.75" customHeight="1">
      <c r="A330" s="245" t="s">
        <v>856</v>
      </c>
      <c r="B330" s="246" t="s">
        <v>359</v>
      </c>
      <c r="C330" s="247" t="s">
        <v>360</v>
      </c>
      <c r="D330" s="247" t="s">
        <v>226</v>
      </c>
      <c r="E330" s="248"/>
      <c r="F330" s="248"/>
      <c r="G330" s="247" t="s">
        <v>135</v>
      </c>
      <c r="H330" s="248" t="s">
        <v>1481</v>
      </c>
      <c r="I330" s="248" t="s">
        <v>105</v>
      </c>
      <c r="J330" s="300" t="s">
        <v>106</v>
      </c>
      <c r="K330" s="301">
        <v>7.43</v>
      </c>
      <c r="L330" s="302">
        <v>10153.0</v>
      </c>
      <c r="M330" s="303">
        <v>1.11</v>
      </c>
      <c r="N330" s="250">
        <v>1516.0</v>
      </c>
      <c r="O330" s="249">
        <v>1.11</v>
      </c>
      <c r="P330" s="250">
        <v>1516.0</v>
      </c>
      <c r="Q330" s="251">
        <f t="shared" ref="Q330:R330" si="1085">M330-O330</f>
        <v>0</v>
      </c>
      <c r="R330" s="252">
        <f t="shared" si="1085"/>
        <v>0</v>
      </c>
      <c r="S330" s="253">
        <v>1366.6</v>
      </c>
      <c r="T330" s="254">
        <v>15.0</v>
      </c>
      <c r="U330" s="255" t="s">
        <v>107</v>
      </c>
      <c r="V330" s="255"/>
      <c r="W330" s="304">
        <v>1.2382</v>
      </c>
      <c r="X330" s="304">
        <v>0.0</v>
      </c>
      <c r="Y330" s="304">
        <v>1.2382</v>
      </c>
      <c r="Z330" s="305">
        <f>IFERROR(ROUND(K330/W330,0),0)</f>
        <v>6</v>
      </c>
      <c r="AA330" s="306">
        <f t="shared" ref="AA330:AA331" si="1087">Z330*W330</f>
        <v>7.4292</v>
      </c>
      <c r="AB330" s="307">
        <f t="shared" ref="AB330:AB331" si="1088">ROUND(AA330*S330,0)</f>
        <v>10153</v>
      </c>
      <c r="AC330" s="308">
        <f t="shared" ref="AC330:AC331" si="1089">AA330</f>
        <v>7.4292</v>
      </c>
      <c r="AD330" s="309">
        <f t="shared" ref="AD330:AD358" si="1090">ROUND(AC330*S330,0)</f>
        <v>10153</v>
      </c>
      <c r="AE330" s="425"/>
      <c r="AF330" s="425"/>
      <c r="AG330" s="310">
        <f t="shared" ref="AG330:AG358" si="1091">IFERROR(ROUND(Z330*Y330,2),0)</f>
        <v>7.43</v>
      </c>
      <c r="AH330" s="252">
        <f t="shared" ref="AH330:AH358" si="1092">ROUND(AG330*S330,0)</f>
        <v>10154</v>
      </c>
      <c r="AI330" s="306">
        <f t="shared" ref="AI330:AI331" si="1093">ROUND(AC330*0.15,2)</f>
        <v>1.11</v>
      </c>
      <c r="AJ330" s="252">
        <f t="shared" ref="AJ330:AJ331" si="1094">ROUND(AD330*0.15,0)</f>
        <v>1523</v>
      </c>
      <c r="AK330" s="426"/>
      <c r="AL330" s="426"/>
      <c r="AM330" s="426"/>
      <c r="AN330" s="426"/>
      <c r="AO330" s="426"/>
      <c r="AP330" s="426"/>
      <c r="AQ330" s="427"/>
      <c r="AR330" s="427"/>
      <c r="AS330" s="427"/>
      <c r="AT330" s="426"/>
      <c r="AU330" s="410"/>
      <c r="AV330" s="410"/>
      <c r="AW330" s="410"/>
      <c r="AX330" s="410"/>
      <c r="AY330" s="410"/>
      <c r="AZ330" s="410"/>
      <c r="BA330" s="410"/>
      <c r="BB330" s="410"/>
      <c r="BC330" s="410"/>
      <c r="BD330" s="410"/>
      <c r="BE330" s="410"/>
    </row>
    <row r="331" ht="12.75" customHeight="1">
      <c r="A331" s="245" t="s">
        <v>858</v>
      </c>
      <c r="B331" s="246" t="s">
        <v>359</v>
      </c>
      <c r="C331" s="247" t="s">
        <v>360</v>
      </c>
      <c r="D331" s="247" t="s">
        <v>226</v>
      </c>
      <c r="E331" s="248"/>
      <c r="F331" s="248"/>
      <c r="G331" s="247" t="s">
        <v>135</v>
      </c>
      <c r="H331" s="248" t="s">
        <v>1482</v>
      </c>
      <c r="I331" s="248" t="s">
        <v>105</v>
      </c>
      <c r="J331" s="300" t="s">
        <v>106</v>
      </c>
      <c r="K331" s="314">
        <f t="shared" ref="K331:R331" si="1086">-K330</f>
        <v>-7.43</v>
      </c>
      <c r="L331" s="309">
        <f t="shared" si="1086"/>
        <v>-10153</v>
      </c>
      <c r="M331" s="315">
        <f t="shared" si="1086"/>
        <v>-1.11</v>
      </c>
      <c r="N331" s="252">
        <f t="shared" si="1086"/>
        <v>-1516</v>
      </c>
      <c r="O331" s="251">
        <f t="shared" si="1086"/>
        <v>-1.11</v>
      </c>
      <c r="P331" s="252">
        <f t="shared" si="1086"/>
        <v>-1516</v>
      </c>
      <c r="Q331" s="251">
        <f t="shared" si="1086"/>
        <v>0</v>
      </c>
      <c r="R331" s="252">
        <f t="shared" si="1086"/>
        <v>0</v>
      </c>
      <c r="S331" s="253">
        <v>1366.6</v>
      </c>
      <c r="T331" s="254">
        <v>15.0</v>
      </c>
      <c r="U331" s="255" t="s">
        <v>107</v>
      </c>
      <c r="V331" s="255"/>
      <c r="W331" s="304">
        <v>1.2382</v>
      </c>
      <c r="X331" s="304">
        <v>0.0</v>
      </c>
      <c r="Y331" s="304">
        <v>1.2382</v>
      </c>
      <c r="Z331" s="305">
        <f>-Z330</f>
        <v>-6</v>
      </c>
      <c r="AA331" s="306">
        <f t="shared" si="1087"/>
        <v>-7.4292</v>
      </c>
      <c r="AB331" s="307">
        <f t="shared" si="1088"/>
        <v>-10153</v>
      </c>
      <c r="AC331" s="308">
        <f t="shared" si="1089"/>
        <v>-7.4292</v>
      </c>
      <c r="AD331" s="309">
        <f t="shared" si="1090"/>
        <v>-10153</v>
      </c>
      <c r="AE331" s="425"/>
      <c r="AF331" s="425"/>
      <c r="AG331" s="310">
        <f t="shared" si="1091"/>
        <v>-7.43</v>
      </c>
      <c r="AH331" s="252">
        <f t="shared" si="1092"/>
        <v>-10154</v>
      </c>
      <c r="AI331" s="306">
        <f t="shared" si="1093"/>
        <v>-1.11</v>
      </c>
      <c r="AJ331" s="252">
        <f t="shared" si="1094"/>
        <v>-1523</v>
      </c>
      <c r="AK331" s="426"/>
      <c r="AL331" s="426"/>
      <c r="AM331" s="426"/>
      <c r="AN331" s="426"/>
      <c r="AO331" s="426"/>
      <c r="AP331" s="426"/>
      <c r="AQ331" s="427"/>
      <c r="AR331" s="427"/>
      <c r="AS331" s="427"/>
      <c r="AT331" s="426"/>
      <c r="AU331" s="410"/>
      <c r="AV331" s="410"/>
      <c r="AW331" s="410"/>
      <c r="AX331" s="410"/>
      <c r="AY331" s="410"/>
      <c r="AZ331" s="410"/>
      <c r="BA331" s="410"/>
      <c r="BB331" s="410"/>
      <c r="BC331" s="410"/>
      <c r="BD331" s="410"/>
      <c r="BE331" s="410"/>
    </row>
    <row r="332" ht="12.75" customHeight="1">
      <c r="A332" s="256" t="s">
        <v>860</v>
      </c>
      <c r="B332" s="257" t="s">
        <v>359</v>
      </c>
      <c r="C332" s="258" t="s">
        <v>360</v>
      </c>
      <c r="D332" s="258" t="s">
        <v>226</v>
      </c>
      <c r="E332" s="259"/>
      <c r="F332" s="259"/>
      <c r="G332" s="258" t="s">
        <v>135</v>
      </c>
      <c r="H332" s="259" t="s">
        <v>1483</v>
      </c>
      <c r="I332" s="259" t="s">
        <v>105</v>
      </c>
      <c r="J332" s="316" t="s">
        <v>106</v>
      </c>
      <c r="K332" s="317">
        <f>ROUND(M332/0.15,2)</f>
        <v>0</v>
      </c>
      <c r="L332" s="318">
        <f>ROUND(N332/0.15,0)</f>
        <v>0</v>
      </c>
      <c r="M332" s="319">
        <f t="shared" ref="M332:N332" si="1095">Q332</f>
        <v>0</v>
      </c>
      <c r="N332" s="261">
        <f t="shared" si="1095"/>
        <v>0</v>
      </c>
      <c r="O332" s="262">
        <v>1.11</v>
      </c>
      <c r="P332" s="263">
        <v>1516.0</v>
      </c>
      <c r="Q332" s="260">
        <f t="shared" ref="Q332:R332" si="1096">M330-O332</f>
        <v>0</v>
      </c>
      <c r="R332" s="261">
        <f t="shared" si="1096"/>
        <v>0</v>
      </c>
      <c r="S332" s="264">
        <v>1366.6</v>
      </c>
      <c r="T332" s="265">
        <v>15.0</v>
      </c>
      <c r="U332" s="266" t="s">
        <v>107</v>
      </c>
      <c r="V332" s="266" t="s">
        <v>1484</v>
      </c>
      <c r="W332" s="320">
        <v>1.2382</v>
      </c>
      <c r="X332" s="320">
        <v>0.0</v>
      </c>
      <c r="Y332" s="320">
        <v>1.2382</v>
      </c>
      <c r="Z332" s="321">
        <f>Z330</f>
        <v>6</v>
      </c>
      <c r="AA332" s="426"/>
      <c r="AB332" s="428"/>
      <c r="AC332" s="323">
        <f>IFERROR(ROUND(Z332*X332,2),0)</f>
        <v>0</v>
      </c>
      <c r="AD332" s="318">
        <f t="shared" si="1090"/>
        <v>0</v>
      </c>
      <c r="AE332" s="429"/>
      <c r="AF332" s="429"/>
      <c r="AG332" s="324">
        <f t="shared" si="1091"/>
        <v>7.43</v>
      </c>
      <c r="AH332" s="261">
        <f t="shared" si="1092"/>
        <v>10154</v>
      </c>
      <c r="AI332" s="426"/>
      <c r="AJ332" s="426"/>
      <c r="AK332" s="325">
        <f>ROUND(AC332*0.15,2)</f>
        <v>0</v>
      </c>
      <c r="AL332" s="261">
        <f>ROUND(AD332*0.15,0)</f>
        <v>0</v>
      </c>
      <c r="AM332" s="325"/>
      <c r="AN332" s="325"/>
      <c r="AO332" s="325">
        <f>ROUND(AG332*0.15,2)</f>
        <v>1.11</v>
      </c>
      <c r="AP332" s="261">
        <f>ROUND(AH332*0.15,0)</f>
        <v>1523</v>
      </c>
      <c r="AQ332" s="326"/>
      <c r="AR332" s="326"/>
      <c r="AS332" s="326">
        <f>IFERROR(AC332/K332,IFERROR(AO332/O332,""))</f>
        <v>1</v>
      </c>
      <c r="AT332" s="426"/>
      <c r="AU332" s="410"/>
      <c r="AV332" s="410"/>
      <c r="AW332" s="410"/>
      <c r="AX332" s="410"/>
      <c r="AY332" s="410"/>
      <c r="AZ332" s="410"/>
      <c r="BA332" s="410"/>
      <c r="BB332" s="410"/>
      <c r="BC332" s="410"/>
      <c r="BD332" s="410"/>
      <c r="BE332" s="410"/>
    </row>
    <row r="333" ht="12.75" customHeight="1">
      <c r="A333" s="245" t="s">
        <v>863</v>
      </c>
      <c r="B333" s="246" t="s">
        <v>359</v>
      </c>
      <c r="C333" s="247" t="s">
        <v>360</v>
      </c>
      <c r="D333" s="247" t="s">
        <v>232</v>
      </c>
      <c r="E333" s="248"/>
      <c r="F333" s="248"/>
      <c r="G333" s="247" t="s">
        <v>139</v>
      </c>
      <c r="H333" s="248" t="s">
        <v>1485</v>
      </c>
      <c r="I333" s="248" t="s">
        <v>105</v>
      </c>
      <c r="J333" s="300" t="s">
        <v>106</v>
      </c>
      <c r="K333" s="301">
        <v>3.49</v>
      </c>
      <c r="L333" s="302">
        <v>4797.0</v>
      </c>
      <c r="M333" s="303">
        <v>0.52</v>
      </c>
      <c r="N333" s="250">
        <v>714.0</v>
      </c>
      <c r="O333" s="249">
        <v>0.38</v>
      </c>
      <c r="P333" s="250">
        <v>522.0</v>
      </c>
      <c r="Q333" s="251">
        <f t="shared" ref="Q333:R333" si="1097">M333-O333</f>
        <v>0.14</v>
      </c>
      <c r="R333" s="252">
        <f t="shared" si="1097"/>
        <v>192</v>
      </c>
      <c r="S333" s="253">
        <v>1374.7</v>
      </c>
      <c r="T333" s="254">
        <v>15.0</v>
      </c>
      <c r="U333" s="255" t="s">
        <v>107</v>
      </c>
      <c r="V333" s="255"/>
      <c r="W333" s="304">
        <v>0.3873</v>
      </c>
      <c r="X333" s="304">
        <v>0.10469</v>
      </c>
      <c r="Y333" s="304">
        <v>0.28261</v>
      </c>
      <c r="Z333" s="305">
        <f>IFERROR(ROUND(K333/W333,0),0)</f>
        <v>9</v>
      </c>
      <c r="AA333" s="306">
        <f t="shared" ref="AA333:AA334" si="1099">Z333*W333</f>
        <v>3.4857</v>
      </c>
      <c r="AB333" s="307">
        <f t="shared" ref="AB333:AB334" si="1100">ROUND(AA333*S333,0)</f>
        <v>4792</v>
      </c>
      <c r="AC333" s="308">
        <f t="shared" ref="AC333:AC334" si="1101">AA333</f>
        <v>3.4857</v>
      </c>
      <c r="AD333" s="309">
        <f t="shared" si="1090"/>
        <v>4792</v>
      </c>
      <c r="AE333" s="425"/>
      <c r="AF333" s="425"/>
      <c r="AG333" s="310">
        <f t="shared" si="1091"/>
        <v>2.54</v>
      </c>
      <c r="AH333" s="252">
        <f t="shared" si="1092"/>
        <v>3492</v>
      </c>
      <c r="AI333" s="306">
        <f t="shared" ref="AI333:AI334" si="1102">ROUND(AC333*0.15,2)</f>
        <v>0.52</v>
      </c>
      <c r="AJ333" s="252">
        <f t="shared" ref="AJ333:AJ334" si="1103">ROUND(AD333*0.15,0)</f>
        <v>719</v>
      </c>
      <c r="AK333" s="426"/>
      <c r="AL333" s="426"/>
      <c r="AM333" s="426"/>
      <c r="AN333" s="426"/>
      <c r="AO333" s="426"/>
      <c r="AP333" s="426"/>
      <c r="AQ333" s="427"/>
      <c r="AR333" s="427"/>
      <c r="AS333" s="427"/>
      <c r="AT333" s="426"/>
      <c r="AU333" s="410"/>
      <c r="AV333" s="410"/>
      <c r="AW333" s="410"/>
      <c r="AX333" s="410"/>
      <c r="AY333" s="410"/>
      <c r="AZ333" s="410"/>
      <c r="BA333" s="410"/>
      <c r="BB333" s="410"/>
      <c r="BC333" s="410"/>
      <c r="BD333" s="410"/>
      <c r="BE333" s="410"/>
    </row>
    <row r="334" ht="12.75" customHeight="1">
      <c r="A334" s="245" t="s">
        <v>865</v>
      </c>
      <c r="B334" s="246" t="s">
        <v>359</v>
      </c>
      <c r="C334" s="247" t="s">
        <v>360</v>
      </c>
      <c r="D334" s="247" t="s">
        <v>232</v>
      </c>
      <c r="E334" s="248"/>
      <c r="F334" s="248"/>
      <c r="G334" s="247" t="s">
        <v>139</v>
      </c>
      <c r="H334" s="248" t="s">
        <v>1486</v>
      </c>
      <c r="I334" s="248" t="s">
        <v>105</v>
      </c>
      <c r="J334" s="300" t="s">
        <v>106</v>
      </c>
      <c r="K334" s="314">
        <f t="shared" ref="K334:R334" si="1098">-K333</f>
        <v>-3.49</v>
      </c>
      <c r="L334" s="309">
        <f t="shared" si="1098"/>
        <v>-4797</v>
      </c>
      <c r="M334" s="315">
        <f t="shared" si="1098"/>
        <v>-0.52</v>
      </c>
      <c r="N334" s="252">
        <f t="shared" si="1098"/>
        <v>-714</v>
      </c>
      <c r="O334" s="251">
        <f t="shared" si="1098"/>
        <v>-0.38</v>
      </c>
      <c r="P334" s="252">
        <f t="shared" si="1098"/>
        <v>-522</v>
      </c>
      <c r="Q334" s="251">
        <f t="shared" si="1098"/>
        <v>-0.14</v>
      </c>
      <c r="R334" s="252">
        <f t="shared" si="1098"/>
        <v>-192</v>
      </c>
      <c r="S334" s="253">
        <v>1374.7</v>
      </c>
      <c r="T334" s="254">
        <v>15.0</v>
      </c>
      <c r="U334" s="255" t="s">
        <v>107</v>
      </c>
      <c r="V334" s="255"/>
      <c r="W334" s="304">
        <v>0.3873</v>
      </c>
      <c r="X334" s="304">
        <v>0.10469</v>
      </c>
      <c r="Y334" s="304">
        <v>0.28261</v>
      </c>
      <c r="Z334" s="305">
        <f>-Z333</f>
        <v>-9</v>
      </c>
      <c r="AA334" s="306">
        <f t="shared" si="1099"/>
        <v>-3.4857</v>
      </c>
      <c r="AB334" s="307">
        <f t="shared" si="1100"/>
        <v>-4792</v>
      </c>
      <c r="AC334" s="308">
        <f t="shared" si="1101"/>
        <v>-3.4857</v>
      </c>
      <c r="AD334" s="309">
        <f t="shared" si="1090"/>
        <v>-4792</v>
      </c>
      <c r="AE334" s="425"/>
      <c r="AF334" s="425"/>
      <c r="AG334" s="310">
        <f t="shared" si="1091"/>
        <v>-2.54</v>
      </c>
      <c r="AH334" s="252">
        <f t="shared" si="1092"/>
        <v>-3492</v>
      </c>
      <c r="AI334" s="306">
        <f t="shared" si="1102"/>
        <v>-0.52</v>
      </c>
      <c r="AJ334" s="252">
        <f t="shared" si="1103"/>
        <v>-719</v>
      </c>
      <c r="AK334" s="426"/>
      <c r="AL334" s="426"/>
      <c r="AM334" s="426"/>
      <c r="AN334" s="426"/>
      <c r="AO334" s="426"/>
      <c r="AP334" s="426"/>
      <c r="AQ334" s="427"/>
      <c r="AR334" s="427"/>
      <c r="AS334" s="427"/>
      <c r="AT334" s="426"/>
      <c r="AU334" s="410"/>
      <c r="AV334" s="410"/>
      <c r="AW334" s="410"/>
      <c r="AX334" s="410"/>
      <c r="AY334" s="410"/>
      <c r="AZ334" s="410"/>
      <c r="BA334" s="410"/>
      <c r="BB334" s="410"/>
      <c r="BC334" s="410"/>
      <c r="BD334" s="410"/>
      <c r="BE334" s="410"/>
    </row>
    <row r="335" ht="12.75" customHeight="1">
      <c r="A335" s="256" t="s">
        <v>867</v>
      </c>
      <c r="B335" s="257" t="s">
        <v>359</v>
      </c>
      <c r="C335" s="258" t="s">
        <v>360</v>
      </c>
      <c r="D335" s="258" t="s">
        <v>232</v>
      </c>
      <c r="E335" s="259"/>
      <c r="F335" s="259"/>
      <c r="G335" s="258" t="s">
        <v>139</v>
      </c>
      <c r="H335" s="259" t="s">
        <v>1487</v>
      </c>
      <c r="I335" s="259" t="s">
        <v>105</v>
      </c>
      <c r="J335" s="316" t="s">
        <v>106</v>
      </c>
      <c r="K335" s="317">
        <f>ROUND(M335/0.15,2)</f>
        <v>0.93</v>
      </c>
      <c r="L335" s="318">
        <f>ROUND(N335/0.15,0)</f>
        <v>1280</v>
      </c>
      <c r="M335" s="319">
        <f t="shared" ref="M335:N335" si="1104">Q335</f>
        <v>0.14</v>
      </c>
      <c r="N335" s="261">
        <f t="shared" si="1104"/>
        <v>192</v>
      </c>
      <c r="O335" s="262">
        <v>0.38</v>
      </c>
      <c r="P335" s="263">
        <v>522.0</v>
      </c>
      <c r="Q335" s="260">
        <f t="shared" ref="Q335:R335" si="1105">M333-O335</f>
        <v>0.14</v>
      </c>
      <c r="R335" s="261">
        <f t="shared" si="1105"/>
        <v>192</v>
      </c>
      <c r="S335" s="264">
        <v>1374.7</v>
      </c>
      <c r="T335" s="265">
        <v>15.0</v>
      </c>
      <c r="U335" s="266" t="s">
        <v>107</v>
      </c>
      <c r="V335" s="266" t="s">
        <v>1488</v>
      </c>
      <c r="W335" s="320">
        <v>0.3873</v>
      </c>
      <c r="X335" s="320">
        <v>0.10469</v>
      </c>
      <c r="Y335" s="320">
        <v>0.28261</v>
      </c>
      <c r="Z335" s="321">
        <f>Z333</f>
        <v>9</v>
      </c>
      <c r="AA335" s="426"/>
      <c r="AB335" s="428"/>
      <c r="AC335" s="323">
        <f>IFERROR(ROUND(Z335*X335,2),0)</f>
        <v>0.94</v>
      </c>
      <c r="AD335" s="318">
        <f t="shared" si="1090"/>
        <v>1292</v>
      </c>
      <c r="AE335" s="429"/>
      <c r="AF335" s="429"/>
      <c r="AG335" s="324">
        <f t="shared" si="1091"/>
        <v>2.54</v>
      </c>
      <c r="AH335" s="261">
        <f t="shared" si="1092"/>
        <v>3492</v>
      </c>
      <c r="AI335" s="426"/>
      <c r="AJ335" s="426"/>
      <c r="AK335" s="325">
        <f>ROUND(AC335*0.15,2)</f>
        <v>0.14</v>
      </c>
      <c r="AL335" s="261">
        <f>ROUND(AD335*0.15,0)</f>
        <v>194</v>
      </c>
      <c r="AM335" s="325"/>
      <c r="AN335" s="325"/>
      <c r="AO335" s="325">
        <f>ROUND(AG335*0.15,2)</f>
        <v>0.38</v>
      </c>
      <c r="AP335" s="261">
        <f>ROUND(AH335*0.15,0)</f>
        <v>524</v>
      </c>
      <c r="AQ335" s="326"/>
      <c r="AR335" s="326"/>
      <c r="AS335" s="326">
        <f>IFERROR(AC335/K335,IFERROR(AO335/O335,""))</f>
        <v>1.010752688</v>
      </c>
      <c r="AT335" s="426"/>
      <c r="AU335" s="410"/>
      <c r="AV335" s="410"/>
      <c r="AW335" s="410"/>
      <c r="AX335" s="410"/>
      <c r="AY335" s="410"/>
      <c r="AZ335" s="410"/>
      <c r="BA335" s="410"/>
      <c r="BB335" s="410"/>
      <c r="BC335" s="410"/>
      <c r="BD335" s="410"/>
      <c r="BE335" s="410"/>
    </row>
    <row r="336" ht="12.75" customHeight="1">
      <c r="A336" s="245" t="s">
        <v>563</v>
      </c>
      <c r="B336" s="246" t="s">
        <v>359</v>
      </c>
      <c r="C336" s="247" t="s">
        <v>360</v>
      </c>
      <c r="D336" s="247" t="s">
        <v>237</v>
      </c>
      <c r="E336" s="248"/>
      <c r="F336" s="248"/>
      <c r="G336" s="247" t="s">
        <v>103</v>
      </c>
      <c r="H336" s="248" t="s">
        <v>1489</v>
      </c>
      <c r="I336" s="248" t="s">
        <v>105</v>
      </c>
      <c r="J336" s="300" t="s">
        <v>106</v>
      </c>
      <c r="K336" s="301">
        <v>102.15</v>
      </c>
      <c r="L336" s="302">
        <v>142182.0</v>
      </c>
      <c r="M336" s="303">
        <v>15.32</v>
      </c>
      <c r="N336" s="250">
        <v>21323.0</v>
      </c>
      <c r="O336" s="249">
        <v>10.39</v>
      </c>
      <c r="P336" s="250">
        <v>14461.0</v>
      </c>
      <c r="Q336" s="251">
        <f t="shared" ref="Q336:R336" si="1106">M336-O336</f>
        <v>4.93</v>
      </c>
      <c r="R336" s="252">
        <f t="shared" si="1106"/>
        <v>6862</v>
      </c>
      <c r="S336" s="253">
        <v>1391.9</v>
      </c>
      <c r="T336" s="254">
        <v>15.0</v>
      </c>
      <c r="U336" s="255" t="s">
        <v>107</v>
      </c>
      <c r="V336" s="255"/>
      <c r="W336" s="304">
        <v>0.1029</v>
      </c>
      <c r="X336" s="304">
        <v>0.03313</v>
      </c>
      <c r="Y336" s="304">
        <v>0.06977</v>
      </c>
      <c r="Z336" s="305">
        <f>IFERROR(ROUND(K336/W336,0),0)</f>
        <v>993</v>
      </c>
      <c r="AA336" s="306">
        <f t="shared" ref="AA336:AA337" si="1108">Z336*W336</f>
        <v>102.1797</v>
      </c>
      <c r="AB336" s="307">
        <f t="shared" ref="AB336:AB337" si="1109">ROUND(AA336*S336,0)</f>
        <v>142224</v>
      </c>
      <c r="AC336" s="308">
        <f t="shared" ref="AC336:AC337" si="1110">AA336</f>
        <v>102.1797</v>
      </c>
      <c r="AD336" s="309">
        <f t="shared" si="1090"/>
        <v>142224</v>
      </c>
      <c r="AE336" s="425"/>
      <c r="AF336" s="425"/>
      <c r="AG336" s="310">
        <f t="shared" si="1091"/>
        <v>69.28</v>
      </c>
      <c r="AH336" s="252">
        <f t="shared" si="1092"/>
        <v>96431</v>
      </c>
      <c r="AI336" s="306">
        <f t="shared" ref="AI336:AI337" si="1111">ROUND(AC336*0.15,2)</f>
        <v>15.33</v>
      </c>
      <c r="AJ336" s="252">
        <f t="shared" ref="AJ336:AJ337" si="1112">ROUND(AD336*0.15,0)</f>
        <v>21334</v>
      </c>
      <c r="AK336" s="426"/>
      <c r="AL336" s="426"/>
      <c r="AM336" s="426"/>
      <c r="AN336" s="426"/>
      <c r="AO336" s="426"/>
      <c r="AP336" s="426"/>
      <c r="AQ336" s="427"/>
      <c r="AR336" s="427"/>
      <c r="AS336" s="427"/>
      <c r="AT336" s="426"/>
      <c r="AU336" s="410"/>
      <c r="AV336" s="410"/>
      <c r="AW336" s="410"/>
      <c r="AX336" s="410"/>
      <c r="AY336" s="410"/>
      <c r="AZ336" s="410"/>
      <c r="BA336" s="410"/>
      <c r="BB336" s="410"/>
      <c r="BC336" s="410"/>
      <c r="BD336" s="410"/>
      <c r="BE336" s="410"/>
    </row>
    <row r="337" ht="12.75" customHeight="1">
      <c r="A337" s="245" t="s">
        <v>564</v>
      </c>
      <c r="B337" s="246" t="s">
        <v>359</v>
      </c>
      <c r="C337" s="247" t="s">
        <v>360</v>
      </c>
      <c r="D337" s="247" t="s">
        <v>237</v>
      </c>
      <c r="E337" s="248"/>
      <c r="F337" s="248"/>
      <c r="G337" s="247" t="s">
        <v>103</v>
      </c>
      <c r="H337" s="248" t="s">
        <v>1490</v>
      </c>
      <c r="I337" s="248" t="s">
        <v>105</v>
      </c>
      <c r="J337" s="300" t="s">
        <v>106</v>
      </c>
      <c r="K337" s="314">
        <f t="shared" ref="K337:R337" si="1107">-K336</f>
        <v>-102.15</v>
      </c>
      <c r="L337" s="309">
        <f t="shared" si="1107"/>
        <v>-142182</v>
      </c>
      <c r="M337" s="315">
        <f t="shared" si="1107"/>
        <v>-15.32</v>
      </c>
      <c r="N337" s="252">
        <f t="shared" si="1107"/>
        <v>-21323</v>
      </c>
      <c r="O337" s="251">
        <f t="shared" si="1107"/>
        <v>-10.39</v>
      </c>
      <c r="P337" s="252">
        <f t="shared" si="1107"/>
        <v>-14461</v>
      </c>
      <c r="Q337" s="251">
        <f t="shared" si="1107"/>
        <v>-4.93</v>
      </c>
      <c r="R337" s="252">
        <f t="shared" si="1107"/>
        <v>-6862</v>
      </c>
      <c r="S337" s="253">
        <v>1391.9</v>
      </c>
      <c r="T337" s="254">
        <v>15.0</v>
      </c>
      <c r="U337" s="255" t="s">
        <v>107</v>
      </c>
      <c r="V337" s="255"/>
      <c r="W337" s="304">
        <v>0.1029</v>
      </c>
      <c r="X337" s="304">
        <v>0.03313</v>
      </c>
      <c r="Y337" s="304">
        <v>0.06977</v>
      </c>
      <c r="Z337" s="305">
        <f>-Z336</f>
        <v>-993</v>
      </c>
      <c r="AA337" s="306">
        <f t="shared" si="1108"/>
        <v>-102.1797</v>
      </c>
      <c r="AB337" s="307">
        <f t="shared" si="1109"/>
        <v>-142224</v>
      </c>
      <c r="AC337" s="308">
        <f t="shared" si="1110"/>
        <v>-102.1797</v>
      </c>
      <c r="AD337" s="309">
        <f t="shared" si="1090"/>
        <v>-142224</v>
      </c>
      <c r="AE337" s="425"/>
      <c r="AF337" s="425"/>
      <c r="AG337" s="310">
        <f t="shared" si="1091"/>
        <v>-69.28</v>
      </c>
      <c r="AH337" s="252">
        <f t="shared" si="1092"/>
        <v>-96431</v>
      </c>
      <c r="AI337" s="306">
        <f t="shared" si="1111"/>
        <v>-15.33</v>
      </c>
      <c r="AJ337" s="252">
        <f t="shared" si="1112"/>
        <v>-21334</v>
      </c>
      <c r="AK337" s="426"/>
      <c r="AL337" s="426"/>
      <c r="AM337" s="426"/>
      <c r="AN337" s="426"/>
      <c r="AO337" s="426"/>
      <c r="AP337" s="426"/>
      <c r="AQ337" s="427"/>
      <c r="AR337" s="427"/>
      <c r="AS337" s="427"/>
      <c r="AT337" s="426"/>
      <c r="AU337" s="410"/>
      <c r="AV337" s="410"/>
      <c r="AW337" s="410"/>
      <c r="AX337" s="410"/>
      <c r="AY337" s="410"/>
      <c r="AZ337" s="410"/>
      <c r="BA337" s="410"/>
      <c r="BB337" s="410"/>
      <c r="BC337" s="410"/>
      <c r="BD337" s="410"/>
      <c r="BE337" s="410"/>
    </row>
    <row r="338" ht="12.75" customHeight="1">
      <c r="A338" s="256" t="s">
        <v>565</v>
      </c>
      <c r="B338" s="257" t="s">
        <v>359</v>
      </c>
      <c r="C338" s="258" t="s">
        <v>360</v>
      </c>
      <c r="D338" s="258" t="s">
        <v>237</v>
      </c>
      <c r="E338" s="259"/>
      <c r="F338" s="259"/>
      <c r="G338" s="258" t="s">
        <v>103</v>
      </c>
      <c r="H338" s="259" t="s">
        <v>1491</v>
      </c>
      <c r="I338" s="259" t="s">
        <v>105</v>
      </c>
      <c r="J338" s="316" t="s">
        <v>106</v>
      </c>
      <c r="K338" s="317">
        <f>ROUND(M338/0.15,2)</f>
        <v>32.87</v>
      </c>
      <c r="L338" s="318">
        <f>ROUND(N338/0.15,0)</f>
        <v>45747</v>
      </c>
      <c r="M338" s="319">
        <f t="shared" ref="M338:N338" si="1113">Q338</f>
        <v>4.93</v>
      </c>
      <c r="N338" s="261">
        <f t="shared" si="1113"/>
        <v>6862</v>
      </c>
      <c r="O338" s="262">
        <v>10.39</v>
      </c>
      <c r="P338" s="263">
        <v>14461.0</v>
      </c>
      <c r="Q338" s="260">
        <f t="shared" ref="Q338:R338" si="1114">M336-O338</f>
        <v>4.93</v>
      </c>
      <c r="R338" s="261">
        <f t="shared" si="1114"/>
        <v>6862</v>
      </c>
      <c r="S338" s="264">
        <v>1391.9</v>
      </c>
      <c r="T338" s="265">
        <v>15.0</v>
      </c>
      <c r="U338" s="266" t="s">
        <v>107</v>
      </c>
      <c r="V338" s="266" t="s">
        <v>1492</v>
      </c>
      <c r="W338" s="320">
        <v>0.1029</v>
      </c>
      <c r="X338" s="320">
        <v>0.03313</v>
      </c>
      <c r="Y338" s="320">
        <v>0.06977</v>
      </c>
      <c r="Z338" s="321">
        <f>Z336</f>
        <v>993</v>
      </c>
      <c r="AA338" s="426"/>
      <c r="AB338" s="428"/>
      <c r="AC338" s="323">
        <f>IFERROR(ROUND(Z338*X338,2),0)</f>
        <v>32.9</v>
      </c>
      <c r="AD338" s="318">
        <f t="shared" si="1090"/>
        <v>45794</v>
      </c>
      <c r="AE338" s="429"/>
      <c r="AF338" s="429"/>
      <c r="AG338" s="324">
        <f t="shared" si="1091"/>
        <v>69.28</v>
      </c>
      <c r="AH338" s="261">
        <f t="shared" si="1092"/>
        <v>96431</v>
      </c>
      <c r="AI338" s="426"/>
      <c r="AJ338" s="426"/>
      <c r="AK338" s="325">
        <f>ROUND(AC338*0.15,2)</f>
        <v>4.94</v>
      </c>
      <c r="AL338" s="261">
        <f>ROUND(AD338*0.15,0)</f>
        <v>6869</v>
      </c>
      <c r="AM338" s="325"/>
      <c r="AN338" s="325"/>
      <c r="AO338" s="325">
        <f>ROUND(AG338*0.15,2)</f>
        <v>10.39</v>
      </c>
      <c r="AP338" s="261">
        <f>ROUND(AH338*0.15,0)</f>
        <v>14465</v>
      </c>
      <c r="AQ338" s="326"/>
      <c r="AR338" s="326"/>
      <c r="AS338" s="326">
        <f>IFERROR(AC338/K338,IFERROR(AO338/O338,""))</f>
        <v>1.000912686</v>
      </c>
      <c r="AT338" s="426"/>
      <c r="AU338" s="410"/>
      <c r="AV338" s="410"/>
      <c r="AW338" s="410"/>
      <c r="AX338" s="410"/>
      <c r="AY338" s="410"/>
      <c r="AZ338" s="410"/>
      <c r="BA338" s="410"/>
      <c r="BB338" s="410"/>
      <c r="BC338" s="410"/>
      <c r="BD338" s="410"/>
      <c r="BE338" s="410"/>
    </row>
    <row r="339" ht="12.75" customHeight="1">
      <c r="A339" s="245" t="s">
        <v>567</v>
      </c>
      <c r="B339" s="246" t="s">
        <v>359</v>
      </c>
      <c r="C339" s="247" t="s">
        <v>360</v>
      </c>
      <c r="D339" s="247" t="s">
        <v>101</v>
      </c>
      <c r="E339" s="248"/>
      <c r="F339" s="248"/>
      <c r="G339" s="247" t="s">
        <v>103</v>
      </c>
      <c r="H339" s="248" t="s">
        <v>1493</v>
      </c>
      <c r="I339" s="248" t="s">
        <v>105</v>
      </c>
      <c r="J339" s="300" t="s">
        <v>106</v>
      </c>
      <c r="K339" s="301">
        <v>411.6</v>
      </c>
      <c r="L339" s="302">
        <v>567843.0</v>
      </c>
      <c r="M339" s="303">
        <v>61.74</v>
      </c>
      <c r="N339" s="250">
        <v>85176.0</v>
      </c>
      <c r="O339" s="249">
        <v>41.86</v>
      </c>
      <c r="P339" s="250">
        <v>57750.0</v>
      </c>
      <c r="Q339" s="251">
        <f t="shared" ref="Q339:R339" si="1115">M339-O339</f>
        <v>19.88</v>
      </c>
      <c r="R339" s="252">
        <f t="shared" si="1115"/>
        <v>27426</v>
      </c>
      <c r="S339" s="253">
        <v>1379.6</v>
      </c>
      <c r="T339" s="254">
        <v>15.0</v>
      </c>
      <c r="U339" s="255" t="s">
        <v>107</v>
      </c>
      <c r="V339" s="255"/>
      <c r="W339" s="304">
        <v>0.1029</v>
      </c>
      <c r="X339" s="304">
        <v>0.03313</v>
      </c>
      <c r="Y339" s="304">
        <v>0.06977</v>
      </c>
      <c r="Z339" s="305">
        <f>IFERROR(ROUND(K339/W339,0),0)</f>
        <v>4000</v>
      </c>
      <c r="AA339" s="306">
        <f t="shared" ref="AA339:AA340" si="1117">Z339*W339</f>
        <v>411.6</v>
      </c>
      <c r="AB339" s="307">
        <f t="shared" ref="AB339:AB340" si="1118">ROUND(AA339*S339,0)</f>
        <v>567843</v>
      </c>
      <c r="AC339" s="308">
        <f t="shared" ref="AC339:AC340" si="1119">AA339</f>
        <v>411.6</v>
      </c>
      <c r="AD339" s="309">
        <f t="shared" si="1090"/>
        <v>567843</v>
      </c>
      <c r="AE339" s="425"/>
      <c r="AF339" s="425"/>
      <c r="AG339" s="310">
        <f t="shared" si="1091"/>
        <v>279.08</v>
      </c>
      <c r="AH339" s="252">
        <f t="shared" si="1092"/>
        <v>385019</v>
      </c>
      <c r="AI339" s="306">
        <f t="shared" ref="AI339:AI340" si="1120">ROUND(AC339*0.15,2)</f>
        <v>61.74</v>
      </c>
      <c r="AJ339" s="252">
        <f t="shared" ref="AJ339:AJ340" si="1121">ROUND(AD339*0.15,0)</f>
        <v>85176</v>
      </c>
      <c r="AK339" s="426"/>
      <c r="AL339" s="426"/>
      <c r="AM339" s="426"/>
      <c r="AN339" s="426"/>
      <c r="AO339" s="426"/>
      <c r="AP339" s="426"/>
      <c r="AQ339" s="427"/>
      <c r="AR339" s="427"/>
      <c r="AS339" s="427"/>
      <c r="AT339" s="426"/>
      <c r="AU339" s="410"/>
      <c r="AV339" s="410"/>
      <c r="AW339" s="410"/>
      <c r="AX339" s="410"/>
      <c r="AY339" s="410"/>
      <c r="AZ339" s="410"/>
      <c r="BA339" s="410"/>
      <c r="BB339" s="410"/>
      <c r="BC339" s="410"/>
      <c r="BD339" s="410"/>
      <c r="BE339" s="410"/>
    </row>
    <row r="340" ht="12.75" customHeight="1">
      <c r="A340" s="245" t="s">
        <v>568</v>
      </c>
      <c r="B340" s="246" t="s">
        <v>359</v>
      </c>
      <c r="C340" s="247" t="s">
        <v>360</v>
      </c>
      <c r="D340" s="247" t="s">
        <v>101</v>
      </c>
      <c r="E340" s="248"/>
      <c r="F340" s="248"/>
      <c r="G340" s="247" t="s">
        <v>103</v>
      </c>
      <c r="H340" s="248" t="s">
        <v>1494</v>
      </c>
      <c r="I340" s="248" t="s">
        <v>105</v>
      </c>
      <c r="J340" s="300" t="s">
        <v>106</v>
      </c>
      <c r="K340" s="314">
        <f t="shared" ref="K340:R340" si="1116">-K339</f>
        <v>-411.6</v>
      </c>
      <c r="L340" s="309">
        <f t="shared" si="1116"/>
        <v>-567843</v>
      </c>
      <c r="M340" s="315">
        <f t="shared" si="1116"/>
        <v>-61.74</v>
      </c>
      <c r="N340" s="252">
        <f t="shared" si="1116"/>
        <v>-85176</v>
      </c>
      <c r="O340" s="251">
        <f t="shared" si="1116"/>
        <v>-41.86</v>
      </c>
      <c r="P340" s="252">
        <f t="shared" si="1116"/>
        <v>-57750</v>
      </c>
      <c r="Q340" s="251">
        <f t="shared" si="1116"/>
        <v>-19.88</v>
      </c>
      <c r="R340" s="252">
        <f t="shared" si="1116"/>
        <v>-27426</v>
      </c>
      <c r="S340" s="253">
        <v>1379.6</v>
      </c>
      <c r="T340" s="254">
        <v>15.0</v>
      </c>
      <c r="U340" s="255" t="s">
        <v>107</v>
      </c>
      <c r="V340" s="255"/>
      <c r="W340" s="304">
        <v>0.1029</v>
      </c>
      <c r="X340" s="304">
        <v>0.03313</v>
      </c>
      <c r="Y340" s="304">
        <v>0.06977</v>
      </c>
      <c r="Z340" s="305">
        <f>-Z339</f>
        <v>-4000</v>
      </c>
      <c r="AA340" s="306">
        <f t="shared" si="1117"/>
        <v>-411.6</v>
      </c>
      <c r="AB340" s="307">
        <f t="shared" si="1118"/>
        <v>-567843</v>
      </c>
      <c r="AC340" s="308">
        <f t="shared" si="1119"/>
        <v>-411.6</v>
      </c>
      <c r="AD340" s="309">
        <f t="shared" si="1090"/>
        <v>-567843</v>
      </c>
      <c r="AE340" s="425"/>
      <c r="AF340" s="425"/>
      <c r="AG340" s="310">
        <f t="shared" si="1091"/>
        <v>-279.08</v>
      </c>
      <c r="AH340" s="252">
        <f t="shared" si="1092"/>
        <v>-385019</v>
      </c>
      <c r="AI340" s="306">
        <f t="shared" si="1120"/>
        <v>-61.74</v>
      </c>
      <c r="AJ340" s="252">
        <f t="shared" si="1121"/>
        <v>-85176</v>
      </c>
      <c r="AK340" s="426"/>
      <c r="AL340" s="426"/>
      <c r="AM340" s="426"/>
      <c r="AN340" s="426"/>
      <c r="AO340" s="426"/>
      <c r="AP340" s="426"/>
      <c r="AQ340" s="427"/>
      <c r="AR340" s="427"/>
      <c r="AS340" s="427"/>
      <c r="AT340" s="426"/>
      <c r="AU340" s="410"/>
      <c r="AV340" s="410"/>
      <c r="AW340" s="410"/>
      <c r="AX340" s="410"/>
      <c r="AY340" s="410"/>
      <c r="AZ340" s="410"/>
      <c r="BA340" s="410"/>
      <c r="BB340" s="410"/>
      <c r="BC340" s="410"/>
      <c r="BD340" s="410"/>
      <c r="BE340" s="410"/>
    </row>
    <row r="341" ht="12.75" customHeight="1">
      <c r="A341" s="256" t="s">
        <v>569</v>
      </c>
      <c r="B341" s="257" t="s">
        <v>359</v>
      </c>
      <c r="C341" s="258" t="s">
        <v>360</v>
      </c>
      <c r="D341" s="258" t="s">
        <v>101</v>
      </c>
      <c r="E341" s="259"/>
      <c r="F341" s="259"/>
      <c r="G341" s="258" t="s">
        <v>103</v>
      </c>
      <c r="H341" s="259" t="s">
        <v>1495</v>
      </c>
      <c r="I341" s="259" t="s">
        <v>105</v>
      </c>
      <c r="J341" s="316" t="s">
        <v>106</v>
      </c>
      <c r="K341" s="317">
        <f>ROUND(M341/0.15,2)</f>
        <v>132.53</v>
      </c>
      <c r="L341" s="318">
        <f>ROUND(N341/0.15,0)</f>
        <v>182840</v>
      </c>
      <c r="M341" s="319">
        <f t="shared" ref="M341:N341" si="1122">Q341</f>
        <v>19.88</v>
      </c>
      <c r="N341" s="261">
        <f t="shared" si="1122"/>
        <v>27426</v>
      </c>
      <c r="O341" s="262">
        <v>41.86</v>
      </c>
      <c r="P341" s="263">
        <v>57750.0</v>
      </c>
      <c r="Q341" s="260">
        <f t="shared" ref="Q341:R341" si="1123">M339-O341</f>
        <v>19.88</v>
      </c>
      <c r="R341" s="261">
        <f t="shared" si="1123"/>
        <v>27426</v>
      </c>
      <c r="S341" s="264">
        <v>1379.6</v>
      </c>
      <c r="T341" s="265">
        <v>15.0</v>
      </c>
      <c r="U341" s="266" t="s">
        <v>107</v>
      </c>
      <c r="V341" s="266" t="s">
        <v>1496</v>
      </c>
      <c r="W341" s="320">
        <v>0.1029</v>
      </c>
      <c r="X341" s="320">
        <v>0.03313</v>
      </c>
      <c r="Y341" s="320">
        <v>0.06977</v>
      </c>
      <c r="Z341" s="321">
        <f>Z339</f>
        <v>4000</v>
      </c>
      <c r="AA341" s="426"/>
      <c r="AB341" s="428"/>
      <c r="AC341" s="323">
        <f>IFERROR(ROUND(Z341*X341,2),0)</f>
        <v>132.52</v>
      </c>
      <c r="AD341" s="318">
        <f t="shared" si="1090"/>
        <v>182825</v>
      </c>
      <c r="AE341" s="429"/>
      <c r="AF341" s="429"/>
      <c r="AG341" s="324">
        <f t="shared" si="1091"/>
        <v>279.08</v>
      </c>
      <c r="AH341" s="261">
        <f t="shared" si="1092"/>
        <v>385019</v>
      </c>
      <c r="AI341" s="426"/>
      <c r="AJ341" s="426"/>
      <c r="AK341" s="325">
        <f>ROUND(AC341*0.15,2)</f>
        <v>19.88</v>
      </c>
      <c r="AL341" s="261">
        <f>ROUND(AD341*0.15,0)</f>
        <v>27424</v>
      </c>
      <c r="AM341" s="325"/>
      <c r="AN341" s="325"/>
      <c r="AO341" s="325">
        <f>ROUND(AG341*0.15,2)</f>
        <v>41.86</v>
      </c>
      <c r="AP341" s="261">
        <f>ROUND(AH341*0.15,0)</f>
        <v>57753</v>
      </c>
      <c r="AQ341" s="326"/>
      <c r="AR341" s="326"/>
      <c r="AS341" s="326">
        <f>IFERROR(AC341/K341,IFERROR(AO341/O341,""))</f>
        <v>0.9999245454</v>
      </c>
      <c r="AT341" s="426"/>
      <c r="AU341" s="410"/>
      <c r="AV341" s="410"/>
      <c r="AW341" s="410"/>
      <c r="AX341" s="410"/>
      <c r="AY341" s="410"/>
      <c r="AZ341" s="410"/>
      <c r="BA341" s="410"/>
      <c r="BB341" s="410"/>
      <c r="BC341" s="410"/>
      <c r="BD341" s="410"/>
      <c r="BE341" s="410"/>
    </row>
    <row r="342" ht="12.75" customHeight="1">
      <c r="A342" s="245" t="s">
        <v>571</v>
      </c>
      <c r="B342" s="246" t="s">
        <v>359</v>
      </c>
      <c r="C342" s="247" t="s">
        <v>360</v>
      </c>
      <c r="D342" s="247" t="s">
        <v>108</v>
      </c>
      <c r="E342" s="248"/>
      <c r="F342" s="248"/>
      <c r="G342" s="247" t="s">
        <v>103</v>
      </c>
      <c r="H342" s="248" t="s">
        <v>1497</v>
      </c>
      <c r="I342" s="248" t="s">
        <v>105</v>
      </c>
      <c r="J342" s="300" t="s">
        <v>106</v>
      </c>
      <c r="K342" s="301">
        <v>403.2</v>
      </c>
      <c r="L342" s="302">
        <v>558391.0</v>
      </c>
      <c r="M342" s="303">
        <v>60.48</v>
      </c>
      <c r="N342" s="250">
        <v>83758.0</v>
      </c>
      <c r="O342" s="249">
        <v>41.01</v>
      </c>
      <c r="P342" s="250">
        <v>56794.0</v>
      </c>
      <c r="Q342" s="251">
        <f t="shared" ref="Q342:R342" si="1124">M342-O342</f>
        <v>19.47</v>
      </c>
      <c r="R342" s="252">
        <f t="shared" si="1124"/>
        <v>26964</v>
      </c>
      <c r="S342" s="253">
        <v>1384.9</v>
      </c>
      <c r="T342" s="254">
        <v>15.0</v>
      </c>
      <c r="U342" s="255" t="s">
        <v>107</v>
      </c>
      <c r="V342" s="255"/>
      <c r="W342" s="304">
        <v>0.1003</v>
      </c>
      <c r="X342" s="304">
        <v>0.032293</v>
      </c>
      <c r="Y342" s="304">
        <v>0.068007</v>
      </c>
      <c r="Z342" s="305">
        <f>IFERROR(ROUND(K342/W342,0),0)</f>
        <v>4020</v>
      </c>
      <c r="AA342" s="306">
        <f t="shared" ref="AA342:AA343" si="1126">Z342*W342</f>
        <v>403.206</v>
      </c>
      <c r="AB342" s="307">
        <f t="shared" ref="AB342:AB343" si="1127">ROUND(AA342*S342,0)</f>
        <v>558400</v>
      </c>
      <c r="AC342" s="308">
        <f t="shared" ref="AC342:AC343" si="1128">AA342</f>
        <v>403.206</v>
      </c>
      <c r="AD342" s="309">
        <f t="shared" si="1090"/>
        <v>558400</v>
      </c>
      <c r="AE342" s="425"/>
      <c r="AF342" s="425"/>
      <c r="AG342" s="310">
        <f t="shared" si="1091"/>
        <v>273.39</v>
      </c>
      <c r="AH342" s="252">
        <f t="shared" si="1092"/>
        <v>378618</v>
      </c>
      <c r="AI342" s="306">
        <f t="shared" ref="AI342:AI343" si="1129">ROUND(AC342*0.15,2)</f>
        <v>60.48</v>
      </c>
      <c r="AJ342" s="252">
        <f t="shared" ref="AJ342:AJ343" si="1130">ROUND(AD342*0.15,0)</f>
        <v>83760</v>
      </c>
      <c r="AK342" s="426"/>
      <c r="AL342" s="426"/>
      <c r="AM342" s="426"/>
      <c r="AN342" s="426"/>
      <c r="AO342" s="426"/>
      <c r="AP342" s="426"/>
      <c r="AQ342" s="427"/>
      <c r="AR342" s="427"/>
      <c r="AS342" s="427"/>
      <c r="AT342" s="426"/>
      <c r="AU342" s="410"/>
      <c r="AV342" s="410"/>
      <c r="AW342" s="410"/>
      <c r="AX342" s="410"/>
      <c r="AY342" s="410"/>
      <c r="AZ342" s="410"/>
      <c r="BA342" s="410"/>
      <c r="BB342" s="410"/>
      <c r="BC342" s="410"/>
      <c r="BD342" s="410"/>
      <c r="BE342" s="410"/>
    </row>
    <row r="343" ht="12.75" customHeight="1">
      <c r="A343" s="245" t="s">
        <v>572</v>
      </c>
      <c r="B343" s="246" t="s">
        <v>359</v>
      </c>
      <c r="C343" s="247" t="s">
        <v>360</v>
      </c>
      <c r="D343" s="247" t="s">
        <v>108</v>
      </c>
      <c r="E343" s="248"/>
      <c r="F343" s="248"/>
      <c r="G343" s="247" t="s">
        <v>103</v>
      </c>
      <c r="H343" s="248" t="s">
        <v>1498</v>
      </c>
      <c r="I343" s="248" t="s">
        <v>105</v>
      </c>
      <c r="J343" s="300" t="s">
        <v>106</v>
      </c>
      <c r="K343" s="314">
        <f t="shared" ref="K343:R343" si="1125">-K342</f>
        <v>-403.2</v>
      </c>
      <c r="L343" s="309">
        <f t="shared" si="1125"/>
        <v>-558391</v>
      </c>
      <c r="M343" s="315">
        <f t="shared" si="1125"/>
        <v>-60.48</v>
      </c>
      <c r="N343" s="252">
        <f t="shared" si="1125"/>
        <v>-83758</v>
      </c>
      <c r="O343" s="251">
        <f t="shared" si="1125"/>
        <v>-41.01</v>
      </c>
      <c r="P343" s="252">
        <f t="shared" si="1125"/>
        <v>-56794</v>
      </c>
      <c r="Q343" s="251">
        <f t="shared" si="1125"/>
        <v>-19.47</v>
      </c>
      <c r="R343" s="252">
        <f t="shared" si="1125"/>
        <v>-26964</v>
      </c>
      <c r="S343" s="253">
        <v>1384.9</v>
      </c>
      <c r="T343" s="254">
        <v>15.0</v>
      </c>
      <c r="U343" s="255" t="s">
        <v>107</v>
      </c>
      <c r="V343" s="255"/>
      <c r="W343" s="304">
        <v>0.1003</v>
      </c>
      <c r="X343" s="304">
        <v>0.032293</v>
      </c>
      <c r="Y343" s="304">
        <v>0.068007</v>
      </c>
      <c r="Z343" s="305">
        <f>-Z342</f>
        <v>-4020</v>
      </c>
      <c r="AA343" s="306">
        <f t="shared" si="1126"/>
        <v>-403.206</v>
      </c>
      <c r="AB343" s="307">
        <f t="shared" si="1127"/>
        <v>-558400</v>
      </c>
      <c r="AC343" s="308">
        <f t="shared" si="1128"/>
        <v>-403.206</v>
      </c>
      <c r="AD343" s="309">
        <f t="shared" si="1090"/>
        <v>-558400</v>
      </c>
      <c r="AE343" s="425"/>
      <c r="AF343" s="425"/>
      <c r="AG343" s="310">
        <f t="shared" si="1091"/>
        <v>-273.39</v>
      </c>
      <c r="AH343" s="252">
        <f t="shared" si="1092"/>
        <v>-378618</v>
      </c>
      <c r="AI343" s="306">
        <f t="shared" si="1129"/>
        <v>-60.48</v>
      </c>
      <c r="AJ343" s="252">
        <f t="shared" si="1130"/>
        <v>-83760</v>
      </c>
      <c r="AK343" s="426"/>
      <c r="AL343" s="426"/>
      <c r="AM343" s="426"/>
      <c r="AN343" s="426"/>
      <c r="AO343" s="426"/>
      <c r="AP343" s="426"/>
      <c r="AQ343" s="427"/>
      <c r="AR343" s="427"/>
      <c r="AS343" s="427"/>
      <c r="AT343" s="426"/>
      <c r="AU343" s="410"/>
      <c r="AV343" s="410"/>
      <c r="AW343" s="410"/>
      <c r="AX343" s="410"/>
      <c r="AY343" s="410"/>
      <c r="AZ343" s="410"/>
      <c r="BA343" s="410"/>
      <c r="BB343" s="410"/>
      <c r="BC343" s="410"/>
      <c r="BD343" s="410"/>
      <c r="BE343" s="410"/>
    </row>
    <row r="344" ht="12.75" customHeight="1">
      <c r="A344" s="256" t="s">
        <v>573</v>
      </c>
      <c r="B344" s="257" t="s">
        <v>359</v>
      </c>
      <c r="C344" s="258" t="s">
        <v>360</v>
      </c>
      <c r="D344" s="258" t="s">
        <v>108</v>
      </c>
      <c r="E344" s="259"/>
      <c r="F344" s="259"/>
      <c r="G344" s="258" t="s">
        <v>103</v>
      </c>
      <c r="H344" s="259" t="s">
        <v>1499</v>
      </c>
      <c r="I344" s="259" t="s">
        <v>105</v>
      </c>
      <c r="J344" s="316" t="s">
        <v>106</v>
      </c>
      <c r="K344" s="317">
        <f>ROUND(M344/0.15,2)</f>
        <v>129.8</v>
      </c>
      <c r="L344" s="318">
        <f>ROUND(N344/0.15,0)</f>
        <v>179760</v>
      </c>
      <c r="M344" s="319">
        <f t="shared" ref="M344:N344" si="1131">Q344</f>
        <v>19.47</v>
      </c>
      <c r="N344" s="261">
        <f t="shared" si="1131"/>
        <v>26964</v>
      </c>
      <c r="O344" s="262">
        <v>41.01</v>
      </c>
      <c r="P344" s="263">
        <v>56794.0</v>
      </c>
      <c r="Q344" s="260">
        <f t="shared" ref="Q344:R344" si="1132">M342-O344</f>
        <v>19.47</v>
      </c>
      <c r="R344" s="261">
        <f t="shared" si="1132"/>
        <v>26964</v>
      </c>
      <c r="S344" s="264">
        <v>1384.9</v>
      </c>
      <c r="T344" s="265">
        <v>15.0</v>
      </c>
      <c r="U344" s="266" t="s">
        <v>107</v>
      </c>
      <c r="V344" s="266" t="s">
        <v>1500</v>
      </c>
      <c r="W344" s="320">
        <v>0.1003</v>
      </c>
      <c r="X344" s="320">
        <v>0.032293</v>
      </c>
      <c r="Y344" s="320">
        <v>0.068007</v>
      </c>
      <c r="Z344" s="321">
        <f>Z342</f>
        <v>4020</v>
      </c>
      <c r="AA344" s="426"/>
      <c r="AB344" s="428"/>
      <c r="AC344" s="323">
        <f>IFERROR(ROUND(Z344*X344,2),0)</f>
        <v>129.82</v>
      </c>
      <c r="AD344" s="318">
        <f t="shared" si="1090"/>
        <v>179788</v>
      </c>
      <c r="AE344" s="429"/>
      <c r="AF344" s="429"/>
      <c r="AG344" s="324">
        <f t="shared" si="1091"/>
        <v>273.39</v>
      </c>
      <c r="AH344" s="261">
        <f t="shared" si="1092"/>
        <v>378618</v>
      </c>
      <c r="AI344" s="426"/>
      <c r="AJ344" s="426"/>
      <c r="AK344" s="325">
        <f>ROUND(AC344*0.15,2)</f>
        <v>19.47</v>
      </c>
      <c r="AL344" s="261">
        <f>ROUND(AD344*0.15,0)</f>
        <v>26968</v>
      </c>
      <c r="AM344" s="325"/>
      <c r="AN344" s="325"/>
      <c r="AO344" s="325">
        <f>ROUND(AG344*0.15,2)</f>
        <v>41.01</v>
      </c>
      <c r="AP344" s="261">
        <f>ROUND(AH344*0.15,0)</f>
        <v>56793</v>
      </c>
      <c r="AQ344" s="326"/>
      <c r="AR344" s="326"/>
      <c r="AS344" s="326">
        <f>IFERROR(AC344/K344,IFERROR(AO344/O344,""))</f>
        <v>1.000154083</v>
      </c>
      <c r="AT344" s="426"/>
      <c r="AU344" s="410"/>
      <c r="AV344" s="410"/>
      <c r="AW344" s="410"/>
      <c r="AX344" s="410"/>
      <c r="AY344" s="410"/>
      <c r="AZ344" s="410"/>
      <c r="BA344" s="410"/>
      <c r="BB344" s="410"/>
      <c r="BC344" s="410"/>
      <c r="BD344" s="410"/>
      <c r="BE344" s="410"/>
    </row>
    <row r="345" ht="12.75" customHeight="1">
      <c r="A345" s="245" t="s">
        <v>575</v>
      </c>
      <c r="B345" s="246" t="s">
        <v>359</v>
      </c>
      <c r="C345" s="247" t="s">
        <v>360</v>
      </c>
      <c r="D345" s="247" t="s">
        <v>110</v>
      </c>
      <c r="E345" s="248"/>
      <c r="F345" s="248"/>
      <c r="G345" s="247" t="s">
        <v>103</v>
      </c>
      <c r="H345" s="248" t="s">
        <v>1501</v>
      </c>
      <c r="I345" s="248" t="s">
        <v>105</v>
      </c>
      <c r="J345" s="300" t="s">
        <v>106</v>
      </c>
      <c r="K345" s="301">
        <v>401.2</v>
      </c>
      <c r="L345" s="302">
        <v>556063.0</v>
      </c>
      <c r="M345" s="303">
        <v>60.18</v>
      </c>
      <c r="N345" s="250">
        <v>83409.0</v>
      </c>
      <c r="O345" s="249">
        <v>40.8</v>
      </c>
      <c r="P345" s="250">
        <v>56548.0</v>
      </c>
      <c r="Q345" s="251">
        <f t="shared" ref="Q345:R345" si="1133">M345-O345</f>
        <v>19.38</v>
      </c>
      <c r="R345" s="252">
        <f t="shared" si="1133"/>
        <v>26861</v>
      </c>
      <c r="S345" s="253">
        <v>1386.0</v>
      </c>
      <c r="T345" s="254">
        <v>15.0</v>
      </c>
      <c r="U345" s="255" t="s">
        <v>107</v>
      </c>
      <c r="V345" s="255"/>
      <c r="W345" s="304">
        <v>0.1003</v>
      </c>
      <c r="X345" s="304">
        <v>0.032293</v>
      </c>
      <c r="Y345" s="304">
        <v>0.068007</v>
      </c>
      <c r="Z345" s="305">
        <f>IFERROR(ROUND(K345/W345,0),0)</f>
        <v>4000</v>
      </c>
      <c r="AA345" s="306">
        <f t="shared" ref="AA345:AA346" si="1135">Z345*W345</f>
        <v>401.2</v>
      </c>
      <c r="AB345" s="307">
        <f t="shared" ref="AB345:AB346" si="1136">ROUND(AA345*S345,0)</f>
        <v>556063</v>
      </c>
      <c r="AC345" s="308">
        <f t="shared" ref="AC345:AC346" si="1137">AA345</f>
        <v>401.2</v>
      </c>
      <c r="AD345" s="309">
        <f t="shared" si="1090"/>
        <v>556063</v>
      </c>
      <c r="AE345" s="425"/>
      <c r="AF345" s="425"/>
      <c r="AG345" s="310">
        <f t="shared" si="1091"/>
        <v>272.03</v>
      </c>
      <c r="AH345" s="252">
        <f t="shared" si="1092"/>
        <v>377034</v>
      </c>
      <c r="AI345" s="306">
        <f t="shared" ref="AI345:AI346" si="1138">ROUND(AC345*0.15,2)</f>
        <v>60.18</v>
      </c>
      <c r="AJ345" s="252">
        <f t="shared" ref="AJ345:AJ346" si="1139">ROUND(AD345*0.15,0)</f>
        <v>83409</v>
      </c>
      <c r="AK345" s="426"/>
      <c r="AL345" s="426"/>
      <c r="AM345" s="426"/>
      <c r="AN345" s="426"/>
      <c r="AO345" s="426"/>
      <c r="AP345" s="426"/>
      <c r="AQ345" s="427"/>
      <c r="AR345" s="427"/>
      <c r="AS345" s="427"/>
      <c r="AT345" s="426"/>
      <c r="AU345" s="410"/>
      <c r="AV345" s="410"/>
      <c r="AW345" s="410"/>
      <c r="AX345" s="410"/>
      <c r="AY345" s="410"/>
      <c r="AZ345" s="410"/>
      <c r="BA345" s="410"/>
      <c r="BB345" s="410"/>
      <c r="BC345" s="410"/>
      <c r="BD345" s="410"/>
      <c r="BE345" s="410"/>
    </row>
    <row r="346" ht="12.75" customHeight="1">
      <c r="A346" s="245" t="s">
        <v>576</v>
      </c>
      <c r="B346" s="246" t="s">
        <v>359</v>
      </c>
      <c r="C346" s="247" t="s">
        <v>360</v>
      </c>
      <c r="D346" s="247" t="s">
        <v>110</v>
      </c>
      <c r="E346" s="248"/>
      <c r="F346" s="248"/>
      <c r="G346" s="247" t="s">
        <v>103</v>
      </c>
      <c r="H346" s="248" t="s">
        <v>1502</v>
      </c>
      <c r="I346" s="248" t="s">
        <v>105</v>
      </c>
      <c r="J346" s="300" t="s">
        <v>106</v>
      </c>
      <c r="K346" s="314">
        <f t="shared" ref="K346:R346" si="1134">-K345</f>
        <v>-401.2</v>
      </c>
      <c r="L346" s="309">
        <f t="shared" si="1134"/>
        <v>-556063</v>
      </c>
      <c r="M346" s="315">
        <f t="shared" si="1134"/>
        <v>-60.18</v>
      </c>
      <c r="N346" s="252">
        <f t="shared" si="1134"/>
        <v>-83409</v>
      </c>
      <c r="O346" s="251">
        <f t="shared" si="1134"/>
        <v>-40.8</v>
      </c>
      <c r="P346" s="252">
        <f t="shared" si="1134"/>
        <v>-56548</v>
      </c>
      <c r="Q346" s="251">
        <f t="shared" si="1134"/>
        <v>-19.38</v>
      </c>
      <c r="R346" s="252">
        <f t="shared" si="1134"/>
        <v>-26861</v>
      </c>
      <c r="S346" s="253">
        <v>1386.0</v>
      </c>
      <c r="T346" s="254">
        <v>15.0</v>
      </c>
      <c r="U346" s="255" t="s">
        <v>107</v>
      </c>
      <c r="V346" s="255"/>
      <c r="W346" s="304">
        <v>0.1003</v>
      </c>
      <c r="X346" s="304">
        <v>0.032293</v>
      </c>
      <c r="Y346" s="304">
        <v>0.068007</v>
      </c>
      <c r="Z346" s="305">
        <f>-Z345</f>
        <v>-4000</v>
      </c>
      <c r="AA346" s="306">
        <f t="shared" si="1135"/>
        <v>-401.2</v>
      </c>
      <c r="AB346" s="307">
        <f t="shared" si="1136"/>
        <v>-556063</v>
      </c>
      <c r="AC346" s="308">
        <f t="shared" si="1137"/>
        <v>-401.2</v>
      </c>
      <c r="AD346" s="309">
        <f t="shared" si="1090"/>
        <v>-556063</v>
      </c>
      <c r="AE346" s="425"/>
      <c r="AF346" s="425"/>
      <c r="AG346" s="310">
        <f t="shared" si="1091"/>
        <v>-272.03</v>
      </c>
      <c r="AH346" s="252">
        <f t="shared" si="1092"/>
        <v>-377034</v>
      </c>
      <c r="AI346" s="306">
        <f t="shared" si="1138"/>
        <v>-60.18</v>
      </c>
      <c r="AJ346" s="252">
        <f t="shared" si="1139"/>
        <v>-83409</v>
      </c>
      <c r="AK346" s="426"/>
      <c r="AL346" s="426"/>
      <c r="AM346" s="426"/>
      <c r="AN346" s="426"/>
      <c r="AO346" s="426"/>
      <c r="AP346" s="426"/>
      <c r="AQ346" s="427"/>
      <c r="AR346" s="427"/>
      <c r="AS346" s="427"/>
      <c r="AT346" s="426"/>
      <c r="AU346" s="410"/>
      <c r="AV346" s="410"/>
      <c r="AW346" s="410"/>
      <c r="AX346" s="410"/>
      <c r="AY346" s="410"/>
      <c r="AZ346" s="410"/>
      <c r="BA346" s="410"/>
      <c r="BB346" s="410"/>
      <c r="BC346" s="410"/>
      <c r="BD346" s="410"/>
      <c r="BE346" s="410"/>
    </row>
    <row r="347" ht="12.75" customHeight="1">
      <c r="A347" s="256" t="s">
        <v>577</v>
      </c>
      <c r="B347" s="257" t="s">
        <v>359</v>
      </c>
      <c r="C347" s="258" t="s">
        <v>360</v>
      </c>
      <c r="D347" s="258" t="s">
        <v>110</v>
      </c>
      <c r="E347" s="259"/>
      <c r="F347" s="259"/>
      <c r="G347" s="258" t="s">
        <v>103</v>
      </c>
      <c r="H347" s="259" t="s">
        <v>1503</v>
      </c>
      <c r="I347" s="259" t="s">
        <v>105</v>
      </c>
      <c r="J347" s="316" t="s">
        <v>106</v>
      </c>
      <c r="K347" s="317">
        <f>ROUND(M347/0.15,2)</f>
        <v>129.2</v>
      </c>
      <c r="L347" s="318">
        <f>ROUND(N347/0.15,0)</f>
        <v>179073</v>
      </c>
      <c r="M347" s="319">
        <f t="shared" ref="M347:N347" si="1140">Q347</f>
        <v>19.38</v>
      </c>
      <c r="N347" s="261">
        <f t="shared" si="1140"/>
        <v>26861</v>
      </c>
      <c r="O347" s="262">
        <v>40.8</v>
      </c>
      <c r="P347" s="263">
        <v>56548.0</v>
      </c>
      <c r="Q347" s="260">
        <f t="shared" ref="Q347:R347" si="1141">M345-O347</f>
        <v>19.38</v>
      </c>
      <c r="R347" s="261">
        <f t="shared" si="1141"/>
        <v>26861</v>
      </c>
      <c r="S347" s="264">
        <v>1386.0</v>
      </c>
      <c r="T347" s="265">
        <v>15.0</v>
      </c>
      <c r="U347" s="266" t="s">
        <v>107</v>
      </c>
      <c r="V347" s="266" t="s">
        <v>1504</v>
      </c>
      <c r="W347" s="320">
        <v>0.1003</v>
      </c>
      <c r="X347" s="320">
        <v>0.032293</v>
      </c>
      <c r="Y347" s="320">
        <v>0.068007</v>
      </c>
      <c r="Z347" s="321">
        <f>Z345</f>
        <v>4000</v>
      </c>
      <c r="AA347" s="426"/>
      <c r="AB347" s="428"/>
      <c r="AC347" s="323">
        <f>IFERROR(ROUND(Z347*X347,2),0)</f>
        <v>129.17</v>
      </c>
      <c r="AD347" s="318">
        <f t="shared" si="1090"/>
        <v>179030</v>
      </c>
      <c r="AE347" s="429"/>
      <c r="AF347" s="429"/>
      <c r="AG347" s="324">
        <f t="shared" si="1091"/>
        <v>272.03</v>
      </c>
      <c r="AH347" s="261">
        <f t="shared" si="1092"/>
        <v>377034</v>
      </c>
      <c r="AI347" s="426"/>
      <c r="AJ347" s="426"/>
      <c r="AK347" s="325">
        <f>ROUND(AC347*0.15,2)</f>
        <v>19.38</v>
      </c>
      <c r="AL347" s="261">
        <f>ROUND(AD347*0.15,0)</f>
        <v>26855</v>
      </c>
      <c r="AM347" s="325"/>
      <c r="AN347" s="325"/>
      <c r="AO347" s="325">
        <f>ROUND(AG347*0.15,2)</f>
        <v>40.8</v>
      </c>
      <c r="AP347" s="261">
        <f>ROUND(AH347*0.15,0)</f>
        <v>56555</v>
      </c>
      <c r="AQ347" s="326"/>
      <c r="AR347" s="326"/>
      <c r="AS347" s="326">
        <f>IFERROR(AC347/K347,IFERROR(AO347/O347,""))</f>
        <v>0.9997678019</v>
      </c>
      <c r="AT347" s="426"/>
      <c r="AU347" s="410"/>
      <c r="AV347" s="410"/>
      <c r="AW347" s="410"/>
      <c r="AX347" s="410"/>
      <c r="AY347" s="410"/>
      <c r="AZ347" s="410"/>
      <c r="BA347" s="410"/>
      <c r="BB347" s="410"/>
      <c r="BC347" s="410"/>
      <c r="BD347" s="410"/>
      <c r="BE347" s="410"/>
    </row>
    <row r="348" ht="12.75" customHeight="1">
      <c r="A348" s="245" t="s">
        <v>579</v>
      </c>
      <c r="B348" s="246" t="s">
        <v>359</v>
      </c>
      <c r="C348" s="247" t="s">
        <v>360</v>
      </c>
      <c r="D348" s="247" t="s">
        <v>112</v>
      </c>
      <c r="E348" s="248"/>
      <c r="F348" s="248"/>
      <c r="G348" s="247" t="s">
        <v>103</v>
      </c>
      <c r="H348" s="248" t="s">
        <v>1505</v>
      </c>
      <c r="I348" s="248" t="s">
        <v>105</v>
      </c>
      <c r="J348" s="300" t="s">
        <v>106</v>
      </c>
      <c r="K348" s="301">
        <v>402.4</v>
      </c>
      <c r="L348" s="302">
        <v>556197.0</v>
      </c>
      <c r="M348" s="303">
        <v>60.36</v>
      </c>
      <c r="N348" s="250">
        <v>83429.0</v>
      </c>
      <c r="O348" s="249">
        <v>40.93</v>
      </c>
      <c r="P348" s="250">
        <v>56573.0</v>
      </c>
      <c r="Q348" s="251">
        <f t="shared" ref="Q348:R348" si="1142">M348-O348</f>
        <v>19.43</v>
      </c>
      <c r="R348" s="252">
        <f t="shared" si="1142"/>
        <v>26856</v>
      </c>
      <c r="S348" s="253">
        <v>1382.2</v>
      </c>
      <c r="T348" s="254">
        <v>15.0</v>
      </c>
      <c r="U348" s="255" t="s">
        <v>107</v>
      </c>
      <c r="V348" s="255"/>
      <c r="W348" s="304">
        <v>0.1</v>
      </c>
      <c r="X348" s="304">
        <v>0.032197</v>
      </c>
      <c r="Y348" s="304">
        <v>0.067803</v>
      </c>
      <c r="Z348" s="305">
        <f>IFERROR(ROUND(K348/W348,0),0)</f>
        <v>4024</v>
      </c>
      <c r="AA348" s="306">
        <f t="shared" ref="AA348:AA349" si="1144">Z348*W348</f>
        <v>402.4</v>
      </c>
      <c r="AB348" s="307">
        <f t="shared" ref="AB348:AB349" si="1145">ROUND(AA348*S348,0)</f>
        <v>556197</v>
      </c>
      <c r="AC348" s="308">
        <f t="shared" ref="AC348:AC349" si="1146">AA348</f>
        <v>402.4</v>
      </c>
      <c r="AD348" s="309">
        <f t="shared" si="1090"/>
        <v>556197</v>
      </c>
      <c r="AE348" s="425"/>
      <c r="AF348" s="425"/>
      <c r="AG348" s="310">
        <f t="shared" si="1091"/>
        <v>272.84</v>
      </c>
      <c r="AH348" s="252">
        <f t="shared" si="1092"/>
        <v>377119</v>
      </c>
      <c r="AI348" s="306">
        <f t="shared" ref="AI348:AI349" si="1147">ROUND(AC348*0.15,2)</f>
        <v>60.36</v>
      </c>
      <c r="AJ348" s="252">
        <f t="shared" ref="AJ348:AJ349" si="1148">ROUND(AD348*0.15,0)</f>
        <v>83430</v>
      </c>
      <c r="AK348" s="426"/>
      <c r="AL348" s="426"/>
      <c r="AM348" s="426"/>
      <c r="AN348" s="426"/>
      <c r="AO348" s="426"/>
      <c r="AP348" s="426"/>
      <c r="AQ348" s="427"/>
      <c r="AR348" s="427"/>
      <c r="AS348" s="427"/>
      <c r="AT348" s="426"/>
      <c r="AU348" s="410"/>
      <c r="AV348" s="410"/>
      <c r="AW348" s="410"/>
      <c r="AX348" s="410"/>
      <c r="AY348" s="410"/>
      <c r="AZ348" s="410"/>
      <c r="BA348" s="410"/>
      <c r="BB348" s="410"/>
      <c r="BC348" s="410"/>
      <c r="BD348" s="410"/>
      <c r="BE348" s="410"/>
    </row>
    <row r="349" ht="12.75" customHeight="1">
      <c r="A349" s="245" t="s">
        <v>580</v>
      </c>
      <c r="B349" s="246" t="s">
        <v>359</v>
      </c>
      <c r="C349" s="247" t="s">
        <v>360</v>
      </c>
      <c r="D349" s="247" t="s">
        <v>112</v>
      </c>
      <c r="E349" s="248"/>
      <c r="F349" s="248"/>
      <c r="G349" s="247" t="s">
        <v>103</v>
      </c>
      <c r="H349" s="248" t="s">
        <v>1506</v>
      </c>
      <c r="I349" s="248" t="s">
        <v>105</v>
      </c>
      <c r="J349" s="300" t="s">
        <v>106</v>
      </c>
      <c r="K349" s="314">
        <f t="shared" ref="K349:R349" si="1143">-K348</f>
        <v>-402.4</v>
      </c>
      <c r="L349" s="309">
        <f t="shared" si="1143"/>
        <v>-556197</v>
      </c>
      <c r="M349" s="315">
        <f t="shared" si="1143"/>
        <v>-60.36</v>
      </c>
      <c r="N349" s="252">
        <f t="shared" si="1143"/>
        <v>-83429</v>
      </c>
      <c r="O349" s="251">
        <f t="shared" si="1143"/>
        <v>-40.93</v>
      </c>
      <c r="P349" s="252">
        <f t="shared" si="1143"/>
        <v>-56573</v>
      </c>
      <c r="Q349" s="251">
        <f t="shared" si="1143"/>
        <v>-19.43</v>
      </c>
      <c r="R349" s="252">
        <f t="shared" si="1143"/>
        <v>-26856</v>
      </c>
      <c r="S349" s="253">
        <v>1382.2</v>
      </c>
      <c r="T349" s="254">
        <v>15.0</v>
      </c>
      <c r="U349" s="255" t="s">
        <v>107</v>
      </c>
      <c r="V349" s="255"/>
      <c r="W349" s="304">
        <v>0.1</v>
      </c>
      <c r="X349" s="304">
        <v>0.032197</v>
      </c>
      <c r="Y349" s="304">
        <v>0.067803</v>
      </c>
      <c r="Z349" s="305">
        <f>-Z348</f>
        <v>-4024</v>
      </c>
      <c r="AA349" s="306">
        <f t="shared" si="1144"/>
        <v>-402.4</v>
      </c>
      <c r="AB349" s="307">
        <f t="shared" si="1145"/>
        <v>-556197</v>
      </c>
      <c r="AC349" s="308">
        <f t="shared" si="1146"/>
        <v>-402.4</v>
      </c>
      <c r="AD349" s="309">
        <f t="shared" si="1090"/>
        <v>-556197</v>
      </c>
      <c r="AE349" s="425"/>
      <c r="AF349" s="425"/>
      <c r="AG349" s="310">
        <f t="shared" si="1091"/>
        <v>-272.84</v>
      </c>
      <c r="AH349" s="252">
        <f t="shared" si="1092"/>
        <v>-377119</v>
      </c>
      <c r="AI349" s="306">
        <f t="shared" si="1147"/>
        <v>-60.36</v>
      </c>
      <c r="AJ349" s="252">
        <f t="shared" si="1148"/>
        <v>-83430</v>
      </c>
      <c r="AK349" s="426"/>
      <c r="AL349" s="426"/>
      <c r="AM349" s="426"/>
      <c r="AN349" s="426"/>
      <c r="AO349" s="426"/>
      <c r="AP349" s="426"/>
      <c r="AQ349" s="427"/>
      <c r="AR349" s="427"/>
      <c r="AS349" s="427"/>
      <c r="AT349" s="426"/>
      <c r="AU349" s="410"/>
      <c r="AV349" s="410"/>
      <c r="AW349" s="410"/>
      <c r="AX349" s="410"/>
      <c r="AY349" s="410"/>
      <c r="AZ349" s="410"/>
      <c r="BA349" s="410"/>
      <c r="BB349" s="410"/>
      <c r="BC349" s="410"/>
      <c r="BD349" s="410"/>
      <c r="BE349" s="410"/>
    </row>
    <row r="350" ht="12.75" customHeight="1">
      <c r="A350" s="256" t="s">
        <v>581</v>
      </c>
      <c r="B350" s="257" t="s">
        <v>359</v>
      </c>
      <c r="C350" s="258" t="s">
        <v>360</v>
      </c>
      <c r="D350" s="258" t="s">
        <v>112</v>
      </c>
      <c r="E350" s="259"/>
      <c r="F350" s="259"/>
      <c r="G350" s="258" t="s">
        <v>103</v>
      </c>
      <c r="H350" s="259" t="s">
        <v>1507</v>
      </c>
      <c r="I350" s="259" t="s">
        <v>105</v>
      </c>
      <c r="J350" s="316" t="s">
        <v>106</v>
      </c>
      <c r="K350" s="317">
        <f>ROUND(M350/0.15,2)</f>
        <v>129.53</v>
      </c>
      <c r="L350" s="318">
        <f>ROUND(N350/0.15,0)</f>
        <v>179040</v>
      </c>
      <c r="M350" s="319">
        <f t="shared" ref="M350:N350" si="1149">Q350</f>
        <v>19.43</v>
      </c>
      <c r="N350" s="261">
        <f t="shared" si="1149"/>
        <v>26856</v>
      </c>
      <c r="O350" s="262">
        <v>40.93</v>
      </c>
      <c r="P350" s="263">
        <v>56573.0</v>
      </c>
      <c r="Q350" s="260">
        <f t="shared" ref="Q350:R350" si="1150">M348-O350</f>
        <v>19.43</v>
      </c>
      <c r="R350" s="261">
        <f t="shared" si="1150"/>
        <v>26856</v>
      </c>
      <c r="S350" s="264">
        <v>1382.2</v>
      </c>
      <c r="T350" s="265">
        <v>15.0</v>
      </c>
      <c r="U350" s="266" t="s">
        <v>107</v>
      </c>
      <c r="V350" s="266" t="s">
        <v>1508</v>
      </c>
      <c r="W350" s="320">
        <v>0.1</v>
      </c>
      <c r="X350" s="320">
        <v>0.032197</v>
      </c>
      <c r="Y350" s="320">
        <v>0.067803</v>
      </c>
      <c r="Z350" s="321">
        <f>Z348</f>
        <v>4024</v>
      </c>
      <c r="AA350" s="426"/>
      <c r="AB350" s="428"/>
      <c r="AC350" s="323">
        <f>IFERROR(ROUND(Z350*X350,2),0)</f>
        <v>129.56</v>
      </c>
      <c r="AD350" s="318">
        <f t="shared" si="1090"/>
        <v>179078</v>
      </c>
      <c r="AE350" s="429"/>
      <c r="AF350" s="429"/>
      <c r="AG350" s="324">
        <f t="shared" si="1091"/>
        <v>272.84</v>
      </c>
      <c r="AH350" s="261">
        <f t="shared" si="1092"/>
        <v>377119</v>
      </c>
      <c r="AI350" s="426"/>
      <c r="AJ350" s="426"/>
      <c r="AK350" s="325">
        <f>ROUND(AC350*0.15,2)</f>
        <v>19.43</v>
      </c>
      <c r="AL350" s="261">
        <f>ROUND(AD350*0.15,0)</f>
        <v>26862</v>
      </c>
      <c r="AM350" s="325"/>
      <c r="AN350" s="325"/>
      <c r="AO350" s="325">
        <f>ROUND(AG350*0.15,2)</f>
        <v>40.93</v>
      </c>
      <c r="AP350" s="261">
        <f>ROUND(AH350*0.15,0)</f>
        <v>56568</v>
      </c>
      <c r="AQ350" s="326"/>
      <c r="AR350" s="326"/>
      <c r="AS350" s="326">
        <f>IFERROR(AC350/K350,IFERROR(AO350/O350,""))</f>
        <v>1.000231607</v>
      </c>
      <c r="AT350" s="426"/>
      <c r="AU350" s="410"/>
      <c r="AV350" s="410"/>
      <c r="AW350" s="410"/>
      <c r="AX350" s="410"/>
      <c r="AY350" s="410"/>
      <c r="AZ350" s="410"/>
      <c r="BA350" s="410"/>
      <c r="BB350" s="410"/>
      <c r="BC350" s="410"/>
      <c r="BD350" s="410"/>
      <c r="BE350" s="410"/>
    </row>
    <row r="351" ht="12.75" customHeight="1">
      <c r="A351" s="245" t="s">
        <v>583</v>
      </c>
      <c r="B351" s="246" t="s">
        <v>359</v>
      </c>
      <c r="C351" s="247" t="s">
        <v>360</v>
      </c>
      <c r="D351" s="247" t="s">
        <v>245</v>
      </c>
      <c r="E351" s="248"/>
      <c r="F351" s="248"/>
      <c r="G351" s="247" t="s">
        <v>103</v>
      </c>
      <c r="H351" s="248" t="s">
        <v>1509</v>
      </c>
      <c r="I351" s="248" t="s">
        <v>105</v>
      </c>
      <c r="J351" s="300" t="s">
        <v>106</v>
      </c>
      <c r="K351" s="301">
        <v>100.0</v>
      </c>
      <c r="L351" s="302">
        <v>138630.0</v>
      </c>
      <c r="M351" s="303">
        <v>15.0</v>
      </c>
      <c r="N351" s="250">
        <v>20794.0</v>
      </c>
      <c r="O351" s="249">
        <v>10.17</v>
      </c>
      <c r="P351" s="250">
        <v>14098.0</v>
      </c>
      <c r="Q351" s="251">
        <f t="shared" ref="Q351:R351" si="1151">M351-O351</f>
        <v>4.83</v>
      </c>
      <c r="R351" s="252">
        <f t="shared" si="1151"/>
        <v>6696</v>
      </c>
      <c r="S351" s="253">
        <v>1386.3</v>
      </c>
      <c r="T351" s="254">
        <v>15.0</v>
      </c>
      <c r="U351" s="255" t="s">
        <v>107</v>
      </c>
      <c r="V351" s="255"/>
      <c r="W351" s="304">
        <v>0.1</v>
      </c>
      <c r="X351" s="304">
        <v>0.032197</v>
      </c>
      <c r="Y351" s="304">
        <v>0.067803</v>
      </c>
      <c r="Z351" s="305">
        <f>IFERROR(ROUND(K351/W351,0),0)</f>
        <v>1000</v>
      </c>
      <c r="AA351" s="306">
        <f t="shared" ref="AA351:AA352" si="1153">Z351*W351</f>
        <v>100</v>
      </c>
      <c r="AB351" s="307">
        <f t="shared" ref="AB351:AB352" si="1154">ROUND(AA351*S351,0)</f>
        <v>138630</v>
      </c>
      <c r="AC351" s="308">
        <f t="shared" ref="AC351:AC352" si="1155">AA351</f>
        <v>100</v>
      </c>
      <c r="AD351" s="309">
        <f t="shared" si="1090"/>
        <v>138630</v>
      </c>
      <c r="AE351" s="425"/>
      <c r="AF351" s="425"/>
      <c r="AG351" s="310">
        <f t="shared" si="1091"/>
        <v>67.8</v>
      </c>
      <c r="AH351" s="252">
        <f t="shared" si="1092"/>
        <v>93991</v>
      </c>
      <c r="AI351" s="306">
        <f t="shared" ref="AI351:AI352" si="1156">ROUND(AC351*0.15,2)</f>
        <v>15</v>
      </c>
      <c r="AJ351" s="252">
        <f t="shared" ref="AJ351:AJ352" si="1157">ROUND(AD351*0.15,0)</f>
        <v>20795</v>
      </c>
      <c r="AK351" s="426"/>
      <c r="AL351" s="426"/>
      <c r="AM351" s="426"/>
      <c r="AN351" s="426"/>
      <c r="AO351" s="426"/>
      <c r="AP351" s="426"/>
      <c r="AQ351" s="427"/>
      <c r="AR351" s="427"/>
      <c r="AS351" s="427"/>
      <c r="AT351" s="426"/>
      <c r="AU351" s="410"/>
      <c r="AV351" s="410"/>
      <c r="AW351" s="410"/>
      <c r="AX351" s="410"/>
      <c r="AY351" s="410"/>
      <c r="AZ351" s="410"/>
      <c r="BA351" s="410"/>
      <c r="BB351" s="410"/>
      <c r="BC351" s="410"/>
      <c r="BD351" s="410"/>
      <c r="BE351" s="410"/>
    </row>
    <row r="352" ht="12.75" customHeight="1">
      <c r="A352" s="245" t="s">
        <v>584</v>
      </c>
      <c r="B352" s="246" t="s">
        <v>359</v>
      </c>
      <c r="C352" s="247" t="s">
        <v>360</v>
      </c>
      <c r="D352" s="247" t="s">
        <v>245</v>
      </c>
      <c r="E352" s="248"/>
      <c r="F352" s="248"/>
      <c r="G352" s="247" t="s">
        <v>103</v>
      </c>
      <c r="H352" s="248" t="s">
        <v>1510</v>
      </c>
      <c r="I352" s="248" t="s">
        <v>105</v>
      </c>
      <c r="J352" s="300" t="s">
        <v>106</v>
      </c>
      <c r="K352" s="314">
        <f t="shared" ref="K352:R352" si="1152">-K351</f>
        <v>-100</v>
      </c>
      <c r="L352" s="309">
        <f t="shared" si="1152"/>
        <v>-138630</v>
      </c>
      <c r="M352" s="315">
        <f t="shared" si="1152"/>
        <v>-15</v>
      </c>
      <c r="N352" s="252">
        <f t="shared" si="1152"/>
        <v>-20794</v>
      </c>
      <c r="O352" s="251">
        <f t="shared" si="1152"/>
        <v>-10.17</v>
      </c>
      <c r="P352" s="252">
        <f t="shared" si="1152"/>
        <v>-14098</v>
      </c>
      <c r="Q352" s="251">
        <f t="shared" si="1152"/>
        <v>-4.83</v>
      </c>
      <c r="R352" s="252">
        <f t="shared" si="1152"/>
        <v>-6696</v>
      </c>
      <c r="S352" s="253">
        <v>1386.3</v>
      </c>
      <c r="T352" s="254">
        <v>15.0</v>
      </c>
      <c r="U352" s="255" t="s">
        <v>107</v>
      </c>
      <c r="V352" s="255"/>
      <c r="W352" s="304">
        <v>0.1</v>
      </c>
      <c r="X352" s="304">
        <v>0.032197</v>
      </c>
      <c r="Y352" s="304">
        <v>0.067803</v>
      </c>
      <c r="Z352" s="305">
        <f>-Z351</f>
        <v>-1000</v>
      </c>
      <c r="AA352" s="306">
        <f t="shared" si="1153"/>
        <v>-100</v>
      </c>
      <c r="AB352" s="307">
        <f t="shared" si="1154"/>
        <v>-138630</v>
      </c>
      <c r="AC352" s="308">
        <f t="shared" si="1155"/>
        <v>-100</v>
      </c>
      <c r="AD352" s="309">
        <f t="shared" si="1090"/>
        <v>-138630</v>
      </c>
      <c r="AE352" s="425"/>
      <c r="AF352" s="425"/>
      <c r="AG352" s="310">
        <f t="shared" si="1091"/>
        <v>-67.8</v>
      </c>
      <c r="AH352" s="252">
        <f t="shared" si="1092"/>
        <v>-93991</v>
      </c>
      <c r="AI352" s="306">
        <f t="shared" si="1156"/>
        <v>-15</v>
      </c>
      <c r="AJ352" s="252">
        <f t="shared" si="1157"/>
        <v>-20795</v>
      </c>
      <c r="AK352" s="426"/>
      <c r="AL352" s="426"/>
      <c r="AM352" s="426"/>
      <c r="AN352" s="426"/>
      <c r="AO352" s="426"/>
      <c r="AP352" s="426"/>
      <c r="AQ352" s="427"/>
      <c r="AR352" s="427"/>
      <c r="AS352" s="427"/>
      <c r="AT352" s="426"/>
      <c r="AU352" s="410"/>
      <c r="AV352" s="410"/>
      <c r="AW352" s="410"/>
      <c r="AX352" s="410"/>
      <c r="AY352" s="410"/>
      <c r="AZ352" s="410"/>
      <c r="BA352" s="410"/>
      <c r="BB352" s="410"/>
      <c r="BC352" s="410"/>
      <c r="BD352" s="410"/>
      <c r="BE352" s="410"/>
    </row>
    <row r="353" ht="12.75" customHeight="1">
      <c r="A353" s="256" t="s">
        <v>585</v>
      </c>
      <c r="B353" s="257" t="s">
        <v>359</v>
      </c>
      <c r="C353" s="258" t="s">
        <v>360</v>
      </c>
      <c r="D353" s="258" t="s">
        <v>245</v>
      </c>
      <c r="E353" s="259"/>
      <c r="F353" s="259"/>
      <c r="G353" s="258" t="s">
        <v>103</v>
      </c>
      <c r="H353" s="259" t="s">
        <v>1511</v>
      </c>
      <c r="I353" s="259" t="s">
        <v>105</v>
      </c>
      <c r="J353" s="316" t="s">
        <v>106</v>
      </c>
      <c r="K353" s="317">
        <f>ROUND(M353/0.15,2)</f>
        <v>32.2</v>
      </c>
      <c r="L353" s="318">
        <f>ROUND(N353/0.15,0)</f>
        <v>44640</v>
      </c>
      <c r="M353" s="319">
        <f t="shared" ref="M353:N353" si="1158">Q353</f>
        <v>4.83</v>
      </c>
      <c r="N353" s="261">
        <f t="shared" si="1158"/>
        <v>6696</v>
      </c>
      <c r="O353" s="262">
        <v>10.17</v>
      </c>
      <c r="P353" s="263">
        <v>14098.0</v>
      </c>
      <c r="Q353" s="260">
        <f t="shared" ref="Q353:R353" si="1159">M351-O353</f>
        <v>4.83</v>
      </c>
      <c r="R353" s="261">
        <f t="shared" si="1159"/>
        <v>6696</v>
      </c>
      <c r="S353" s="264">
        <v>1386.3</v>
      </c>
      <c r="T353" s="265">
        <v>15.0</v>
      </c>
      <c r="U353" s="266" t="s">
        <v>107</v>
      </c>
      <c r="V353" s="266" t="s">
        <v>1512</v>
      </c>
      <c r="W353" s="320">
        <v>0.1</v>
      </c>
      <c r="X353" s="320">
        <v>0.032197</v>
      </c>
      <c r="Y353" s="320">
        <v>0.067803</v>
      </c>
      <c r="Z353" s="321">
        <f>Z351</f>
        <v>1000</v>
      </c>
      <c r="AA353" s="426"/>
      <c r="AB353" s="428"/>
      <c r="AC353" s="323">
        <f>IFERROR(ROUND(Z353*X353,2),0)</f>
        <v>32.2</v>
      </c>
      <c r="AD353" s="318">
        <f t="shared" si="1090"/>
        <v>44639</v>
      </c>
      <c r="AE353" s="429"/>
      <c r="AF353" s="429"/>
      <c r="AG353" s="324">
        <f t="shared" si="1091"/>
        <v>67.8</v>
      </c>
      <c r="AH353" s="261">
        <f t="shared" si="1092"/>
        <v>93991</v>
      </c>
      <c r="AI353" s="426"/>
      <c r="AJ353" s="426"/>
      <c r="AK353" s="325">
        <f>ROUND(AC353*0.15,2)</f>
        <v>4.83</v>
      </c>
      <c r="AL353" s="261">
        <f>ROUND(AD353*0.15,0)</f>
        <v>6696</v>
      </c>
      <c r="AM353" s="325"/>
      <c r="AN353" s="325"/>
      <c r="AO353" s="325">
        <f>ROUND(AG353*0.15,2)</f>
        <v>10.17</v>
      </c>
      <c r="AP353" s="261">
        <f>ROUND(AH353*0.15,0)</f>
        <v>14099</v>
      </c>
      <c r="AQ353" s="326"/>
      <c r="AR353" s="326"/>
      <c r="AS353" s="326">
        <f>IFERROR(AC353/K353,IFERROR(AO353/O353,""))</f>
        <v>1</v>
      </c>
      <c r="AT353" s="426"/>
      <c r="AU353" s="410"/>
      <c r="AV353" s="410"/>
      <c r="AW353" s="410"/>
      <c r="AX353" s="410"/>
      <c r="AY353" s="410"/>
      <c r="AZ353" s="410"/>
      <c r="BA353" s="410"/>
      <c r="BB353" s="410"/>
      <c r="BC353" s="410"/>
      <c r="BD353" s="410"/>
      <c r="BE353" s="410"/>
    </row>
    <row r="354" ht="12.75" customHeight="1">
      <c r="A354" s="245" t="s">
        <v>894</v>
      </c>
      <c r="B354" s="246" t="s">
        <v>359</v>
      </c>
      <c r="C354" s="247" t="s">
        <v>360</v>
      </c>
      <c r="D354" s="247" t="s">
        <v>247</v>
      </c>
      <c r="E354" s="248"/>
      <c r="F354" s="248"/>
      <c r="G354" s="247" t="s">
        <v>103</v>
      </c>
      <c r="H354" s="248" t="s">
        <v>1513</v>
      </c>
      <c r="I354" s="248" t="s">
        <v>105</v>
      </c>
      <c r="J354" s="300" t="s">
        <v>106</v>
      </c>
      <c r="K354" s="301">
        <v>94.9</v>
      </c>
      <c r="L354" s="302">
        <v>131692.0</v>
      </c>
      <c r="M354" s="303">
        <v>14.23</v>
      </c>
      <c r="N354" s="250">
        <v>19746.0</v>
      </c>
      <c r="O354" s="249">
        <v>9.65</v>
      </c>
      <c r="P354" s="250">
        <v>13391.0</v>
      </c>
      <c r="Q354" s="251">
        <f t="shared" ref="Q354:R354" si="1160">M354-O354</f>
        <v>4.58</v>
      </c>
      <c r="R354" s="252">
        <f t="shared" si="1160"/>
        <v>6355</v>
      </c>
      <c r="S354" s="253">
        <v>1387.7</v>
      </c>
      <c r="T354" s="254">
        <v>15.0</v>
      </c>
      <c r="U354" s="255" t="s">
        <v>107</v>
      </c>
      <c r="V354" s="255"/>
      <c r="W354" s="304">
        <v>0.0949</v>
      </c>
      <c r="X354" s="304">
        <v>0.030555</v>
      </c>
      <c r="Y354" s="304">
        <v>0.064345</v>
      </c>
      <c r="Z354" s="305">
        <f>IFERROR(ROUND(K354/W354,0),0)</f>
        <v>1000</v>
      </c>
      <c r="AA354" s="306">
        <f t="shared" ref="AA354:AA355" si="1162">Z354*W354</f>
        <v>94.9</v>
      </c>
      <c r="AB354" s="307">
        <f t="shared" ref="AB354:AB355" si="1163">ROUND(AA354*S354,0)</f>
        <v>131693</v>
      </c>
      <c r="AC354" s="308">
        <f t="shared" ref="AC354:AC355" si="1164">AA354</f>
        <v>94.9</v>
      </c>
      <c r="AD354" s="309">
        <f t="shared" si="1090"/>
        <v>131693</v>
      </c>
      <c r="AE354" s="425"/>
      <c r="AF354" s="425"/>
      <c r="AG354" s="310">
        <f t="shared" si="1091"/>
        <v>64.35</v>
      </c>
      <c r="AH354" s="252">
        <f t="shared" si="1092"/>
        <v>89298</v>
      </c>
      <c r="AI354" s="306">
        <f t="shared" ref="AI354:AI355" si="1165">ROUND(AC354*0.15,2)</f>
        <v>14.24</v>
      </c>
      <c r="AJ354" s="252">
        <f t="shared" ref="AJ354:AJ355" si="1166">ROUND(AD354*0.15,0)</f>
        <v>19754</v>
      </c>
      <c r="AK354" s="426"/>
      <c r="AL354" s="426"/>
      <c r="AM354" s="426"/>
      <c r="AN354" s="426"/>
      <c r="AO354" s="426"/>
      <c r="AP354" s="426"/>
      <c r="AQ354" s="427"/>
      <c r="AR354" s="427"/>
      <c r="AS354" s="427"/>
      <c r="AT354" s="426"/>
      <c r="AU354" s="410"/>
      <c r="AV354" s="410"/>
      <c r="AW354" s="410"/>
      <c r="AX354" s="410"/>
      <c r="AY354" s="410"/>
      <c r="AZ354" s="410"/>
      <c r="BA354" s="410"/>
      <c r="BB354" s="410"/>
      <c r="BC354" s="410"/>
      <c r="BD354" s="410"/>
      <c r="BE354" s="410"/>
    </row>
    <row r="355" ht="12.75" customHeight="1">
      <c r="A355" s="245" t="s">
        <v>896</v>
      </c>
      <c r="B355" s="246" t="s">
        <v>359</v>
      </c>
      <c r="C355" s="247" t="s">
        <v>360</v>
      </c>
      <c r="D355" s="247" t="s">
        <v>247</v>
      </c>
      <c r="E355" s="248"/>
      <c r="F355" s="248"/>
      <c r="G355" s="247" t="s">
        <v>103</v>
      </c>
      <c r="H355" s="248" t="s">
        <v>1514</v>
      </c>
      <c r="I355" s="248" t="s">
        <v>105</v>
      </c>
      <c r="J355" s="300" t="s">
        <v>106</v>
      </c>
      <c r="K355" s="314">
        <f t="shared" ref="K355:R355" si="1161">-K354</f>
        <v>-94.9</v>
      </c>
      <c r="L355" s="309">
        <f t="shared" si="1161"/>
        <v>-131692</v>
      </c>
      <c r="M355" s="315">
        <f t="shared" si="1161"/>
        <v>-14.23</v>
      </c>
      <c r="N355" s="252">
        <f t="shared" si="1161"/>
        <v>-19746</v>
      </c>
      <c r="O355" s="251">
        <f t="shared" si="1161"/>
        <v>-9.65</v>
      </c>
      <c r="P355" s="252">
        <f t="shared" si="1161"/>
        <v>-13391</v>
      </c>
      <c r="Q355" s="251">
        <f t="shared" si="1161"/>
        <v>-4.58</v>
      </c>
      <c r="R355" s="252">
        <f t="shared" si="1161"/>
        <v>-6355</v>
      </c>
      <c r="S355" s="253">
        <v>1387.7</v>
      </c>
      <c r="T355" s="254">
        <v>15.0</v>
      </c>
      <c r="U355" s="255" t="s">
        <v>107</v>
      </c>
      <c r="V355" s="255"/>
      <c r="W355" s="304">
        <v>0.0949</v>
      </c>
      <c r="X355" s="304">
        <v>0.030555</v>
      </c>
      <c r="Y355" s="304">
        <v>0.064345</v>
      </c>
      <c r="Z355" s="305">
        <f>-Z354</f>
        <v>-1000</v>
      </c>
      <c r="AA355" s="306">
        <f t="shared" si="1162"/>
        <v>-94.9</v>
      </c>
      <c r="AB355" s="307">
        <f t="shared" si="1163"/>
        <v>-131693</v>
      </c>
      <c r="AC355" s="308">
        <f t="shared" si="1164"/>
        <v>-94.9</v>
      </c>
      <c r="AD355" s="309">
        <f t="shared" si="1090"/>
        <v>-131693</v>
      </c>
      <c r="AE355" s="425"/>
      <c r="AF355" s="425"/>
      <c r="AG355" s="310">
        <f t="shared" si="1091"/>
        <v>-64.35</v>
      </c>
      <c r="AH355" s="252">
        <f t="shared" si="1092"/>
        <v>-89298</v>
      </c>
      <c r="AI355" s="306">
        <f t="shared" si="1165"/>
        <v>-14.24</v>
      </c>
      <c r="AJ355" s="252">
        <f t="shared" si="1166"/>
        <v>-19754</v>
      </c>
      <c r="AK355" s="426"/>
      <c r="AL355" s="426"/>
      <c r="AM355" s="426"/>
      <c r="AN355" s="426"/>
      <c r="AO355" s="426"/>
      <c r="AP355" s="426"/>
      <c r="AQ355" s="427"/>
      <c r="AR355" s="427"/>
      <c r="AS355" s="427"/>
      <c r="AT355" s="426"/>
      <c r="AU355" s="410"/>
      <c r="AV355" s="410"/>
      <c r="AW355" s="410"/>
      <c r="AX355" s="410"/>
      <c r="AY355" s="410"/>
      <c r="AZ355" s="410"/>
      <c r="BA355" s="410"/>
      <c r="BB355" s="410"/>
      <c r="BC355" s="410"/>
      <c r="BD355" s="410"/>
      <c r="BE355" s="410"/>
    </row>
    <row r="356" ht="12.75" customHeight="1">
      <c r="A356" s="256" t="s">
        <v>898</v>
      </c>
      <c r="B356" s="257" t="s">
        <v>359</v>
      </c>
      <c r="C356" s="258" t="s">
        <v>360</v>
      </c>
      <c r="D356" s="258" t="s">
        <v>247</v>
      </c>
      <c r="E356" s="259"/>
      <c r="F356" s="259"/>
      <c r="G356" s="258" t="s">
        <v>103</v>
      </c>
      <c r="H356" s="259" t="s">
        <v>1515</v>
      </c>
      <c r="I356" s="259" t="s">
        <v>105</v>
      </c>
      <c r="J356" s="316" t="s">
        <v>106</v>
      </c>
      <c r="K356" s="317">
        <f>ROUND(M356/0.15,2)</f>
        <v>30.53</v>
      </c>
      <c r="L356" s="318">
        <f>ROUND(N356/0.15,0)</f>
        <v>42367</v>
      </c>
      <c r="M356" s="319">
        <f t="shared" ref="M356:N356" si="1167">Q356</f>
        <v>4.58</v>
      </c>
      <c r="N356" s="261">
        <f t="shared" si="1167"/>
        <v>6355</v>
      </c>
      <c r="O356" s="262">
        <v>9.65</v>
      </c>
      <c r="P356" s="263">
        <v>13391.0</v>
      </c>
      <c r="Q356" s="260">
        <f t="shared" ref="Q356:R356" si="1168">M354-O356</f>
        <v>4.58</v>
      </c>
      <c r="R356" s="261">
        <f t="shared" si="1168"/>
        <v>6355</v>
      </c>
      <c r="S356" s="264">
        <v>1387.7</v>
      </c>
      <c r="T356" s="265">
        <v>15.0</v>
      </c>
      <c r="U356" s="266" t="s">
        <v>107</v>
      </c>
      <c r="V356" s="266" t="s">
        <v>1516</v>
      </c>
      <c r="W356" s="320">
        <v>0.0949</v>
      </c>
      <c r="X356" s="320">
        <v>0.030555</v>
      </c>
      <c r="Y356" s="320">
        <v>0.064345</v>
      </c>
      <c r="Z356" s="321">
        <f>Z354</f>
        <v>1000</v>
      </c>
      <c r="AA356" s="426"/>
      <c r="AB356" s="428"/>
      <c r="AC356" s="323">
        <f>IFERROR(ROUND(Z356*X356,2),0)</f>
        <v>30.56</v>
      </c>
      <c r="AD356" s="318">
        <f t="shared" si="1090"/>
        <v>42408</v>
      </c>
      <c r="AE356" s="429"/>
      <c r="AF356" s="429"/>
      <c r="AG356" s="324">
        <f t="shared" si="1091"/>
        <v>64.35</v>
      </c>
      <c r="AH356" s="261">
        <f t="shared" si="1092"/>
        <v>89298</v>
      </c>
      <c r="AI356" s="426"/>
      <c r="AJ356" s="426"/>
      <c r="AK356" s="325">
        <f>ROUND(AC356*0.15,2)</f>
        <v>4.58</v>
      </c>
      <c r="AL356" s="261">
        <f>ROUND(AD356*0.15,0)</f>
        <v>6361</v>
      </c>
      <c r="AM356" s="325"/>
      <c r="AN356" s="325"/>
      <c r="AO356" s="325">
        <f>ROUND(AG356*0.15,2)</f>
        <v>9.65</v>
      </c>
      <c r="AP356" s="261">
        <f>ROUND(AH356*0.15,0)</f>
        <v>13395</v>
      </c>
      <c r="AQ356" s="326"/>
      <c r="AR356" s="326"/>
      <c r="AS356" s="326">
        <f>IFERROR(AC356/K356,IFERROR(AO356/O356,""))</f>
        <v>1.00098264</v>
      </c>
      <c r="AT356" s="426"/>
      <c r="AU356" s="410"/>
      <c r="AV356" s="410"/>
      <c r="AW356" s="410"/>
      <c r="AX356" s="410"/>
      <c r="AY356" s="410"/>
      <c r="AZ356" s="410"/>
      <c r="BA356" s="410"/>
      <c r="BB356" s="410"/>
      <c r="BC356" s="410"/>
      <c r="BD356" s="410"/>
      <c r="BE356" s="410"/>
    </row>
    <row r="357" ht="12.75" customHeight="1">
      <c r="A357" s="245" t="s">
        <v>901</v>
      </c>
      <c r="B357" s="246" t="s">
        <v>359</v>
      </c>
      <c r="C357" s="247" t="s">
        <v>360</v>
      </c>
      <c r="D357" s="247" t="s">
        <v>114</v>
      </c>
      <c r="E357" s="248"/>
      <c r="F357" s="248"/>
      <c r="G357" s="247" t="s">
        <v>116</v>
      </c>
      <c r="H357" s="248" t="s">
        <v>1517</v>
      </c>
      <c r="I357" s="248" t="s">
        <v>105</v>
      </c>
      <c r="J357" s="300" t="s">
        <v>106</v>
      </c>
      <c r="K357" s="301">
        <v>602.78</v>
      </c>
      <c r="L357" s="302">
        <v>838949.0</v>
      </c>
      <c r="M357" s="303">
        <v>90.42</v>
      </c>
      <c r="N357" s="250">
        <v>125846.0</v>
      </c>
      <c r="O357" s="249">
        <v>3.46</v>
      </c>
      <c r="P357" s="250">
        <v>4815.0</v>
      </c>
      <c r="Q357" s="251">
        <f t="shared" ref="Q357:R357" si="1169">M357-O357</f>
        <v>86.96</v>
      </c>
      <c r="R357" s="252">
        <f t="shared" si="1169"/>
        <v>121031</v>
      </c>
      <c r="S357" s="253">
        <v>1391.8</v>
      </c>
      <c r="T357" s="254">
        <v>15.0</v>
      </c>
      <c r="U357" s="255" t="s">
        <v>107</v>
      </c>
      <c r="V357" s="255"/>
      <c r="W357" s="304">
        <v>0.720248</v>
      </c>
      <c r="X357" s="304">
        <v>0.720248</v>
      </c>
      <c r="Y357" s="304">
        <v>0.0</v>
      </c>
      <c r="Z357" s="305">
        <f>IFERROR(ROUND(K357/W357,0),0)</f>
        <v>837</v>
      </c>
      <c r="AA357" s="306">
        <f t="shared" ref="AA357:AA358" si="1171">Z357*W357</f>
        <v>602.847576</v>
      </c>
      <c r="AB357" s="307">
        <f t="shared" ref="AB357:AB358" si="1172">ROUND(AA357*S357,0)</f>
        <v>839043</v>
      </c>
      <c r="AC357" s="308">
        <f t="shared" ref="AC357:AC358" si="1173">AA357</f>
        <v>602.847576</v>
      </c>
      <c r="AD357" s="309">
        <f t="shared" si="1090"/>
        <v>839043</v>
      </c>
      <c r="AE357" s="425"/>
      <c r="AF357" s="425"/>
      <c r="AG357" s="310">
        <f t="shared" si="1091"/>
        <v>0</v>
      </c>
      <c r="AH357" s="252">
        <f t="shared" si="1092"/>
        <v>0</v>
      </c>
      <c r="AI357" s="306">
        <f t="shared" ref="AI357:AI358" si="1174">ROUND(AC357*0.15,2)</f>
        <v>90.43</v>
      </c>
      <c r="AJ357" s="252">
        <f t="shared" ref="AJ357:AJ358" si="1175">ROUND(AD357*0.15,0)</f>
        <v>125856</v>
      </c>
      <c r="AK357" s="426"/>
      <c r="AL357" s="426"/>
      <c r="AM357" s="426"/>
      <c r="AN357" s="426"/>
      <c r="AO357" s="426"/>
      <c r="AP357" s="426"/>
      <c r="AQ357" s="427"/>
      <c r="AR357" s="427"/>
      <c r="AS357" s="427"/>
      <c r="AT357" s="430" t="s">
        <v>1274</v>
      </c>
      <c r="AU357" s="431"/>
      <c r="AV357" s="431"/>
      <c r="AW357" s="431"/>
      <c r="AX357" s="431"/>
      <c r="AY357" s="431"/>
      <c r="AZ357" s="431"/>
      <c r="BA357" s="431"/>
      <c r="BB357" s="431"/>
      <c r="BC357" s="431"/>
      <c r="BD357" s="431"/>
      <c r="BE357" s="431"/>
    </row>
    <row r="358" ht="12.75" customHeight="1">
      <c r="A358" s="245" t="s">
        <v>903</v>
      </c>
      <c r="B358" s="246" t="s">
        <v>359</v>
      </c>
      <c r="C358" s="247" t="s">
        <v>360</v>
      </c>
      <c r="D358" s="247" t="s">
        <v>114</v>
      </c>
      <c r="E358" s="248"/>
      <c r="F358" s="248"/>
      <c r="G358" s="247" t="s">
        <v>116</v>
      </c>
      <c r="H358" s="248" t="s">
        <v>1518</v>
      </c>
      <c r="I358" s="248" t="s">
        <v>105</v>
      </c>
      <c r="J358" s="300" t="s">
        <v>106</v>
      </c>
      <c r="K358" s="314">
        <f t="shared" ref="K358:R358" si="1170">-K357</f>
        <v>-602.78</v>
      </c>
      <c r="L358" s="309">
        <f t="shared" si="1170"/>
        <v>-838949</v>
      </c>
      <c r="M358" s="315">
        <f t="shared" si="1170"/>
        <v>-90.42</v>
      </c>
      <c r="N358" s="252">
        <f t="shared" si="1170"/>
        <v>-125846</v>
      </c>
      <c r="O358" s="251">
        <f t="shared" si="1170"/>
        <v>-3.46</v>
      </c>
      <c r="P358" s="252">
        <f t="shared" si="1170"/>
        <v>-4815</v>
      </c>
      <c r="Q358" s="251">
        <f t="shared" si="1170"/>
        <v>-86.96</v>
      </c>
      <c r="R358" s="252">
        <f t="shared" si="1170"/>
        <v>-121031</v>
      </c>
      <c r="S358" s="253">
        <v>1391.8</v>
      </c>
      <c r="T358" s="254">
        <v>15.0</v>
      </c>
      <c r="U358" s="255" t="s">
        <v>107</v>
      </c>
      <c r="V358" s="255"/>
      <c r="W358" s="304">
        <v>0.720248</v>
      </c>
      <c r="X358" s="304">
        <v>0.720248</v>
      </c>
      <c r="Y358" s="304">
        <v>0.0</v>
      </c>
      <c r="Z358" s="305">
        <f>-Z357</f>
        <v>-837</v>
      </c>
      <c r="AA358" s="306">
        <f t="shared" si="1171"/>
        <v>-602.847576</v>
      </c>
      <c r="AB358" s="307">
        <f t="shared" si="1172"/>
        <v>-839043</v>
      </c>
      <c r="AC358" s="308">
        <f t="shared" si="1173"/>
        <v>-602.847576</v>
      </c>
      <c r="AD358" s="309">
        <f t="shared" si="1090"/>
        <v>-839043</v>
      </c>
      <c r="AE358" s="425"/>
      <c r="AF358" s="425"/>
      <c r="AG358" s="310">
        <f t="shared" si="1091"/>
        <v>0</v>
      </c>
      <c r="AH358" s="252">
        <f t="shared" si="1092"/>
        <v>0</v>
      </c>
      <c r="AI358" s="306">
        <f t="shared" si="1174"/>
        <v>-90.43</v>
      </c>
      <c r="AJ358" s="252">
        <f t="shared" si="1175"/>
        <v>-125856</v>
      </c>
      <c r="AK358" s="426"/>
      <c r="AL358" s="426"/>
      <c r="AM358" s="426"/>
      <c r="AN358" s="426"/>
      <c r="AO358" s="426"/>
      <c r="AP358" s="426"/>
      <c r="AQ358" s="427"/>
      <c r="AR358" s="427"/>
      <c r="AS358" s="427"/>
      <c r="AT358" s="430" t="s">
        <v>1274</v>
      </c>
      <c r="AU358" s="431"/>
      <c r="AV358" s="431"/>
      <c r="AW358" s="431"/>
      <c r="AX358" s="431"/>
      <c r="AY358" s="431"/>
      <c r="AZ358" s="431"/>
      <c r="BA358" s="431"/>
      <c r="BB358" s="431"/>
      <c r="BC358" s="431"/>
      <c r="BD358" s="431"/>
      <c r="BE358" s="431"/>
    </row>
    <row r="359" ht="12.75" customHeight="1">
      <c r="A359" s="256" t="s">
        <v>905</v>
      </c>
      <c r="B359" s="257" t="s">
        <v>359</v>
      </c>
      <c r="C359" s="258" t="s">
        <v>360</v>
      </c>
      <c r="D359" s="258" t="s">
        <v>114</v>
      </c>
      <c r="E359" s="259"/>
      <c r="F359" s="259"/>
      <c r="G359" s="258" t="s">
        <v>116</v>
      </c>
      <c r="H359" s="259" t="s">
        <v>1519</v>
      </c>
      <c r="I359" s="259" t="s">
        <v>105</v>
      </c>
      <c r="J359" s="316" t="s">
        <v>106</v>
      </c>
      <c r="K359" s="317">
        <f>ROUND(M359/0.15,2)</f>
        <v>579.73</v>
      </c>
      <c r="L359" s="318">
        <f>ROUND(N359/0.15,0)</f>
        <v>806873</v>
      </c>
      <c r="M359" s="319">
        <f t="shared" ref="M359:N359" si="1176">Q359</f>
        <v>86.96</v>
      </c>
      <c r="N359" s="261">
        <f t="shared" si="1176"/>
        <v>121031</v>
      </c>
      <c r="O359" s="262">
        <v>3.46</v>
      </c>
      <c r="P359" s="263">
        <v>4815.0</v>
      </c>
      <c r="Q359" s="260">
        <f t="shared" ref="Q359:R359" si="1177">M357-O359</f>
        <v>86.96</v>
      </c>
      <c r="R359" s="261">
        <f t="shared" si="1177"/>
        <v>121031</v>
      </c>
      <c r="S359" s="264">
        <v>1391.8</v>
      </c>
      <c r="T359" s="265">
        <v>15.0</v>
      </c>
      <c r="U359" s="266" t="s">
        <v>107</v>
      </c>
      <c r="V359" s="266" t="s">
        <v>1520</v>
      </c>
      <c r="W359" s="320">
        <v>0.720248</v>
      </c>
      <c r="X359" s="320">
        <v>0.720248</v>
      </c>
      <c r="Y359" s="320">
        <v>0.0</v>
      </c>
      <c r="Z359" s="321">
        <f>Z357</f>
        <v>837</v>
      </c>
      <c r="AA359" s="426"/>
      <c r="AB359" s="428"/>
      <c r="AC359" s="432">
        <f t="shared" ref="AC359:AD359" si="1178">K359</f>
        <v>579.73</v>
      </c>
      <c r="AD359" s="433">
        <f t="shared" si="1178"/>
        <v>806873</v>
      </c>
      <c r="AE359" s="434"/>
      <c r="AF359" s="434"/>
      <c r="AG359" s="348">
        <f t="shared" ref="AG359:AH359" si="1179">round(AO359/0.15,2)</f>
        <v>23.07</v>
      </c>
      <c r="AH359" s="348">
        <f t="shared" si="1179"/>
        <v>32100</v>
      </c>
      <c r="AI359" s="435"/>
      <c r="AJ359" s="435"/>
      <c r="AK359" s="436">
        <f>ROUND(AC359*0.15,2)</f>
        <v>86.96</v>
      </c>
      <c r="AL359" s="437">
        <f>ROUND(AD359*0.15,0)</f>
        <v>121031</v>
      </c>
      <c r="AM359" s="436"/>
      <c r="AN359" s="436"/>
      <c r="AO359" s="436">
        <f t="shared" ref="AO359:AP359" si="1180">O359</f>
        <v>3.46</v>
      </c>
      <c r="AP359" s="436">
        <f t="shared" si="1180"/>
        <v>4815</v>
      </c>
      <c r="AQ359" s="438"/>
      <c r="AR359" s="438"/>
      <c r="AS359" s="438">
        <f>IFERROR(AC359/K359,IFERROR(AO359/O359,""))</f>
        <v>1</v>
      </c>
      <c r="AT359" s="430" t="s">
        <v>1274</v>
      </c>
      <c r="AU359" s="431"/>
      <c r="AV359" s="431"/>
      <c r="AW359" s="431"/>
      <c r="AX359" s="431"/>
      <c r="AY359" s="431"/>
      <c r="AZ359" s="431"/>
      <c r="BA359" s="431"/>
      <c r="BB359" s="431"/>
      <c r="BC359" s="431"/>
      <c r="BD359" s="431"/>
      <c r="BE359" s="431"/>
    </row>
    <row r="360" ht="12.75" customHeight="1">
      <c r="A360" s="439" t="s">
        <v>1521</v>
      </c>
      <c r="B360" s="481" t="str">
        <f t="shared" ref="B360:J360" si="1181">B359</f>
        <v>토스증권</v>
      </c>
      <c r="C360" s="482" t="str">
        <f t="shared" si="1181"/>
        <v>172-01-064087</v>
      </c>
      <c r="D360" s="482" t="str">
        <f t="shared" si="1181"/>
        <v>2025-09-08</v>
      </c>
      <c r="E360" s="483" t="str">
        <f t="shared" si="1181"/>
        <v/>
      </c>
      <c r="F360" s="483" t="str">
        <f t="shared" si="1181"/>
        <v/>
      </c>
      <c r="G360" s="482" t="str">
        <f t="shared" si="1181"/>
        <v>BITO</v>
      </c>
      <c r="H360" s="482" t="str">
        <f t="shared" si="1181"/>
        <v>프로셰어즈 비트코인 선물 ETF</v>
      </c>
      <c r="I360" s="482" t="str">
        <f t="shared" si="1181"/>
        <v>배당소득</v>
      </c>
      <c r="J360" s="481" t="str">
        <f t="shared" si="1181"/>
        <v>USD</v>
      </c>
      <c r="K360" s="442"/>
      <c r="L360" s="443"/>
      <c r="M360" s="444"/>
      <c r="N360" s="445"/>
      <c r="O360" s="446"/>
      <c r="P360" s="447"/>
      <c r="Q360" s="446"/>
      <c r="R360" s="448"/>
      <c r="S360" s="449"/>
      <c r="T360" s="450"/>
      <c r="U360" s="451"/>
      <c r="V360" s="451"/>
      <c r="W360" s="452"/>
      <c r="X360" s="452"/>
      <c r="Y360" s="452"/>
      <c r="Z360" s="448"/>
      <c r="AA360" s="446"/>
      <c r="AB360" s="453"/>
      <c r="AC360" s="454"/>
      <c r="AD360" s="455"/>
      <c r="AE360" s="456"/>
      <c r="AF360" s="457"/>
      <c r="AG360" s="458">
        <f>IFERROR(ROUND(AO360/0.15,2),0)</f>
        <v>-23.07</v>
      </c>
      <c r="AH360" s="458">
        <f>IFERROR(ROUND(AP360/0.15,0),0)</f>
        <v>-32100</v>
      </c>
      <c r="AI360" s="457"/>
      <c r="AJ360" s="459"/>
      <c r="AK360" s="457"/>
      <c r="AL360" s="459"/>
      <c r="AM360" s="457"/>
      <c r="AN360" s="457"/>
      <c r="AO360" s="460">
        <f t="shared" ref="AO360:AP360" si="1182">-AO359</f>
        <v>-3.46</v>
      </c>
      <c r="AP360" s="460">
        <f t="shared" si="1182"/>
        <v>-4815</v>
      </c>
      <c r="AQ360" s="459"/>
      <c r="AR360" s="459"/>
      <c r="AS360" s="459"/>
      <c r="AT360" s="430" t="s">
        <v>1274</v>
      </c>
      <c r="AU360" s="431"/>
      <c r="AV360" s="431"/>
      <c r="AW360" s="431"/>
      <c r="AX360" s="431"/>
      <c r="AY360" s="431"/>
      <c r="AZ360" s="431"/>
      <c r="BA360" s="431"/>
      <c r="BB360" s="431"/>
      <c r="BC360" s="431"/>
      <c r="BD360" s="431"/>
      <c r="BE360" s="431"/>
    </row>
    <row r="361" ht="12.75" customHeight="1">
      <c r="A361" s="439" t="s">
        <v>1522</v>
      </c>
      <c r="B361" s="481" t="str">
        <f t="shared" ref="B361:J361" si="1183">B360</f>
        <v>토스증권</v>
      </c>
      <c r="C361" s="482" t="str">
        <f t="shared" si="1183"/>
        <v>172-01-064087</v>
      </c>
      <c r="D361" s="482" t="str">
        <f t="shared" si="1183"/>
        <v>2025-09-08</v>
      </c>
      <c r="E361" s="483" t="str">
        <f t="shared" si="1183"/>
        <v/>
      </c>
      <c r="F361" s="483" t="str">
        <f t="shared" si="1183"/>
        <v/>
      </c>
      <c r="G361" s="482" t="str">
        <f t="shared" si="1183"/>
        <v>BITO</v>
      </c>
      <c r="H361" s="482" t="str">
        <f t="shared" si="1183"/>
        <v>프로셰어즈 비트코인 선물 ETF</v>
      </c>
      <c r="I361" s="482" t="str">
        <f t="shared" si="1183"/>
        <v>배당소득</v>
      </c>
      <c r="J361" s="481" t="str">
        <f t="shared" si="1183"/>
        <v>USD</v>
      </c>
      <c r="K361" s="442"/>
      <c r="L361" s="443"/>
      <c r="M361" s="444"/>
      <c r="N361" s="445"/>
      <c r="O361" s="446"/>
      <c r="P361" s="447"/>
      <c r="Q361" s="446"/>
      <c r="R361" s="448"/>
      <c r="S361" s="449"/>
      <c r="T361" s="450"/>
      <c r="U361" s="451"/>
      <c r="V361" s="451"/>
      <c r="W361" s="452"/>
      <c r="X361" s="452"/>
      <c r="Y361" s="452"/>
      <c r="Z361" s="448"/>
      <c r="AA361" s="446"/>
      <c r="AB361" s="453"/>
      <c r="AC361" s="454"/>
      <c r="AD361" s="461"/>
      <c r="AE361" s="462">
        <f>IFERROR(ROUND(AM361/0.15,2),0)</f>
        <v>23.07</v>
      </c>
      <c r="AF361" s="458">
        <f>IFERROR(ROUND(AN361/0.15,0),0)</f>
        <v>32100</v>
      </c>
      <c r="AG361" s="467"/>
      <c r="AH361" s="467"/>
      <c r="AI361" s="457"/>
      <c r="AJ361" s="459"/>
      <c r="AK361" s="457"/>
      <c r="AL361" s="459"/>
      <c r="AM361" s="460">
        <f t="shared" ref="AM361:AN361" si="1184">AO359</f>
        <v>3.46</v>
      </c>
      <c r="AN361" s="460">
        <f t="shared" si="1184"/>
        <v>4815</v>
      </c>
      <c r="AO361" s="457"/>
      <c r="AP361" s="465"/>
      <c r="AQ361" s="466">
        <f>AF361</f>
        <v>32100</v>
      </c>
      <c r="AR361" s="466">
        <f>ROUND(AQ361*0.14,0)</f>
        <v>4494</v>
      </c>
      <c r="AS361" s="459"/>
      <c r="AT361" s="430" t="s">
        <v>1274</v>
      </c>
      <c r="AU361" s="431"/>
      <c r="AV361" s="431"/>
      <c r="AW361" s="431"/>
      <c r="AX361" s="431"/>
      <c r="AY361" s="431"/>
      <c r="AZ361" s="431"/>
      <c r="BA361" s="431"/>
      <c r="BB361" s="431"/>
      <c r="BC361" s="431"/>
      <c r="BD361" s="431"/>
      <c r="BE361" s="431"/>
    </row>
    <row r="362" ht="12.75" customHeight="1">
      <c r="A362" s="245" t="s">
        <v>908</v>
      </c>
      <c r="B362" s="246" t="s">
        <v>359</v>
      </c>
      <c r="C362" s="247" t="s">
        <v>360</v>
      </c>
      <c r="D362" s="247" t="s">
        <v>114</v>
      </c>
      <c r="E362" s="248"/>
      <c r="F362" s="248"/>
      <c r="G362" s="247" t="s">
        <v>103</v>
      </c>
      <c r="H362" s="248" t="s">
        <v>1523</v>
      </c>
      <c r="I362" s="248" t="s">
        <v>105</v>
      </c>
      <c r="J362" s="300" t="s">
        <v>106</v>
      </c>
      <c r="K362" s="301">
        <v>90.0</v>
      </c>
      <c r="L362" s="302">
        <v>125262.0</v>
      </c>
      <c r="M362" s="303">
        <v>13.5</v>
      </c>
      <c r="N362" s="250">
        <v>18789.0</v>
      </c>
      <c r="O362" s="249">
        <v>9.15</v>
      </c>
      <c r="P362" s="250">
        <v>12734.0</v>
      </c>
      <c r="Q362" s="251">
        <f t="shared" ref="Q362:R362" si="1185">M362-O362</f>
        <v>4.35</v>
      </c>
      <c r="R362" s="252">
        <f t="shared" si="1185"/>
        <v>6055</v>
      </c>
      <c r="S362" s="253">
        <v>1391.8</v>
      </c>
      <c r="T362" s="254">
        <v>15.0</v>
      </c>
      <c r="U362" s="255" t="s">
        <v>107</v>
      </c>
      <c r="V362" s="255"/>
      <c r="W362" s="304">
        <v>0.0928</v>
      </c>
      <c r="X362" s="304">
        <v>0.029879</v>
      </c>
      <c r="Y362" s="304">
        <v>0.062921</v>
      </c>
      <c r="Z362" s="305">
        <f>IFERROR(ROUND(K362/W362,0),0)</f>
        <v>970</v>
      </c>
      <c r="AA362" s="306">
        <f t="shared" ref="AA362:AA363" si="1187">Z362*W362</f>
        <v>90.016</v>
      </c>
      <c r="AB362" s="307">
        <f t="shared" ref="AB362:AB363" si="1188">ROUND(AA362*S362,0)</f>
        <v>125284</v>
      </c>
      <c r="AC362" s="308">
        <f t="shared" ref="AC362:AC363" si="1189">AA362</f>
        <v>90.016</v>
      </c>
      <c r="AD362" s="309">
        <f t="shared" ref="AD362:AD373" si="1190">ROUND(AC362*S362,0)</f>
        <v>125284</v>
      </c>
      <c r="AE362" s="425"/>
      <c r="AF362" s="425"/>
      <c r="AG362" s="310">
        <f t="shared" ref="AG362:AG373" si="1191">IFERROR(ROUND(Z362*Y362,2),0)</f>
        <v>61.03</v>
      </c>
      <c r="AH362" s="252">
        <f t="shared" ref="AH362:AH373" si="1192">ROUND(AG362*S362,0)</f>
        <v>84942</v>
      </c>
      <c r="AI362" s="306">
        <f t="shared" ref="AI362:AI363" si="1193">ROUND(AC362*0.15,2)</f>
        <v>13.5</v>
      </c>
      <c r="AJ362" s="252">
        <f t="shared" ref="AJ362:AJ363" si="1194">ROUND(AD362*0.15,0)</f>
        <v>18793</v>
      </c>
      <c r="AK362" s="426"/>
      <c r="AL362" s="426"/>
      <c r="AM362" s="426"/>
      <c r="AN362" s="426"/>
      <c r="AO362" s="426"/>
      <c r="AP362" s="426"/>
      <c r="AQ362" s="427"/>
      <c r="AR362" s="427"/>
      <c r="AS362" s="427"/>
      <c r="AT362" s="426"/>
      <c r="AU362" s="410"/>
      <c r="AV362" s="410"/>
      <c r="AW362" s="410"/>
      <c r="AX362" s="410"/>
      <c r="AY362" s="410"/>
      <c r="AZ362" s="410"/>
      <c r="BA362" s="410"/>
      <c r="BB362" s="410"/>
      <c r="BC362" s="410"/>
      <c r="BD362" s="410"/>
      <c r="BE362" s="410"/>
    </row>
    <row r="363" ht="12.75" customHeight="1">
      <c r="A363" s="245" t="s">
        <v>910</v>
      </c>
      <c r="B363" s="246" t="s">
        <v>359</v>
      </c>
      <c r="C363" s="247" t="s">
        <v>360</v>
      </c>
      <c r="D363" s="247" t="s">
        <v>114</v>
      </c>
      <c r="E363" s="248"/>
      <c r="F363" s="248"/>
      <c r="G363" s="247" t="s">
        <v>103</v>
      </c>
      <c r="H363" s="248" t="s">
        <v>1524</v>
      </c>
      <c r="I363" s="248" t="s">
        <v>105</v>
      </c>
      <c r="J363" s="300" t="s">
        <v>106</v>
      </c>
      <c r="K363" s="314">
        <f t="shared" ref="K363:R363" si="1186">-K362</f>
        <v>-90</v>
      </c>
      <c r="L363" s="309">
        <f t="shared" si="1186"/>
        <v>-125262</v>
      </c>
      <c r="M363" s="315">
        <f t="shared" si="1186"/>
        <v>-13.5</v>
      </c>
      <c r="N363" s="252">
        <f t="shared" si="1186"/>
        <v>-18789</v>
      </c>
      <c r="O363" s="251">
        <f t="shared" si="1186"/>
        <v>-9.15</v>
      </c>
      <c r="P363" s="252">
        <f t="shared" si="1186"/>
        <v>-12734</v>
      </c>
      <c r="Q363" s="251">
        <f t="shared" si="1186"/>
        <v>-4.35</v>
      </c>
      <c r="R363" s="252">
        <f t="shared" si="1186"/>
        <v>-6055</v>
      </c>
      <c r="S363" s="253">
        <v>1391.8</v>
      </c>
      <c r="T363" s="254">
        <v>15.0</v>
      </c>
      <c r="U363" s="255" t="s">
        <v>107</v>
      </c>
      <c r="V363" s="255"/>
      <c r="W363" s="304">
        <v>0.0928</v>
      </c>
      <c r="X363" s="304">
        <v>0.029879</v>
      </c>
      <c r="Y363" s="304">
        <v>0.062921</v>
      </c>
      <c r="Z363" s="305">
        <f>-Z362</f>
        <v>-970</v>
      </c>
      <c r="AA363" s="306">
        <f t="shared" si="1187"/>
        <v>-90.016</v>
      </c>
      <c r="AB363" s="307">
        <f t="shared" si="1188"/>
        <v>-125284</v>
      </c>
      <c r="AC363" s="308">
        <f t="shared" si="1189"/>
        <v>-90.016</v>
      </c>
      <c r="AD363" s="309">
        <f t="shared" si="1190"/>
        <v>-125284</v>
      </c>
      <c r="AE363" s="425"/>
      <c r="AF363" s="425"/>
      <c r="AG363" s="310">
        <f t="shared" si="1191"/>
        <v>-61.03</v>
      </c>
      <c r="AH363" s="252">
        <f t="shared" si="1192"/>
        <v>-84942</v>
      </c>
      <c r="AI363" s="306">
        <f t="shared" si="1193"/>
        <v>-13.5</v>
      </c>
      <c r="AJ363" s="252">
        <f t="shared" si="1194"/>
        <v>-18793</v>
      </c>
      <c r="AK363" s="426"/>
      <c r="AL363" s="426"/>
      <c r="AM363" s="426"/>
      <c r="AN363" s="426"/>
      <c r="AO363" s="426"/>
      <c r="AP363" s="426"/>
      <c r="AQ363" s="427"/>
      <c r="AR363" s="427"/>
      <c r="AS363" s="427"/>
      <c r="AT363" s="426"/>
      <c r="AU363" s="410"/>
      <c r="AV363" s="410"/>
      <c r="AW363" s="410"/>
      <c r="AX363" s="410"/>
      <c r="AY363" s="410"/>
      <c r="AZ363" s="410"/>
      <c r="BA363" s="410"/>
      <c r="BB363" s="410"/>
      <c r="BC363" s="410"/>
      <c r="BD363" s="410"/>
      <c r="BE363" s="410"/>
    </row>
    <row r="364" ht="12.75" customHeight="1">
      <c r="A364" s="256" t="s">
        <v>912</v>
      </c>
      <c r="B364" s="257" t="s">
        <v>359</v>
      </c>
      <c r="C364" s="258" t="s">
        <v>360</v>
      </c>
      <c r="D364" s="258" t="s">
        <v>114</v>
      </c>
      <c r="E364" s="259"/>
      <c r="F364" s="259"/>
      <c r="G364" s="258" t="s">
        <v>103</v>
      </c>
      <c r="H364" s="259" t="s">
        <v>1525</v>
      </c>
      <c r="I364" s="259" t="s">
        <v>105</v>
      </c>
      <c r="J364" s="316" t="s">
        <v>106</v>
      </c>
      <c r="K364" s="317">
        <f>ROUND(M364/0.15,2)</f>
        <v>29</v>
      </c>
      <c r="L364" s="318">
        <f>ROUND(N364/0.15,0)</f>
        <v>40367</v>
      </c>
      <c r="M364" s="319">
        <f t="shared" ref="M364:N364" si="1195">Q364</f>
        <v>4.35</v>
      </c>
      <c r="N364" s="261">
        <f t="shared" si="1195"/>
        <v>6055</v>
      </c>
      <c r="O364" s="262">
        <v>9.15</v>
      </c>
      <c r="P364" s="263">
        <v>12734.0</v>
      </c>
      <c r="Q364" s="260">
        <f t="shared" ref="Q364:R364" si="1196">M362-O364</f>
        <v>4.35</v>
      </c>
      <c r="R364" s="261">
        <f t="shared" si="1196"/>
        <v>6055</v>
      </c>
      <c r="S364" s="264">
        <v>1391.8</v>
      </c>
      <c r="T364" s="265">
        <v>15.0</v>
      </c>
      <c r="U364" s="266" t="s">
        <v>107</v>
      </c>
      <c r="V364" s="266" t="s">
        <v>1526</v>
      </c>
      <c r="W364" s="320">
        <v>0.0928</v>
      </c>
      <c r="X364" s="320">
        <v>0.029879</v>
      </c>
      <c r="Y364" s="320">
        <v>0.062921</v>
      </c>
      <c r="Z364" s="321">
        <f>Z362</f>
        <v>970</v>
      </c>
      <c r="AA364" s="426"/>
      <c r="AB364" s="428"/>
      <c r="AC364" s="323">
        <f>IFERROR(ROUND(Z364*X364,2),0)</f>
        <v>28.98</v>
      </c>
      <c r="AD364" s="318">
        <f t="shared" si="1190"/>
        <v>40334</v>
      </c>
      <c r="AE364" s="429"/>
      <c r="AF364" s="429"/>
      <c r="AG364" s="324">
        <f t="shared" si="1191"/>
        <v>61.03</v>
      </c>
      <c r="AH364" s="261">
        <f t="shared" si="1192"/>
        <v>84942</v>
      </c>
      <c r="AI364" s="426"/>
      <c r="AJ364" s="426"/>
      <c r="AK364" s="325">
        <f>ROUND(AC364*0.15,2)</f>
        <v>4.35</v>
      </c>
      <c r="AL364" s="261">
        <f>ROUND(AD364*0.15,0)</f>
        <v>6050</v>
      </c>
      <c r="AM364" s="325"/>
      <c r="AN364" s="325"/>
      <c r="AO364" s="325">
        <f>ROUND(AG364*0.15,2)</f>
        <v>9.15</v>
      </c>
      <c r="AP364" s="261">
        <f>ROUND(AH364*0.15,0)</f>
        <v>12741</v>
      </c>
      <c r="AQ364" s="326"/>
      <c r="AR364" s="326"/>
      <c r="AS364" s="326">
        <f>IFERROR(AC364/K364,IFERROR(AO364/O364,""))</f>
        <v>0.9993103448</v>
      </c>
      <c r="AT364" s="426"/>
      <c r="AU364" s="410"/>
      <c r="AV364" s="410"/>
      <c r="AW364" s="410"/>
      <c r="AX364" s="410"/>
      <c r="AY364" s="410"/>
      <c r="AZ364" s="410"/>
      <c r="BA364" s="410"/>
      <c r="BB364" s="410"/>
      <c r="BC364" s="410"/>
      <c r="BD364" s="410"/>
      <c r="BE364" s="410"/>
    </row>
    <row r="365" ht="12.75" customHeight="1">
      <c r="A365" s="245" t="s">
        <v>915</v>
      </c>
      <c r="B365" s="246" t="s">
        <v>359</v>
      </c>
      <c r="C365" s="247" t="s">
        <v>360</v>
      </c>
      <c r="D365" s="247" t="s">
        <v>413</v>
      </c>
      <c r="E365" s="248"/>
      <c r="F365" s="248"/>
      <c r="G365" s="247" t="s">
        <v>103</v>
      </c>
      <c r="H365" s="248" t="s">
        <v>1527</v>
      </c>
      <c r="I365" s="248" t="s">
        <v>105</v>
      </c>
      <c r="J365" s="300" t="s">
        <v>106</v>
      </c>
      <c r="K365" s="301">
        <v>92.8</v>
      </c>
      <c r="L365" s="302">
        <v>128945.0</v>
      </c>
      <c r="M365" s="303">
        <v>13.92</v>
      </c>
      <c r="N365" s="250">
        <v>19341.0</v>
      </c>
      <c r="O365" s="249">
        <v>9.44</v>
      </c>
      <c r="P365" s="250">
        <v>13116.0</v>
      </c>
      <c r="Q365" s="251">
        <f t="shared" ref="Q365:R365" si="1197">M365-O365</f>
        <v>4.48</v>
      </c>
      <c r="R365" s="252">
        <f t="shared" si="1197"/>
        <v>6225</v>
      </c>
      <c r="S365" s="253">
        <v>1389.5</v>
      </c>
      <c r="T365" s="254">
        <v>15.0</v>
      </c>
      <c r="U365" s="255" t="s">
        <v>107</v>
      </c>
      <c r="V365" s="255"/>
      <c r="W365" s="304">
        <v>0.0928</v>
      </c>
      <c r="X365" s="304">
        <v>0.029879</v>
      </c>
      <c r="Y365" s="304">
        <v>0.062921</v>
      </c>
      <c r="Z365" s="305">
        <f>IFERROR(ROUND(K365/W365,0),0)</f>
        <v>1000</v>
      </c>
      <c r="AA365" s="306">
        <f t="shared" ref="AA365:AA366" si="1199">Z365*W365</f>
        <v>92.8</v>
      </c>
      <c r="AB365" s="307">
        <f t="shared" ref="AB365:AB366" si="1200">ROUND(AA365*S365,0)</f>
        <v>128946</v>
      </c>
      <c r="AC365" s="308">
        <f t="shared" ref="AC365:AC366" si="1201">AA365</f>
        <v>92.8</v>
      </c>
      <c r="AD365" s="309">
        <f t="shared" si="1190"/>
        <v>128946</v>
      </c>
      <c r="AE365" s="425"/>
      <c r="AF365" s="425"/>
      <c r="AG365" s="310">
        <f t="shared" si="1191"/>
        <v>62.92</v>
      </c>
      <c r="AH365" s="252">
        <f t="shared" si="1192"/>
        <v>87427</v>
      </c>
      <c r="AI365" s="306">
        <f t="shared" ref="AI365:AI366" si="1202">ROUND(AC365*0.15,2)</f>
        <v>13.92</v>
      </c>
      <c r="AJ365" s="252">
        <f t="shared" ref="AJ365:AJ366" si="1203">ROUND(AD365*0.15,0)</f>
        <v>19342</v>
      </c>
      <c r="AK365" s="426"/>
      <c r="AL365" s="426"/>
      <c r="AM365" s="426"/>
      <c r="AN365" s="426"/>
      <c r="AO365" s="426"/>
      <c r="AP365" s="426"/>
      <c r="AQ365" s="427"/>
      <c r="AR365" s="427"/>
      <c r="AS365" s="427"/>
      <c r="AT365" s="426"/>
      <c r="AU365" s="410"/>
      <c r="AV365" s="410"/>
      <c r="AW365" s="410"/>
      <c r="AX365" s="410"/>
      <c r="AY365" s="410"/>
      <c r="AZ365" s="410"/>
      <c r="BA365" s="410"/>
      <c r="BB365" s="410"/>
      <c r="BC365" s="410"/>
      <c r="BD365" s="410"/>
      <c r="BE365" s="410"/>
    </row>
    <row r="366" ht="12.75" customHeight="1">
      <c r="A366" s="245" t="s">
        <v>917</v>
      </c>
      <c r="B366" s="246" t="s">
        <v>359</v>
      </c>
      <c r="C366" s="247" t="s">
        <v>360</v>
      </c>
      <c r="D366" s="247" t="s">
        <v>413</v>
      </c>
      <c r="E366" s="248"/>
      <c r="F366" s="248"/>
      <c r="G366" s="247" t="s">
        <v>103</v>
      </c>
      <c r="H366" s="248" t="s">
        <v>1528</v>
      </c>
      <c r="I366" s="248" t="s">
        <v>105</v>
      </c>
      <c r="J366" s="300" t="s">
        <v>106</v>
      </c>
      <c r="K366" s="314">
        <f t="shared" ref="K366:R366" si="1198">-K365</f>
        <v>-92.8</v>
      </c>
      <c r="L366" s="309">
        <f t="shared" si="1198"/>
        <v>-128945</v>
      </c>
      <c r="M366" s="315">
        <f t="shared" si="1198"/>
        <v>-13.92</v>
      </c>
      <c r="N366" s="252">
        <f t="shared" si="1198"/>
        <v>-19341</v>
      </c>
      <c r="O366" s="251">
        <f t="shared" si="1198"/>
        <v>-9.44</v>
      </c>
      <c r="P366" s="252">
        <f t="shared" si="1198"/>
        <v>-13116</v>
      </c>
      <c r="Q366" s="251">
        <f t="shared" si="1198"/>
        <v>-4.48</v>
      </c>
      <c r="R366" s="252">
        <f t="shared" si="1198"/>
        <v>-6225</v>
      </c>
      <c r="S366" s="253">
        <v>1389.5</v>
      </c>
      <c r="T366" s="254">
        <v>15.0</v>
      </c>
      <c r="U366" s="255" t="s">
        <v>107</v>
      </c>
      <c r="V366" s="255"/>
      <c r="W366" s="304">
        <v>0.0928</v>
      </c>
      <c r="X366" s="304">
        <v>0.029879</v>
      </c>
      <c r="Y366" s="304">
        <v>0.062921</v>
      </c>
      <c r="Z366" s="305">
        <f>-Z365</f>
        <v>-1000</v>
      </c>
      <c r="AA366" s="306">
        <f t="shared" si="1199"/>
        <v>-92.8</v>
      </c>
      <c r="AB366" s="307">
        <f t="shared" si="1200"/>
        <v>-128946</v>
      </c>
      <c r="AC366" s="308">
        <f t="shared" si="1201"/>
        <v>-92.8</v>
      </c>
      <c r="AD366" s="309">
        <f t="shared" si="1190"/>
        <v>-128946</v>
      </c>
      <c r="AE366" s="425"/>
      <c r="AF366" s="425"/>
      <c r="AG366" s="310">
        <f t="shared" si="1191"/>
        <v>-62.92</v>
      </c>
      <c r="AH366" s="252">
        <f t="shared" si="1192"/>
        <v>-87427</v>
      </c>
      <c r="AI366" s="306">
        <f t="shared" si="1202"/>
        <v>-13.92</v>
      </c>
      <c r="AJ366" s="252">
        <f t="shared" si="1203"/>
        <v>-19342</v>
      </c>
      <c r="AK366" s="426"/>
      <c r="AL366" s="426"/>
      <c r="AM366" s="426"/>
      <c r="AN366" s="426"/>
      <c r="AO366" s="426"/>
      <c r="AP366" s="426"/>
      <c r="AQ366" s="427"/>
      <c r="AR366" s="427"/>
      <c r="AS366" s="427"/>
      <c r="AT366" s="426"/>
      <c r="AU366" s="410"/>
      <c r="AV366" s="410"/>
      <c r="AW366" s="410"/>
      <c r="AX366" s="410"/>
      <c r="AY366" s="410"/>
      <c r="AZ366" s="410"/>
      <c r="BA366" s="410"/>
      <c r="BB366" s="410"/>
      <c r="BC366" s="410"/>
      <c r="BD366" s="410"/>
      <c r="BE366" s="410"/>
    </row>
    <row r="367" ht="12.75" customHeight="1">
      <c r="A367" s="256" t="s">
        <v>919</v>
      </c>
      <c r="B367" s="257" t="s">
        <v>359</v>
      </c>
      <c r="C367" s="258" t="s">
        <v>360</v>
      </c>
      <c r="D367" s="258" t="s">
        <v>413</v>
      </c>
      <c r="E367" s="259"/>
      <c r="F367" s="259"/>
      <c r="G367" s="258" t="s">
        <v>103</v>
      </c>
      <c r="H367" s="259" t="s">
        <v>1529</v>
      </c>
      <c r="I367" s="259" t="s">
        <v>105</v>
      </c>
      <c r="J367" s="316" t="s">
        <v>106</v>
      </c>
      <c r="K367" s="317">
        <f>ROUND(M367/0.15,2)</f>
        <v>29.87</v>
      </c>
      <c r="L367" s="318">
        <f>ROUND(N367/0.15,0)</f>
        <v>41500</v>
      </c>
      <c r="M367" s="319">
        <f t="shared" ref="M367:N367" si="1204">Q367</f>
        <v>4.48</v>
      </c>
      <c r="N367" s="261">
        <f t="shared" si="1204"/>
        <v>6225</v>
      </c>
      <c r="O367" s="262">
        <v>9.44</v>
      </c>
      <c r="P367" s="263">
        <v>13116.0</v>
      </c>
      <c r="Q367" s="260">
        <f t="shared" ref="Q367:R367" si="1205">M365-O367</f>
        <v>4.48</v>
      </c>
      <c r="R367" s="261">
        <f t="shared" si="1205"/>
        <v>6225</v>
      </c>
      <c r="S367" s="264">
        <v>1389.5</v>
      </c>
      <c r="T367" s="265">
        <v>15.0</v>
      </c>
      <c r="U367" s="266" t="s">
        <v>107</v>
      </c>
      <c r="V367" s="266" t="s">
        <v>1530</v>
      </c>
      <c r="W367" s="320">
        <v>0.0928</v>
      </c>
      <c r="X367" s="320">
        <v>0.029879</v>
      </c>
      <c r="Y367" s="320">
        <v>0.062921</v>
      </c>
      <c r="Z367" s="321">
        <f>Z365</f>
        <v>1000</v>
      </c>
      <c r="AA367" s="426"/>
      <c r="AB367" s="428"/>
      <c r="AC367" s="323">
        <f>IFERROR(ROUND(Z367*X367,2),0)</f>
        <v>29.88</v>
      </c>
      <c r="AD367" s="318">
        <f t="shared" si="1190"/>
        <v>41518</v>
      </c>
      <c r="AE367" s="429"/>
      <c r="AF367" s="429"/>
      <c r="AG367" s="324">
        <f t="shared" si="1191"/>
        <v>62.92</v>
      </c>
      <c r="AH367" s="261">
        <f t="shared" si="1192"/>
        <v>87427</v>
      </c>
      <c r="AI367" s="426"/>
      <c r="AJ367" s="426"/>
      <c r="AK367" s="325">
        <f>ROUND(AC367*0.15,2)</f>
        <v>4.48</v>
      </c>
      <c r="AL367" s="261">
        <f>ROUND(AD367*0.15,0)</f>
        <v>6228</v>
      </c>
      <c r="AM367" s="325"/>
      <c r="AN367" s="325"/>
      <c r="AO367" s="325">
        <f>ROUND(AG367*0.15,2)</f>
        <v>9.44</v>
      </c>
      <c r="AP367" s="261">
        <f>ROUND(AH367*0.15,0)</f>
        <v>13114</v>
      </c>
      <c r="AQ367" s="326"/>
      <c r="AR367" s="326"/>
      <c r="AS367" s="326">
        <f>IFERROR(AC367/K367,IFERROR(AO367/O367,""))</f>
        <v>1.000334784</v>
      </c>
      <c r="AT367" s="426"/>
      <c r="AU367" s="410"/>
      <c r="AV367" s="410"/>
      <c r="AW367" s="410"/>
      <c r="AX367" s="410"/>
      <c r="AY367" s="410"/>
      <c r="AZ367" s="410"/>
      <c r="BA367" s="410"/>
      <c r="BB367" s="410"/>
      <c r="BC367" s="410"/>
      <c r="BD367" s="410"/>
      <c r="BE367" s="410"/>
    </row>
    <row r="368" ht="12.75" customHeight="1">
      <c r="A368" s="245" t="s">
        <v>593</v>
      </c>
      <c r="B368" s="246" t="s">
        <v>359</v>
      </c>
      <c r="C368" s="247" t="s">
        <v>360</v>
      </c>
      <c r="D368" s="247" t="s">
        <v>256</v>
      </c>
      <c r="E368" s="248"/>
      <c r="F368" s="248"/>
      <c r="G368" s="247" t="s">
        <v>103</v>
      </c>
      <c r="H368" s="248" t="s">
        <v>1531</v>
      </c>
      <c r="I368" s="248" t="s">
        <v>105</v>
      </c>
      <c r="J368" s="300" t="s">
        <v>106</v>
      </c>
      <c r="K368" s="301">
        <v>92.6</v>
      </c>
      <c r="L368" s="302">
        <v>128213.0</v>
      </c>
      <c r="M368" s="303">
        <v>13.89</v>
      </c>
      <c r="N368" s="250">
        <v>19232.0</v>
      </c>
      <c r="O368" s="249">
        <v>9.42</v>
      </c>
      <c r="P368" s="250">
        <v>13042.0</v>
      </c>
      <c r="Q368" s="251">
        <f t="shared" ref="Q368:R368" si="1206">M368-O368</f>
        <v>4.47</v>
      </c>
      <c r="R368" s="252">
        <f t="shared" si="1206"/>
        <v>6190</v>
      </c>
      <c r="S368" s="253">
        <v>1384.6</v>
      </c>
      <c r="T368" s="254">
        <v>15.0</v>
      </c>
      <c r="U368" s="255" t="s">
        <v>107</v>
      </c>
      <c r="V368" s="255"/>
      <c r="W368" s="304">
        <v>0.0926</v>
      </c>
      <c r="X368" s="304">
        <v>0.029814</v>
      </c>
      <c r="Y368" s="304">
        <v>0.062786</v>
      </c>
      <c r="Z368" s="305">
        <f>IFERROR(ROUND(K368/W368,0),0)</f>
        <v>1000</v>
      </c>
      <c r="AA368" s="306">
        <f t="shared" ref="AA368:AA369" si="1208">Z368*W368</f>
        <v>92.6</v>
      </c>
      <c r="AB368" s="307">
        <f t="shared" ref="AB368:AB369" si="1209">ROUND(AA368*S368,0)</f>
        <v>128214</v>
      </c>
      <c r="AC368" s="308">
        <f t="shared" ref="AC368:AC369" si="1210">AA368</f>
        <v>92.6</v>
      </c>
      <c r="AD368" s="309">
        <f t="shared" si="1190"/>
        <v>128214</v>
      </c>
      <c r="AE368" s="425"/>
      <c r="AF368" s="425"/>
      <c r="AG368" s="310">
        <f t="shared" si="1191"/>
        <v>62.79</v>
      </c>
      <c r="AH368" s="252">
        <f t="shared" si="1192"/>
        <v>86939</v>
      </c>
      <c r="AI368" s="306">
        <f t="shared" ref="AI368:AI369" si="1211">ROUND(AC368*0.15,2)</f>
        <v>13.89</v>
      </c>
      <c r="AJ368" s="252">
        <f t="shared" ref="AJ368:AJ369" si="1212">ROUND(AD368*0.15,0)</f>
        <v>19232</v>
      </c>
      <c r="AK368" s="426"/>
      <c r="AL368" s="426"/>
      <c r="AM368" s="426"/>
      <c r="AN368" s="426"/>
      <c r="AO368" s="426"/>
      <c r="AP368" s="426"/>
      <c r="AQ368" s="427"/>
      <c r="AR368" s="427"/>
      <c r="AS368" s="427"/>
      <c r="AT368" s="426"/>
      <c r="AU368" s="410"/>
      <c r="AV368" s="410"/>
      <c r="AW368" s="410"/>
      <c r="AX368" s="410"/>
      <c r="AY368" s="410"/>
      <c r="AZ368" s="410"/>
      <c r="BA368" s="410"/>
      <c r="BB368" s="410"/>
      <c r="BC368" s="410"/>
      <c r="BD368" s="410"/>
      <c r="BE368" s="410"/>
    </row>
    <row r="369" ht="12.75" customHeight="1">
      <c r="A369" s="245" t="s">
        <v>594</v>
      </c>
      <c r="B369" s="246" t="s">
        <v>359</v>
      </c>
      <c r="C369" s="247" t="s">
        <v>360</v>
      </c>
      <c r="D369" s="247" t="s">
        <v>256</v>
      </c>
      <c r="E369" s="248"/>
      <c r="F369" s="248"/>
      <c r="G369" s="247" t="s">
        <v>103</v>
      </c>
      <c r="H369" s="248" t="s">
        <v>1532</v>
      </c>
      <c r="I369" s="248" t="s">
        <v>105</v>
      </c>
      <c r="J369" s="300" t="s">
        <v>106</v>
      </c>
      <c r="K369" s="314">
        <f t="shared" ref="K369:R369" si="1207">-K368</f>
        <v>-92.6</v>
      </c>
      <c r="L369" s="309">
        <f t="shared" si="1207"/>
        <v>-128213</v>
      </c>
      <c r="M369" s="315">
        <f t="shared" si="1207"/>
        <v>-13.89</v>
      </c>
      <c r="N369" s="252">
        <f t="shared" si="1207"/>
        <v>-19232</v>
      </c>
      <c r="O369" s="251">
        <f t="shared" si="1207"/>
        <v>-9.42</v>
      </c>
      <c r="P369" s="252">
        <f t="shared" si="1207"/>
        <v>-13042</v>
      </c>
      <c r="Q369" s="251">
        <f t="shared" si="1207"/>
        <v>-4.47</v>
      </c>
      <c r="R369" s="252">
        <f t="shared" si="1207"/>
        <v>-6190</v>
      </c>
      <c r="S369" s="253">
        <v>1384.6</v>
      </c>
      <c r="T369" s="254">
        <v>15.0</v>
      </c>
      <c r="U369" s="255" t="s">
        <v>107</v>
      </c>
      <c r="V369" s="255"/>
      <c r="W369" s="304">
        <v>0.0926</v>
      </c>
      <c r="X369" s="304">
        <v>0.029814</v>
      </c>
      <c r="Y369" s="304">
        <v>0.062786</v>
      </c>
      <c r="Z369" s="305">
        <f>-Z368</f>
        <v>-1000</v>
      </c>
      <c r="AA369" s="306">
        <f t="shared" si="1208"/>
        <v>-92.6</v>
      </c>
      <c r="AB369" s="307">
        <f t="shared" si="1209"/>
        <v>-128214</v>
      </c>
      <c r="AC369" s="308">
        <f t="shared" si="1210"/>
        <v>-92.6</v>
      </c>
      <c r="AD369" s="309">
        <f t="shared" si="1190"/>
        <v>-128214</v>
      </c>
      <c r="AE369" s="425"/>
      <c r="AF369" s="425"/>
      <c r="AG369" s="310">
        <f t="shared" si="1191"/>
        <v>-62.79</v>
      </c>
      <c r="AH369" s="252">
        <f t="shared" si="1192"/>
        <v>-86939</v>
      </c>
      <c r="AI369" s="306">
        <f t="shared" si="1211"/>
        <v>-13.89</v>
      </c>
      <c r="AJ369" s="252">
        <f t="shared" si="1212"/>
        <v>-19232</v>
      </c>
      <c r="AK369" s="426"/>
      <c r="AL369" s="426"/>
      <c r="AM369" s="426"/>
      <c r="AN369" s="426"/>
      <c r="AO369" s="426"/>
      <c r="AP369" s="426"/>
      <c r="AQ369" s="427"/>
      <c r="AR369" s="427"/>
      <c r="AS369" s="427"/>
      <c r="AT369" s="426"/>
      <c r="AU369" s="410"/>
      <c r="AV369" s="410"/>
      <c r="AW369" s="410"/>
      <c r="AX369" s="410"/>
      <c r="AY369" s="410"/>
      <c r="AZ369" s="410"/>
      <c r="BA369" s="410"/>
      <c r="BB369" s="410"/>
      <c r="BC369" s="410"/>
      <c r="BD369" s="410"/>
      <c r="BE369" s="410"/>
    </row>
    <row r="370" ht="12.75" customHeight="1">
      <c r="A370" s="256" t="s">
        <v>595</v>
      </c>
      <c r="B370" s="257" t="s">
        <v>359</v>
      </c>
      <c r="C370" s="258" t="s">
        <v>360</v>
      </c>
      <c r="D370" s="258" t="s">
        <v>256</v>
      </c>
      <c r="E370" s="259"/>
      <c r="F370" s="259"/>
      <c r="G370" s="258" t="s">
        <v>103</v>
      </c>
      <c r="H370" s="259" t="s">
        <v>1533</v>
      </c>
      <c r="I370" s="259" t="s">
        <v>105</v>
      </c>
      <c r="J370" s="316" t="s">
        <v>106</v>
      </c>
      <c r="K370" s="317">
        <f>ROUND(M370/0.15,2)</f>
        <v>29.8</v>
      </c>
      <c r="L370" s="318">
        <f>ROUND(N370/0.15,0)</f>
        <v>41267</v>
      </c>
      <c r="M370" s="319">
        <f t="shared" ref="M370:N370" si="1213">Q370</f>
        <v>4.47</v>
      </c>
      <c r="N370" s="261">
        <f t="shared" si="1213"/>
        <v>6190</v>
      </c>
      <c r="O370" s="262">
        <v>9.42</v>
      </c>
      <c r="P370" s="263">
        <v>13042.0</v>
      </c>
      <c r="Q370" s="260">
        <f t="shared" ref="Q370:R370" si="1214">M368-O370</f>
        <v>4.47</v>
      </c>
      <c r="R370" s="261">
        <f t="shared" si="1214"/>
        <v>6190</v>
      </c>
      <c r="S370" s="264">
        <v>1384.6</v>
      </c>
      <c r="T370" s="265">
        <v>15.0</v>
      </c>
      <c r="U370" s="266" t="s">
        <v>107</v>
      </c>
      <c r="V370" s="266" t="s">
        <v>1534</v>
      </c>
      <c r="W370" s="320">
        <v>0.0926</v>
      </c>
      <c r="X370" s="320">
        <v>0.029814</v>
      </c>
      <c r="Y370" s="320">
        <v>0.062786</v>
      </c>
      <c r="Z370" s="321">
        <f>Z368</f>
        <v>1000</v>
      </c>
      <c r="AA370" s="426"/>
      <c r="AB370" s="428"/>
      <c r="AC370" s="323">
        <f>IFERROR(ROUND(Z370*X370,2),0)</f>
        <v>29.81</v>
      </c>
      <c r="AD370" s="318">
        <f t="shared" si="1190"/>
        <v>41275</v>
      </c>
      <c r="AE370" s="429"/>
      <c r="AF370" s="429"/>
      <c r="AG370" s="324">
        <f t="shared" si="1191"/>
        <v>62.79</v>
      </c>
      <c r="AH370" s="261">
        <f t="shared" si="1192"/>
        <v>86939</v>
      </c>
      <c r="AI370" s="426"/>
      <c r="AJ370" s="426"/>
      <c r="AK370" s="325">
        <f>ROUND(AC370*0.15,2)</f>
        <v>4.47</v>
      </c>
      <c r="AL370" s="261">
        <f>ROUND(AD370*0.15,0)</f>
        <v>6191</v>
      </c>
      <c r="AM370" s="325"/>
      <c r="AN370" s="325"/>
      <c r="AO370" s="325">
        <f>ROUND(AG370*0.15,2)</f>
        <v>9.42</v>
      </c>
      <c r="AP370" s="261">
        <f>ROUND(AH370*0.15,0)</f>
        <v>13041</v>
      </c>
      <c r="AQ370" s="326"/>
      <c r="AR370" s="326"/>
      <c r="AS370" s="326">
        <f>IFERROR(AC370/K370,IFERROR(AO370/O370,""))</f>
        <v>1.00033557</v>
      </c>
      <c r="AT370" s="426"/>
      <c r="AU370" s="410"/>
      <c r="AV370" s="410"/>
      <c r="AW370" s="410"/>
      <c r="AX370" s="410"/>
      <c r="AY370" s="410"/>
      <c r="AZ370" s="410"/>
      <c r="BA370" s="410"/>
      <c r="BB370" s="410"/>
      <c r="BC370" s="410"/>
      <c r="BD370" s="410"/>
      <c r="BE370" s="410"/>
    </row>
    <row r="371" ht="12.75" customHeight="1">
      <c r="A371" s="245" t="s">
        <v>597</v>
      </c>
      <c r="B371" s="246" t="s">
        <v>359</v>
      </c>
      <c r="C371" s="247" t="s">
        <v>360</v>
      </c>
      <c r="D371" s="247" t="s">
        <v>258</v>
      </c>
      <c r="E371" s="248"/>
      <c r="F371" s="248"/>
      <c r="G371" s="247" t="s">
        <v>103</v>
      </c>
      <c r="H371" s="248" t="s">
        <v>1535</v>
      </c>
      <c r="I371" s="248" t="s">
        <v>105</v>
      </c>
      <c r="J371" s="300" t="s">
        <v>106</v>
      </c>
      <c r="K371" s="301">
        <v>92.1</v>
      </c>
      <c r="L371" s="302">
        <v>130008.0</v>
      </c>
      <c r="M371" s="303">
        <v>13.81</v>
      </c>
      <c r="N371" s="250">
        <v>19494.0</v>
      </c>
      <c r="O371" s="249">
        <v>9.36</v>
      </c>
      <c r="P371" s="250">
        <v>13212.0</v>
      </c>
      <c r="Q371" s="251">
        <f t="shared" ref="Q371:R371" si="1215">M371-O371</f>
        <v>4.45</v>
      </c>
      <c r="R371" s="252">
        <f t="shared" si="1215"/>
        <v>6282</v>
      </c>
      <c r="S371" s="253">
        <v>1411.6</v>
      </c>
      <c r="T371" s="254">
        <v>15.0</v>
      </c>
      <c r="U371" s="255" t="s">
        <v>107</v>
      </c>
      <c r="V371" s="255"/>
      <c r="W371" s="304">
        <v>0.0913</v>
      </c>
      <c r="X371" s="304">
        <v>0.029396</v>
      </c>
      <c r="Y371" s="304">
        <v>0.061904</v>
      </c>
      <c r="Z371" s="305">
        <f>IFERROR(ROUND(K371/W371,0),0)</f>
        <v>1009</v>
      </c>
      <c r="AA371" s="306">
        <f t="shared" ref="AA371:AA372" si="1217">Z371*W371</f>
        <v>92.1217</v>
      </c>
      <c r="AB371" s="307">
        <f t="shared" ref="AB371:AB372" si="1218">ROUND(AA371*S371,0)</f>
        <v>130039</v>
      </c>
      <c r="AC371" s="308">
        <f t="shared" ref="AC371:AC372" si="1219">AA371</f>
        <v>92.1217</v>
      </c>
      <c r="AD371" s="309">
        <f t="shared" si="1190"/>
        <v>130039</v>
      </c>
      <c r="AE371" s="425"/>
      <c r="AF371" s="425"/>
      <c r="AG371" s="310">
        <f t="shared" si="1191"/>
        <v>62.46</v>
      </c>
      <c r="AH371" s="252">
        <f t="shared" si="1192"/>
        <v>88169</v>
      </c>
      <c r="AI371" s="306">
        <f t="shared" ref="AI371:AI372" si="1220">ROUND(AC371*0.15,2)</f>
        <v>13.82</v>
      </c>
      <c r="AJ371" s="252">
        <f t="shared" ref="AJ371:AJ372" si="1221">ROUND(AD371*0.15,0)</f>
        <v>19506</v>
      </c>
      <c r="AK371" s="426"/>
      <c r="AL371" s="426"/>
      <c r="AM371" s="426"/>
      <c r="AN371" s="426"/>
      <c r="AO371" s="426"/>
      <c r="AP371" s="426"/>
      <c r="AQ371" s="427"/>
      <c r="AR371" s="427"/>
      <c r="AS371" s="427"/>
      <c r="AT371" s="426"/>
      <c r="AU371" s="410"/>
      <c r="AV371" s="410"/>
      <c r="AW371" s="410"/>
      <c r="AX371" s="410"/>
      <c r="AY371" s="410"/>
      <c r="AZ371" s="410"/>
      <c r="BA371" s="410"/>
      <c r="BB371" s="410"/>
      <c r="BC371" s="410"/>
      <c r="BD371" s="410"/>
      <c r="BE371" s="410"/>
    </row>
    <row r="372" ht="12.75" customHeight="1">
      <c r="A372" s="245" t="s">
        <v>598</v>
      </c>
      <c r="B372" s="246" t="s">
        <v>359</v>
      </c>
      <c r="C372" s="247" t="s">
        <v>360</v>
      </c>
      <c r="D372" s="247" t="s">
        <v>258</v>
      </c>
      <c r="E372" s="248"/>
      <c r="F372" s="248"/>
      <c r="G372" s="247" t="s">
        <v>103</v>
      </c>
      <c r="H372" s="248" t="s">
        <v>1536</v>
      </c>
      <c r="I372" s="248" t="s">
        <v>105</v>
      </c>
      <c r="J372" s="300" t="s">
        <v>106</v>
      </c>
      <c r="K372" s="314">
        <f t="shared" ref="K372:R372" si="1216">-K371</f>
        <v>-92.1</v>
      </c>
      <c r="L372" s="309">
        <f t="shared" si="1216"/>
        <v>-130008</v>
      </c>
      <c r="M372" s="315">
        <f t="shared" si="1216"/>
        <v>-13.81</v>
      </c>
      <c r="N372" s="252">
        <f t="shared" si="1216"/>
        <v>-19494</v>
      </c>
      <c r="O372" s="251">
        <f t="shared" si="1216"/>
        <v>-9.36</v>
      </c>
      <c r="P372" s="252">
        <f t="shared" si="1216"/>
        <v>-13212</v>
      </c>
      <c r="Q372" s="251">
        <f t="shared" si="1216"/>
        <v>-4.45</v>
      </c>
      <c r="R372" s="252">
        <f t="shared" si="1216"/>
        <v>-6282</v>
      </c>
      <c r="S372" s="253">
        <v>1411.6</v>
      </c>
      <c r="T372" s="254">
        <v>15.0</v>
      </c>
      <c r="U372" s="255" t="s">
        <v>107</v>
      </c>
      <c r="V372" s="255"/>
      <c r="W372" s="304">
        <v>0.0913</v>
      </c>
      <c r="X372" s="304">
        <v>0.029396</v>
      </c>
      <c r="Y372" s="304">
        <v>0.061904</v>
      </c>
      <c r="Z372" s="305">
        <f>-Z371</f>
        <v>-1009</v>
      </c>
      <c r="AA372" s="306">
        <f t="shared" si="1217"/>
        <v>-92.1217</v>
      </c>
      <c r="AB372" s="307">
        <f t="shared" si="1218"/>
        <v>-130039</v>
      </c>
      <c r="AC372" s="308">
        <f t="shared" si="1219"/>
        <v>-92.1217</v>
      </c>
      <c r="AD372" s="309">
        <f t="shared" si="1190"/>
        <v>-130039</v>
      </c>
      <c r="AE372" s="425"/>
      <c r="AF372" s="425"/>
      <c r="AG372" s="310">
        <f t="shared" si="1191"/>
        <v>-62.46</v>
      </c>
      <c r="AH372" s="252">
        <f t="shared" si="1192"/>
        <v>-88169</v>
      </c>
      <c r="AI372" s="306">
        <f t="shared" si="1220"/>
        <v>-13.82</v>
      </c>
      <c r="AJ372" s="252">
        <f t="shared" si="1221"/>
        <v>-19506</v>
      </c>
      <c r="AK372" s="426"/>
      <c r="AL372" s="426"/>
      <c r="AM372" s="426"/>
      <c r="AN372" s="426"/>
      <c r="AO372" s="426"/>
      <c r="AP372" s="426"/>
      <c r="AQ372" s="427"/>
      <c r="AR372" s="427"/>
      <c r="AS372" s="427"/>
      <c r="AT372" s="426"/>
      <c r="AU372" s="410"/>
      <c r="AV372" s="410"/>
      <c r="AW372" s="410"/>
      <c r="AX372" s="410"/>
      <c r="AY372" s="410"/>
      <c r="AZ372" s="410"/>
      <c r="BA372" s="410"/>
      <c r="BB372" s="410"/>
      <c r="BC372" s="410"/>
      <c r="BD372" s="410"/>
      <c r="BE372" s="410"/>
    </row>
    <row r="373" ht="12.75" customHeight="1">
      <c r="A373" s="256" t="s">
        <v>599</v>
      </c>
      <c r="B373" s="257" t="s">
        <v>359</v>
      </c>
      <c r="C373" s="258" t="s">
        <v>360</v>
      </c>
      <c r="D373" s="258" t="s">
        <v>258</v>
      </c>
      <c r="E373" s="259"/>
      <c r="F373" s="259"/>
      <c r="G373" s="258" t="s">
        <v>103</v>
      </c>
      <c r="H373" s="259" t="s">
        <v>1537</v>
      </c>
      <c r="I373" s="259" t="s">
        <v>105</v>
      </c>
      <c r="J373" s="316" t="s">
        <v>106</v>
      </c>
      <c r="K373" s="317">
        <f>ROUND(M373/0.15,2)</f>
        <v>29.67</v>
      </c>
      <c r="L373" s="318">
        <f>ROUND(N373/0.15,0)</f>
        <v>41880</v>
      </c>
      <c r="M373" s="319">
        <f t="shared" ref="M373:N373" si="1222">Q373</f>
        <v>4.45</v>
      </c>
      <c r="N373" s="261">
        <f t="shared" si="1222"/>
        <v>6282</v>
      </c>
      <c r="O373" s="262">
        <v>9.36</v>
      </c>
      <c r="P373" s="263">
        <v>13212.0</v>
      </c>
      <c r="Q373" s="260">
        <f t="shared" ref="Q373:R373" si="1223">M371-O373</f>
        <v>4.45</v>
      </c>
      <c r="R373" s="261">
        <f t="shared" si="1223"/>
        <v>6282</v>
      </c>
      <c r="S373" s="264">
        <v>1411.6</v>
      </c>
      <c r="T373" s="265">
        <v>15.0</v>
      </c>
      <c r="U373" s="266" t="s">
        <v>107</v>
      </c>
      <c r="V373" s="266" t="s">
        <v>1538</v>
      </c>
      <c r="W373" s="320">
        <v>0.0913</v>
      </c>
      <c r="X373" s="320">
        <v>0.029396</v>
      </c>
      <c r="Y373" s="320">
        <v>0.061904</v>
      </c>
      <c r="Z373" s="321">
        <f>Z371</f>
        <v>1009</v>
      </c>
      <c r="AA373" s="426"/>
      <c r="AB373" s="428"/>
      <c r="AC373" s="323">
        <f>IFERROR(ROUND(Z373*X373,2),0)</f>
        <v>29.66</v>
      </c>
      <c r="AD373" s="318">
        <f t="shared" si="1190"/>
        <v>41868</v>
      </c>
      <c r="AE373" s="429"/>
      <c r="AF373" s="429"/>
      <c r="AG373" s="324">
        <f t="shared" si="1191"/>
        <v>62.46</v>
      </c>
      <c r="AH373" s="261">
        <f t="shared" si="1192"/>
        <v>88169</v>
      </c>
      <c r="AI373" s="426"/>
      <c r="AJ373" s="426"/>
      <c r="AK373" s="325">
        <f>ROUND(AC373*0.15,2)</f>
        <v>4.45</v>
      </c>
      <c r="AL373" s="261">
        <f>ROUND(AD373*0.15,0)</f>
        <v>6280</v>
      </c>
      <c r="AM373" s="325"/>
      <c r="AN373" s="325"/>
      <c r="AO373" s="325">
        <f>ROUND(AG373*0.15,2)</f>
        <v>9.37</v>
      </c>
      <c r="AP373" s="261">
        <f>ROUND(AH373*0.15,0)</f>
        <v>13225</v>
      </c>
      <c r="AQ373" s="326"/>
      <c r="AR373" s="326"/>
      <c r="AS373" s="326">
        <f>IFERROR(AC373/K373,IFERROR(AO373/O373,""))</f>
        <v>0.9996629592</v>
      </c>
      <c r="AT373" s="426"/>
      <c r="AU373" s="410"/>
      <c r="AV373" s="410"/>
      <c r="AW373" s="410"/>
      <c r="AX373" s="410"/>
      <c r="AY373" s="410"/>
      <c r="AZ373" s="410"/>
      <c r="BA373" s="410"/>
      <c r="BB373" s="410"/>
      <c r="BC373" s="410"/>
      <c r="BD373" s="410"/>
      <c r="BE373" s="410"/>
    </row>
    <row r="374" ht="12.75" customHeight="1">
      <c r="A374" s="267" t="s">
        <v>930</v>
      </c>
      <c r="B374" s="268" t="s">
        <v>359</v>
      </c>
      <c r="C374" s="269" t="s">
        <v>360</v>
      </c>
      <c r="D374" s="269" t="s">
        <v>417</v>
      </c>
      <c r="E374" s="270"/>
      <c r="F374" s="270"/>
      <c r="G374" s="269" t="s">
        <v>288</v>
      </c>
      <c r="H374" s="270" t="s">
        <v>1539</v>
      </c>
      <c r="I374" s="270" t="s">
        <v>105</v>
      </c>
      <c r="J374" s="354" t="s">
        <v>106</v>
      </c>
      <c r="K374" s="355">
        <v>3.72</v>
      </c>
      <c r="L374" s="356">
        <v>5483.0</v>
      </c>
      <c r="M374" s="357">
        <v>0.56</v>
      </c>
      <c r="N374" s="272">
        <v>825.0</v>
      </c>
      <c r="O374" s="271">
        <v>0.0</v>
      </c>
      <c r="P374" s="272">
        <v>0.0</v>
      </c>
      <c r="Q374" s="273">
        <f t="shared" ref="Q374:R374" si="1224">M374-O374</f>
        <v>0.56</v>
      </c>
      <c r="R374" s="274">
        <f t="shared" si="1224"/>
        <v>825</v>
      </c>
      <c r="S374" s="275">
        <v>1474.1</v>
      </c>
      <c r="T374" s="276">
        <v>15.0</v>
      </c>
      <c r="U374" s="367" t="s">
        <v>107</v>
      </c>
      <c r="V374" s="367"/>
      <c r="W374" s="468"/>
      <c r="X374" s="468"/>
      <c r="Y374" s="468"/>
      <c r="Z374" s="468"/>
      <c r="AA374" s="468"/>
      <c r="AB374" s="469"/>
      <c r="AC374" s="470">
        <f t="shared" ref="AC374:AD374" si="1225">K374</f>
        <v>3.72</v>
      </c>
      <c r="AD374" s="471">
        <f t="shared" si="1225"/>
        <v>5483</v>
      </c>
      <c r="AE374" s="472"/>
      <c r="AF374" s="472"/>
      <c r="AG374" s="473"/>
      <c r="AH374" s="468"/>
      <c r="AI374" s="468"/>
      <c r="AJ374" s="468"/>
      <c r="AK374" s="474">
        <f t="shared" ref="AK374:AL374" si="1226">Q374</f>
        <v>0.56</v>
      </c>
      <c r="AL374" s="475">
        <f t="shared" si="1226"/>
        <v>825</v>
      </c>
      <c r="AM374" s="468"/>
      <c r="AN374" s="468"/>
      <c r="AO374" s="486"/>
      <c r="AP374" s="468"/>
      <c r="AQ374" s="487"/>
      <c r="AR374" s="487"/>
      <c r="AS374" s="487"/>
      <c r="AT374" s="468"/>
    </row>
    <row r="375" ht="31.5" customHeight="1">
      <c r="A375" s="233" t="s">
        <v>1540</v>
      </c>
      <c r="B375" s="370"/>
      <c r="C375" s="488"/>
      <c r="D375" s="488"/>
      <c r="E375" s="488"/>
      <c r="F375" s="488"/>
      <c r="G375" s="488"/>
      <c r="H375" s="488"/>
      <c r="I375" s="488"/>
      <c r="J375" s="489"/>
      <c r="K375" s="372">
        <f t="shared" ref="K375:R375" si="1227">SUM(K3:K374)</f>
        <v>10305.68</v>
      </c>
      <c r="L375" s="373">
        <f t="shared" si="1227"/>
        <v>14596361</v>
      </c>
      <c r="M375" s="374">
        <f t="shared" si="1227"/>
        <v>1546.02</v>
      </c>
      <c r="N375" s="236">
        <f t="shared" si="1227"/>
        <v>2189886</v>
      </c>
      <c r="O375" s="235">
        <f t="shared" si="1227"/>
        <v>2655.97</v>
      </c>
      <c r="P375" s="236">
        <f t="shared" si="1227"/>
        <v>3732177</v>
      </c>
      <c r="Q375" s="235">
        <f t="shared" si="1227"/>
        <v>1546.02</v>
      </c>
      <c r="R375" s="236">
        <f t="shared" si="1227"/>
        <v>2189886</v>
      </c>
      <c r="S375" s="488"/>
      <c r="T375" s="489"/>
      <c r="U375" s="490" t="str">
        <f>IF(SUM(K375:R375)=SUM(K379:R379),"(소계1=소계2)QI_재분류_국외원천소득PASS","QI_재분류_국외원천소득FAIL")</f>
        <v>(소계1=소계2)QI_재분류_국외원천소득PASS</v>
      </c>
      <c r="V375" s="376"/>
      <c r="W375" s="491"/>
      <c r="X375" s="488"/>
      <c r="Y375" s="488"/>
      <c r="Z375" s="488"/>
      <c r="AA375" s="488"/>
      <c r="AB375" s="489"/>
      <c r="AC375" s="372">
        <f t="shared" ref="AC375:AR375" si="1228">SUM(AC3:AC374)</f>
        <v>10306.62</v>
      </c>
      <c r="AD375" s="373">
        <f t="shared" si="1228"/>
        <v>14597834</v>
      </c>
      <c r="AE375" s="492">
        <f t="shared" si="1228"/>
        <v>324.87</v>
      </c>
      <c r="AF375" s="378">
        <f t="shared" si="1228"/>
        <v>465438</v>
      </c>
      <c r="AG375" s="493">
        <f t="shared" si="1228"/>
        <v>17380.53</v>
      </c>
      <c r="AH375" s="378">
        <f t="shared" si="1228"/>
        <v>24414376.98</v>
      </c>
      <c r="AI375" s="493">
        <f t="shared" si="1228"/>
        <v>0</v>
      </c>
      <c r="AJ375" s="378">
        <f t="shared" si="1228"/>
        <v>0</v>
      </c>
      <c r="AK375" s="493">
        <f t="shared" si="1228"/>
        <v>1546.17</v>
      </c>
      <c r="AL375" s="378">
        <f t="shared" si="1228"/>
        <v>2190107</v>
      </c>
      <c r="AM375" s="493">
        <f t="shared" si="1228"/>
        <v>48.73</v>
      </c>
      <c r="AN375" s="378">
        <f t="shared" si="1228"/>
        <v>69816</v>
      </c>
      <c r="AO375" s="493">
        <f t="shared" si="1228"/>
        <v>2607.07</v>
      </c>
      <c r="AP375" s="378">
        <f t="shared" si="1228"/>
        <v>3662159</v>
      </c>
      <c r="AQ375" s="378">
        <f t="shared" si="1228"/>
        <v>465438</v>
      </c>
      <c r="AR375" s="378">
        <f t="shared" si="1228"/>
        <v>65162</v>
      </c>
      <c r="AS375" s="494" t="str">
        <f>IF(SUM(AA375:AP375)=SUM(AA379:AP379),"(소계1=소계2)ICI_국외배당소득PASS","ICI_국외배당소득FAIL")</f>
        <v>(소계1=소계2)ICI_국외배당소득PASS</v>
      </c>
      <c r="AT375" s="376"/>
    </row>
    <row r="376" ht="13.5" customHeight="1">
      <c r="A376" s="280" t="s">
        <v>1541</v>
      </c>
      <c r="B376" s="370"/>
      <c r="C376" s="495"/>
      <c r="D376" s="495"/>
      <c r="E376" s="495"/>
      <c r="F376" s="495"/>
      <c r="G376" s="495"/>
      <c r="H376" s="495"/>
      <c r="I376" s="495"/>
      <c r="J376" s="496"/>
      <c r="K376" s="381">
        <f>SUMIF(B3:B374,"삼성증권",K3:K374)</f>
        <v>146.87</v>
      </c>
      <c r="L376" s="382">
        <f>SUMIF(B3:B374,"삼성증권",L3:L374)</f>
        <v>204060</v>
      </c>
      <c r="M376" s="383">
        <f>SUMIF(B3:B374,"삼성증권",M3:M374)</f>
        <v>22.03</v>
      </c>
      <c r="N376" s="283">
        <f>SUMIF(B3:B374,"삼성증권",N3:N374)</f>
        <v>30609</v>
      </c>
      <c r="O376" s="282">
        <f>SUMIF(B3:B374,"삼성증권",O3:O374)</f>
        <v>14.84</v>
      </c>
      <c r="P376" s="283">
        <f>SUMIF(B3:B374,"삼성증권",P3:P374)</f>
        <v>20540</v>
      </c>
      <c r="Q376" s="282">
        <f>SUMIF(B3:B374,"삼성증권",Q3:Q374)</f>
        <v>22.03</v>
      </c>
      <c r="R376" s="283">
        <f>SUMIF(B3:B374,"삼성증권",R3:R374)</f>
        <v>30609</v>
      </c>
      <c r="S376" s="495"/>
      <c r="T376" s="496"/>
      <c r="U376" s="384">
        <f t="shared" ref="U376:V376" si="1229">Q376/M376</f>
        <v>1</v>
      </c>
      <c r="V376" s="385">
        <f t="shared" si="1229"/>
        <v>1</v>
      </c>
      <c r="W376" s="497"/>
      <c r="X376" s="495"/>
      <c r="Y376" s="495"/>
      <c r="Z376" s="495"/>
      <c r="AA376" s="495"/>
      <c r="AB376" s="496"/>
      <c r="AC376" s="381">
        <f>SUMIF(B3:B374,"삼성증권",AC3:AC374)</f>
        <v>146.89</v>
      </c>
      <c r="AD376" s="382">
        <f>SUMIF(B3:B374,"삼성증권",AD3:AD374)</f>
        <v>204088</v>
      </c>
      <c r="AE376" s="498">
        <f t="shared" ref="AE376:AR376" si="1230">SUMIF($B3:$B374,"삼성증권",AE3:AE374)</f>
        <v>4.07</v>
      </c>
      <c r="AF376" s="387">
        <f t="shared" si="1230"/>
        <v>5653</v>
      </c>
      <c r="AG376" s="499">
        <f t="shared" si="1230"/>
        <v>94.8</v>
      </c>
      <c r="AH376" s="387">
        <f t="shared" si="1230"/>
        <v>131203.33</v>
      </c>
      <c r="AI376" s="499">
        <f t="shared" si="1230"/>
        <v>0</v>
      </c>
      <c r="AJ376" s="387">
        <f t="shared" si="1230"/>
        <v>0</v>
      </c>
      <c r="AK376" s="499">
        <f t="shared" si="1230"/>
        <v>22.03</v>
      </c>
      <c r="AL376" s="387">
        <f t="shared" si="1230"/>
        <v>30612</v>
      </c>
      <c r="AM376" s="499">
        <f t="shared" si="1230"/>
        <v>0.61</v>
      </c>
      <c r="AN376" s="387">
        <f t="shared" si="1230"/>
        <v>848</v>
      </c>
      <c r="AO376" s="499">
        <f t="shared" si="1230"/>
        <v>14.22</v>
      </c>
      <c r="AP376" s="387">
        <f t="shared" si="1230"/>
        <v>19680</v>
      </c>
      <c r="AQ376" s="387">
        <f t="shared" si="1230"/>
        <v>5653</v>
      </c>
      <c r="AR376" s="387">
        <f t="shared" si="1230"/>
        <v>791</v>
      </c>
      <c r="AS376" s="388">
        <f t="shared" ref="AS376:AT376" si="1231">K376/AC376</f>
        <v>0.9998638437</v>
      </c>
      <c r="AT376" s="500">
        <f t="shared" si="1231"/>
        <v>0.9998628043</v>
      </c>
    </row>
    <row r="377" ht="13.5" customHeight="1">
      <c r="A377" s="280" t="s">
        <v>1542</v>
      </c>
      <c r="B377" s="370"/>
      <c r="C377" s="495"/>
      <c r="D377" s="495"/>
      <c r="E377" s="495"/>
      <c r="F377" s="495"/>
      <c r="G377" s="495"/>
      <c r="H377" s="495"/>
      <c r="I377" s="495"/>
      <c r="J377" s="496"/>
      <c r="K377" s="381">
        <f>SUMIF(B3:B374,"미래에셋증권",K3:K374)</f>
        <v>8779.73</v>
      </c>
      <c r="L377" s="382">
        <f>SUMIF(B3:B374,"미래에셋증권",L3:L374)</f>
        <v>12475888</v>
      </c>
      <c r="M377" s="383">
        <f>SUMIF(B3:B374,"미래에셋증권",M3:M374)</f>
        <v>1317.13</v>
      </c>
      <c r="N377" s="283">
        <f>SUMIF(B3:B374,"미래에셋증권",N3:N374)</f>
        <v>1871829</v>
      </c>
      <c r="O377" s="282">
        <f>SUMIF(B3:B374,"미래에셋증권",O3:O374)</f>
        <v>2385.42</v>
      </c>
      <c r="P377" s="283">
        <f>SUMIF(B3:B374,"미래에셋증권",P3:P374)</f>
        <v>3356709</v>
      </c>
      <c r="Q377" s="282">
        <f>SUMIF(B3:B374,"미래에셋증권",Q3:Q374)</f>
        <v>1317.13</v>
      </c>
      <c r="R377" s="283">
        <f>SUMIF(B3:B374,"미래에셋증권",R3:R374)</f>
        <v>1871829</v>
      </c>
      <c r="S377" s="495"/>
      <c r="T377" s="496"/>
      <c r="U377" s="390">
        <f t="shared" ref="U377:V377" si="1232">Q377/M377</f>
        <v>1</v>
      </c>
      <c r="V377" s="391">
        <f t="shared" si="1232"/>
        <v>1</v>
      </c>
      <c r="W377" s="497"/>
      <c r="X377" s="495"/>
      <c r="Y377" s="495"/>
      <c r="Z377" s="495"/>
      <c r="AA377" s="495"/>
      <c r="AB377" s="496"/>
      <c r="AC377" s="381">
        <f>SUMIF(B3:B374,"미래에셋증권",AC3:AC374)</f>
        <v>8780.62</v>
      </c>
      <c r="AD377" s="382">
        <f>SUMIF(B3:B374,"미래에셋증권",AD3:AD374)</f>
        <v>12477319</v>
      </c>
      <c r="AE377" s="498">
        <f t="shared" ref="AE377:AR377" si="1233">SUMIF($B3:$B374,"미래에셋증권",AE3:AE374)</f>
        <v>297.2</v>
      </c>
      <c r="AF377" s="387">
        <f t="shared" si="1233"/>
        <v>426945</v>
      </c>
      <c r="AG377" s="499">
        <f t="shared" si="1233"/>
        <v>15604.53</v>
      </c>
      <c r="AH377" s="387">
        <f t="shared" si="1233"/>
        <v>21949615.65</v>
      </c>
      <c r="AI377" s="499">
        <f t="shared" si="1233"/>
        <v>0</v>
      </c>
      <c r="AJ377" s="387">
        <f t="shared" si="1233"/>
        <v>0</v>
      </c>
      <c r="AK377" s="499">
        <f t="shared" si="1233"/>
        <v>1317.26</v>
      </c>
      <c r="AL377" s="387">
        <f t="shared" si="1233"/>
        <v>1872047</v>
      </c>
      <c r="AM377" s="499">
        <f t="shared" si="1233"/>
        <v>44.58</v>
      </c>
      <c r="AN377" s="387">
        <f t="shared" si="1233"/>
        <v>64042</v>
      </c>
      <c r="AO377" s="499">
        <f t="shared" si="1233"/>
        <v>2340.68</v>
      </c>
      <c r="AP377" s="387">
        <f t="shared" si="1233"/>
        <v>3292445</v>
      </c>
      <c r="AQ377" s="387">
        <f t="shared" si="1233"/>
        <v>426945</v>
      </c>
      <c r="AR377" s="387">
        <f t="shared" si="1233"/>
        <v>59773</v>
      </c>
      <c r="AS377" s="388">
        <f t="shared" ref="AS377:AT377" si="1234">K377/AC377</f>
        <v>0.9998986404</v>
      </c>
      <c r="AT377" s="500">
        <f t="shared" si="1234"/>
        <v>0.9998853119</v>
      </c>
    </row>
    <row r="378" ht="13.5" customHeight="1">
      <c r="A378" s="280" t="s">
        <v>1543</v>
      </c>
      <c r="B378" s="370"/>
      <c r="C378" s="495"/>
      <c r="D378" s="495"/>
      <c r="E378" s="495"/>
      <c r="F378" s="495"/>
      <c r="G378" s="495"/>
      <c r="H378" s="495"/>
      <c r="I378" s="495"/>
      <c r="J378" s="496"/>
      <c r="K378" s="381">
        <f>SUMIF(B3:B374,"토스증권",K3:K374)</f>
        <v>1379.08</v>
      </c>
      <c r="L378" s="382">
        <f>SUMIF(B3:B374,"토스증권",L3:L374)</f>
        <v>1916413</v>
      </c>
      <c r="M378" s="383">
        <f>SUMIF(B3:B374,"토스증권",M3:M374)</f>
        <v>206.86</v>
      </c>
      <c r="N378" s="283">
        <f>SUMIF(B3:B374,"토스증권",N3:N374)</f>
        <v>287448</v>
      </c>
      <c r="O378" s="282">
        <f>SUMIF(B3:B374,"토스증권",O3:O374)</f>
        <v>255.71</v>
      </c>
      <c r="P378" s="283">
        <f>SUMIF(B3:B374,"토스증권",P3:P374)</f>
        <v>354928</v>
      </c>
      <c r="Q378" s="282">
        <f>SUMIF(B3:B374,"토스증권",Q3:Q374)</f>
        <v>206.86</v>
      </c>
      <c r="R378" s="283">
        <f>SUMIF(B3:B374,"토스증권",R3:R374)</f>
        <v>287448</v>
      </c>
      <c r="S378" s="495"/>
      <c r="T378" s="496"/>
      <c r="U378" s="392">
        <f t="shared" ref="U378:V378" si="1235">Q378/M378</f>
        <v>1</v>
      </c>
      <c r="V378" s="393">
        <f t="shared" si="1235"/>
        <v>1</v>
      </c>
      <c r="W378" s="497"/>
      <c r="X378" s="495"/>
      <c r="Y378" s="495"/>
      <c r="Z378" s="495"/>
      <c r="AA378" s="495"/>
      <c r="AB378" s="496"/>
      <c r="AC378" s="381">
        <f>SUMIF(B3:B374,"토스증권",AC3:AC374)</f>
        <v>1379.11</v>
      </c>
      <c r="AD378" s="382">
        <f>SUMIF(B3:B374,"토스증권",AD3:AD374)</f>
        <v>1916427</v>
      </c>
      <c r="AE378" s="498">
        <f t="shared" ref="AE378:AR378" si="1236">SUMIF($B3:$B374,"토스증권",AE3:AE374)</f>
        <v>23.6</v>
      </c>
      <c r="AF378" s="387">
        <f t="shared" si="1236"/>
        <v>32840</v>
      </c>
      <c r="AG378" s="499">
        <f t="shared" si="1236"/>
        <v>1681.2</v>
      </c>
      <c r="AH378" s="387">
        <f t="shared" si="1236"/>
        <v>2333558</v>
      </c>
      <c r="AI378" s="499">
        <f t="shared" si="1236"/>
        <v>0</v>
      </c>
      <c r="AJ378" s="387">
        <f t="shared" si="1236"/>
        <v>0</v>
      </c>
      <c r="AK378" s="499">
        <f t="shared" si="1236"/>
        <v>206.88</v>
      </c>
      <c r="AL378" s="387">
        <f t="shared" si="1236"/>
        <v>287448</v>
      </c>
      <c r="AM378" s="499">
        <f t="shared" si="1236"/>
        <v>3.54</v>
      </c>
      <c r="AN378" s="387">
        <f t="shared" si="1236"/>
        <v>4926</v>
      </c>
      <c r="AO378" s="499">
        <f t="shared" si="1236"/>
        <v>252.17</v>
      </c>
      <c r="AP378" s="387">
        <f t="shared" si="1236"/>
        <v>350034</v>
      </c>
      <c r="AQ378" s="387">
        <f t="shared" si="1236"/>
        <v>32840</v>
      </c>
      <c r="AR378" s="387">
        <f t="shared" si="1236"/>
        <v>4598</v>
      </c>
      <c r="AS378" s="388">
        <f t="shared" ref="AS378:AT378" si="1237">K378/AC378</f>
        <v>0.9999782468</v>
      </c>
      <c r="AT378" s="500">
        <f t="shared" si="1237"/>
        <v>0.9999926947</v>
      </c>
    </row>
    <row r="379" ht="13.5" customHeight="1">
      <c r="A379" s="233" t="s">
        <v>1544</v>
      </c>
      <c r="B379" s="370"/>
      <c r="C379" s="501"/>
      <c r="D379" s="501"/>
      <c r="E379" s="501"/>
      <c r="F379" s="501"/>
      <c r="G379" s="501"/>
      <c r="H379" s="501"/>
      <c r="I379" s="501"/>
      <c r="J379" s="502"/>
      <c r="K379" s="372">
        <f t="shared" ref="K379:R379" si="1238">SUM(K376:K378)</f>
        <v>10305.68</v>
      </c>
      <c r="L379" s="373">
        <f t="shared" si="1238"/>
        <v>14596361</v>
      </c>
      <c r="M379" s="374">
        <f t="shared" si="1238"/>
        <v>1546.02</v>
      </c>
      <c r="N379" s="236">
        <f t="shared" si="1238"/>
        <v>2189886</v>
      </c>
      <c r="O379" s="235">
        <f t="shared" si="1238"/>
        <v>2655.97</v>
      </c>
      <c r="P379" s="236">
        <f t="shared" si="1238"/>
        <v>3732177</v>
      </c>
      <c r="Q379" s="235">
        <f t="shared" si="1238"/>
        <v>1546.02</v>
      </c>
      <c r="R379" s="236">
        <f t="shared" si="1238"/>
        <v>2189886</v>
      </c>
      <c r="S379" s="501"/>
      <c r="T379" s="502"/>
      <c r="U379" s="394" t="s">
        <v>1226</v>
      </c>
      <c r="V379" s="395"/>
      <c r="W379" s="503"/>
      <c r="X379" s="501"/>
      <c r="Y379" s="501"/>
      <c r="Z379" s="501"/>
      <c r="AA379" s="501"/>
      <c r="AB379" s="502"/>
      <c r="AC379" s="372">
        <f t="shared" ref="AC379:AR379" si="1239">SUM(AC376:AC378)</f>
        <v>10306.62</v>
      </c>
      <c r="AD379" s="373">
        <f t="shared" si="1239"/>
        <v>14597834</v>
      </c>
      <c r="AE379" s="492">
        <f t="shared" si="1239"/>
        <v>324.87</v>
      </c>
      <c r="AF379" s="378">
        <f t="shared" si="1239"/>
        <v>465438</v>
      </c>
      <c r="AG379" s="493">
        <f t="shared" si="1239"/>
        <v>17380.53</v>
      </c>
      <c r="AH379" s="378">
        <f t="shared" si="1239"/>
        <v>24414376.98</v>
      </c>
      <c r="AI379" s="493">
        <f t="shared" si="1239"/>
        <v>0</v>
      </c>
      <c r="AJ379" s="378">
        <f t="shared" si="1239"/>
        <v>0</v>
      </c>
      <c r="AK379" s="493">
        <f t="shared" si="1239"/>
        <v>1546.17</v>
      </c>
      <c r="AL379" s="378">
        <f t="shared" si="1239"/>
        <v>2190107</v>
      </c>
      <c r="AM379" s="493">
        <f t="shared" si="1239"/>
        <v>48.73</v>
      </c>
      <c r="AN379" s="378">
        <f t="shared" si="1239"/>
        <v>69816</v>
      </c>
      <c r="AO379" s="493">
        <f t="shared" si="1239"/>
        <v>2607.07</v>
      </c>
      <c r="AP379" s="378">
        <f t="shared" si="1239"/>
        <v>3662159</v>
      </c>
      <c r="AQ379" s="378">
        <f t="shared" si="1239"/>
        <v>465438</v>
      </c>
      <c r="AR379" s="378">
        <f t="shared" si="1239"/>
        <v>65162</v>
      </c>
      <c r="AS379" s="396" t="s">
        <v>1545</v>
      </c>
      <c r="AT379" s="395"/>
    </row>
    <row r="380" ht="15.75" customHeight="1">
      <c r="A380" s="426"/>
      <c r="B380" s="426"/>
      <c r="C380" s="426"/>
      <c r="D380" s="426"/>
      <c r="E380" s="426"/>
      <c r="F380" s="426"/>
      <c r="G380" s="426"/>
      <c r="H380" s="426"/>
      <c r="I380" s="426"/>
      <c r="J380" s="428"/>
      <c r="K380" s="504">
        <f t="shared" ref="K380:L380" si="1240">K379/AC379</f>
        <v>0.9999087965</v>
      </c>
      <c r="L380" s="505">
        <f t="shared" si="1240"/>
        <v>0.9998990946</v>
      </c>
      <c r="M380" s="506"/>
      <c r="N380" s="426"/>
      <c r="O380" s="426"/>
      <c r="P380" s="426"/>
      <c r="Q380" s="426"/>
      <c r="R380" s="426"/>
      <c r="S380" s="426"/>
      <c r="T380" s="428"/>
      <c r="U380" s="400"/>
      <c r="V380" s="401"/>
      <c r="W380" s="506"/>
      <c r="X380" s="426"/>
      <c r="Y380" s="426"/>
      <c r="Z380" s="426"/>
      <c r="AA380" s="426"/>
      <c r="AB380" s="428"/>
      <c r="AC380" s="507">
        <f t="shared" ref="AC380:AD380" si="1241">K379/AC379</f>
        <v>0.9999087965</v>
      </c>
      <c r="AD380" s="508">
        <f t="shared" si="1241"/>
        <v>0.9998990946</v>
      </c>
      <c r="AE380" s="506"/>
      <c r="AF380" s="426"/>
      <c r="AG380" s="506"/>
      <c r="AH380" s="426"/>
      <c r="AI380" s="426"/>
      <c r="AJ380" s="426"/>
      <c r="AK380" s="426"/>
      <c r="AL380" s="426"/>
      <c r="AM380" s="426"/>
      <c r="AN380" s="426"/>
      <c r="AO380" s="426"/>
      <c r="AP380" s="428"/>
      <c r="AQ380" s="509">
        <f>AD379</f>
        <v>14597834</v>
      </c>
      <c r="AR380" s="510">
        <v>0.0</v>
      </c>
      <c r="AS380" s="400"/>
      <c r="AT380" s="401"/>
    </row>
    <row r="381" ht="15.75" customHeight="1">
      <c r="A381" s="511"/>
      <c r="B381" s="511"/>
      <c r="C381" s="511"/>
      <c r="D381" s="511"/>
      <c r="E381" s="511"/>
      <c r="F381" s="511"/>
      <c r="G381" s="511"/>
      <c r="H381" s="511"/>
      <c r="I381" s="404">
        <f>O381+Q381</f>
        <v>28013.27</v>
      </c>
      <c r="O381" s="404">
        <f>round(O379/0.15,2)</f>
        <v>17706.47</v>
      </c>
      <c r="Q381" s="404">
        <f>round(Q379/0.15,2)</f>
        <v>10306.8</v>
      </c>
      <c r="R381" s="511"/>
      <c r="S381" s="511"/>
      <c r="T381" s="511"/>
      <c r="U381" s="511"/>
      <c r="V381" s="511"/>
      <c r="W381" s="511"/>
      <c r="X381" s="511"/>
      <c r="Y381" s="511"/>
      <c r="Z381" s="511"/>
      <c r="AA381" s="284">
        <f>AC379+AE379+AG379</f>
        <v>28012.02</v>
      </c>
      <c r="AB381" s="511"/>
      <c r="AC381" s="512"/>
      <c r="AD381" s="511"/>
      <c r="AE381" s="512"/>
      <c r="AF381" s="511"/>
      <c r="AG381" s="511"/>
      <c r="AH381" s="511"/>
      <c r="AI381" s="511"/>
      <c r="AJ381" s="511"/>
      <c r="AK381" s="512">
        <f>ROUND(AK379/0.15,2)</f>
        <v>10307.8</v>
      </c>
      <c r="AL381" s="511"/>
      <c r="AM381" s="512">
        <f>ROUND(AM379/0.15,2)</f>
        <v>324.87</v>
      </c>
      <c r="AN381" s="511"/>
      <c r="AO381" s="512">
        <f>ROUND(AO379/0.15,2)</f>
        <v>17380.47</v>
      </c>
      <c r="AP381" s="511"/>
      <c r="AQ381" s="513">
        <f t="shared" ref="AQ381:AR381" si="1242">AQ379+AQ380</f>
        <v>15063272</v>
      </c>
      <c r="AR381" s="513">
        <f t="shared" si="1242"/>
        <v>65162</v>
      </c>
      <c r="AS381" s="511"/>
      <c r="AT381" s="511"/>
    </row>
    <row r="382" ht="15.75" customHeight="1">
      <c r="A382" s="511"/>
      <c r="B382" s="511"/>
      <c r="C382" s="511"/>
      <c r="D382" s="511"/>
      <c r="E382" s="511"/>
      <c r="F382" s="511"/>
      <c r="G382" s="511"/>
      <c r="H382" s="511"/>
      <c r="I382" s="284">
        <f>S01_US_DVCA!K205</f>
        <v>28011.98</v>
      </c>
      <c r="R382" s="511"/>
      <c r="S382" s="511"/>
      <c r="T382" s="511"/>
      <c r="U382" s="511"/>
      <c r="V382" s="511"/>
      <c r="W382" s="511"/>
      <c r="X382" s="511"/>
      <c r="Y382" s="511"/>
      <c r="Z382" s="511"/>
      <c r="AA382" s="284">
        <f>I382</f>
        <v>28011.98</v>
      </c>
      <c r="AB382" s="511"/>
      <c r="AC382" s="511"/>
      <c r="AD382" s="511"/>
      <c r="AE382" s="511"/>
      <c r="AF382" s="511"/>
      <c r="AG382" s="511"/>
      <c r="AH382" s="511"/>
      <c r="AI382" s="511"/>
      <c r="AJ382" s="511"/>
      <c r="AK382" s="511"/>
      <c r="AL382" s="511"/>
      <c r="AM382" s="511"/>
      <c r="AN382" s="511"/>
      <c r="AO382" s="511"/>
      <c r="AP382" s="511"/>
      <c r="AQ382" s="514" t="s">
        <v>1546</v>
      </c>
      <c r="AR382" s="514" t="s">
        <v>1547</v>
      </c>
      <c r="AS382" s="511"/>
      <c r="AT382" s="511"/>
    </row>
    <row r="383" ht="15.75" customHeight="1">
      <c r="A383" s="511"/>
      <c r="B383" s="511"/>
      <c r="C383" s="511"/>
      <c r="D383" s="511"/>
      <c r="E383" s="511"/>
      <c r="F383" s="511"/>
      <c r="G383" s="511"/>
      <c r="H383" s="511"/>
      <c r="I383" s="284">
        <f>I381-I382</f>
        <v>1.29</v>
      </c>
      <c r="R383" s="511"/>
      <c r="S383" s="511"/>
      <c r="T383" s="511"/>
      <c r="U383" s="511"/>
      <c r="V383" s="511"/>
      <c r="W383" s="511"/>
      <c r="X383" s="511"/>
      <c r="Y383" s="511"/>
      <c r="Z383" s="511"/>
      <c r="AA383" s="284">
        <f>AA381-AA382</f>
        <v>0.04000000001</v>
      </c>
      <c r="AB383" s="511"/>
      <c r="AC383" s="511"/>
      <c r="AD383" s="511"/>
      <c r="AE383" s="511"/>
      <c r="AF383" s="511"/>
      <c r="AG383" s="511"/>
      <c r="AH383" s="511"/>
      <c r="AI383" s="511"/>
      <c r="AJ383" s="511"/>
      <c r="AK383" s="511"/>
      <c r="AL383" s="511"/>
      <c r="AM383" s="511"/>
      <c r="AN383" s="511"/>
      <c r="AO383" s="511"/>
      <c r="AP383" s="511"/>
      <c r="AQ383" s="511"/>
      <c r="AR383" s="511"/>
      <c r="AS383" s="511"/>
      <c r="AT383" s="511"/>
    </row>
    <row r="384" ht="15.75" customHeight="1">
      <c r="A384" s="511"/>
      <c r="B384" s="511"/>
      <c r="C384" s="511"/>
      <c r="D384" s="511"/>
      <c r="E384" s="511"/>
      <c r="F384" s="511"/>
      <c r="G384" s="511"/>
      <c r="H384" s="511"/>
      <c r="I384" s="511"/>
      <c r="J384" s="511"/>
      <c r="K384" s="511"/>
      <c r="L384" s="511"/>
      <c r="M384" s="511"/>
      <c r="N384" s="511"/>
      <c r="O384" s="511"/>
      <c r="P384" s="511"/>
      <c r="Q384" s="511"/>
      <c r="R384" s="511"/>
      <c r="S384" s="511"/>
      <c r="T384" s="511"/>
      <c r="U384" s="511"/>
      <c r="V384" s="511"/>
      <c r="W384" s="511"/>
      <c r="X384" s="511"/>
      <c r="Y384" s="511"/>
      <c r="Z384" s="511"/>
      <c r="AA384" s="511"/>
      <c r="AB384" s="511"/>
      <c r="AC384" s="511"/>
      <c r="AD384" s="511"/>
      <c r="AE384" s="511"/>
      <c r="AF384" s="511"/>
      <c r="AG384" s="511"/>
      <c r="AH384" s="511"/>
      <c r="AI384" s="511"/>
      <c r="AJ384" s="511"/>
      <c r="AK384" s="511"/>
      <c r="AL384" s="511"/>
      <c r="AM384" s="511"/>
      <c r="AN384" s="511"/>
      <c r="AO384" s="511"/>
      <c r="AP384" s="511"/>
      <c r="AQ384" s="511"/>
      <c r="AR384" s="511"/>
      <c r="AS384" s="511"/>
      <c r="AT384" s="511"/>
      <c r="AU384" s="511"/>
      <c r="AV384" s="511"/>
      <c r="AW384" s="511"/>
      <c r="AX384" s="511"/>
      <c r="AY384" s="511"/>
      <c r="AZ384" s="511"/>
      <c r="BA384" s="511"/>
      <c r="BB384" s="511"/>
      <c r="BC384" s="511"/>
      <c r="BD384" s="511"/>
      <c r="BE384" s="511"/>
    </row>
    <row r="385" ht="15.75" customHeight="1">
      <c r="A385" s="511"/>
      <c r="B385" s="511"/>
      <c r="C385" s="511"/>
      <c r="D385" s="511"/>
      <c r="E385" s="511"/>
      <c r="F385" s="511"/>
      <c r="G385" s="511"/>
      <c r="H385" s="511"/>
      <c r="I385" s="511"/>
      <c r="J385" s="511"/>
      <c r="K385" s="511"/>
      <c r="L385" s="511"/>
      <c r="M385" s="511"/>
      <c r="N385" s="511"/>
      <c r="O385" s="511"/>
      <c r="P385" s="511"/>
      <c r="Q385" s="511"/>
      <c r="R385" s="511"/>
      <c r="S385" s="511"/>
      <c r="T385" s="511"/>
      <c r="U385" s="511"/>
      <c r="V385" s="511"/>
      <c r="W385" s="511"/>
      <c r="X385" s="511"/>
      <c r="Y385" s="511"/>
      <c r="Z385" s="511"/>
      <c r="AA385" s="511"/>
      <c r="AB385" s="511"/>
      <c r="AC385" s="511"/>
      <c r="AD385" s="511"/>
      <c r="AE385" s="511"/>
      <c r="AF385" s="511"/>
      <c r="AG385" s="511"/>
      <c r="AH385" s="511"/>
      <c r="AI385" s="511"/>
      <c r="AJ385" s="511"/>
      <c r="AK385" s="511"/>
      <c r="AL385" s="511"/>
      <c r="AM385" s="511"/>
      <c r="AN385" s="511"/>
      <c r="AO385" s="511"/>
      <c r="AP385" s="511"/>
      <c r="AQ385" s="511"/>
      <c r="AR385" s="511"/>
      <c r="AS385" s="511"/>
      <c r="AT385" s="511"/>
      <c r="AU385" s="511"/>
      <c r="AV385" s="511"/>
      <c r="AW385" s="511"/>
      <c r="AX385" s="511"/>
      <c r="AY385" s="511"/>
      <c r="AZ385" s="511"/>
      <c r="BA385" s="511"/>
      <c r="BB385" s="511"/>
      <c r="BC385" s="511"/>
      <c r="BD385" s="511"/>
      <c r="BE385" s="511"/>
    </row>
    <row r="386" ht="15.75" customHeight="1">
      <c r="A386" s="511"/>
      <c r="B386" s="511"/>
      <c r="C386" s="511"/>
      <c r="D386" s="511"/>
      <c r="E386" s="511"/>
      <c r="F386" s="511"/>
      <c r="G386" s="511"/>
      <c r="H386" s="511"/>
      <c r="I386" s="511"/>
      <c r="J386" s="511"/>
      <c r="K386" s="511"/>
      <c r="L386" s="511"/>
      <c r="M386" s="511"/>
      <c r="N386" s="511"/>
      <c r="O386" s="511"/>
      <c r="P386" s="511"/>
      <c r="Q386" s="511"/>
      <c r="R386" s="511"/>
      <c r="S386" s="511"/>
      <c r="T386" s="511"/>
      <c r="U386" s="511"/>
      <c r="V386" s="511"/>
      <c r="W386" s="511"/>
      <c r="X386" s="511"/>
      <c r="Y386" s="511"/>
      <c r="Z386" s="511"/>
      <c r="AA386" s="511"/>
      <c r="AB386" s="511"/>
      <c r="AC386" s="511"/>
      <c r="AD386" s="511"/>
      <c r="AE386" s="511"/>
      <c r="AF386" s="511"/>
      <c r="AG386" s="511"/>
      <c r="AH386" s="511"/>
      <c r="AI386" s="511"/>
      <c r="AJ386" s="511"/>
      <c r="AK386" s="511"/>
      <c r="AL386" s="511"/>
      <c r="AM386" s="511"/>
      <c r="AN386" s="511"/>
      <c r="AO386" s="511"/>
      <c r="AP386" s="511"/>
      <c r="AQ386" s="511"/>
      <c r="AR386" s="511"/>
      <c r="AS386" s="511"/>
      <c r="AT386" s="511"/>
      <c r="AU386" s="511"/>
      <c r="AV386" s="511"/>
      <c r="AW386" s="511"/>
      <c r="AX386" s="511"/>
      <c r="AY386" s="511"/>
      <c r="AZ386" s="511"/>
      <c r="BA386" s="511"/>
      <c r="BB386" s="511"/>
      <c r="BC386" s="511"/>
      <c r="BD386" s="511"/>
      <c r="BE386" s="511"/>
    </row>
    <row r="387" ht="15.75" customHeight="1">
      <c r="A387" s="511"/>
      <c r="B387" s="511"/>
      <c r="C387" s="511"/>
      <c r="D387" s="511"/>
      <c r="E387" s="511"/>
      <c r="F387" s="511"/>
      <c r="G387" s="511"/>
      <c r="H387" s="511"/>
      <c r="I387" s="511"/>
      <c r="J387" s="511"/>
      <c r="K387" s="511"/>
      <c r="L387" s="511"/>
      <c r="M387" s="511"/>
      <c r="N387" s="511"/>
      <c r="O387" s="511"/>
      <c r="P387" s="511"/>
      <c r="Q387" s="511"/>
      <c r="R387" s="511"/>
      <c r="S387" s="511"/>
      <c r="T387" s="511"/>
      <c r="U387" s="511"/>
      <c r="V387" s="511"/>
      <c r="W387" s="511"/>
      <c r="X387" s="511"/>
      <c r="Y387" s="511"/>
      <c r="Z387" s="511"/>
      <c r="AA387" s="511"/>
      <c r="AB387" s="511"/>
      <c r="AC387" s="511"/>
      <c r="AD387" s="511"/>
      <c r="AE387" s="511"/>
      <c r="AF387" s="511"/>
      <c r="AG387" s="511"/>
      <c r="AH387" s="511"/>
      <c r="AI387" s="511"/>
      <c r="AJ387" s="511"/>
      <c r="AK387" s="511"/>
      <c r="AL387" s="511"/>
      <c r="AM387" s="511"/>
      <c r="AN387" s="511"/>
      <c r="AO387" s="511"/>
      <c r="AP387" s="511"/>
      <c r="AQ387" s="511"/>
      <c r="AR387" s="511"/>
      <c r="AS387" s="511"/>
      <c r="AT387" s="511"/>
      <c r="AU387" s="511"/>
      <c r="AV387" s="511"/>
      <c r="AW387" s="511"/>
      <c r="AX387" s="511"/>
      <c r="AY387" s="511"/>
      <c r="AZ387" s="511"/>
      <c r="BA387" s="511"/>
      <c r="BB387" s="511"/>
      <c r="BC387" s="511"/>
      <c r="BD387" s="511"/>
      <c r="BE387" s="511"/>
    </row>
    <row r="388" ht="15.75" customHeight="1">
      <c r="A388" s="511"/>
      <c r="B388" s="511"/>
      <c r="C388" s="511"/>
      <c r="D388" s="511"/>
      <c r="E388" s="511"/>
      <c r="F388" s="511"/>
      <c r="G388" s="511"/>
      <c r="H388" s="511"/>
      <c r="I388" s="511"/>
      <c r="J388" s="511"/>
      <c r="K388" s="511"/>
      <c r="L388" s="511"/>
      <c r="M388" s="511"/>
      <c r="N388" s="511"/>
      <c r="O388" s="511"/>
      <c r="P388" s="511"/>
      <c r="Q388" s="511"/>
      <c r="R388" s="511"/>
      <c r="S388" s="511"/>
      <c r="T388" s="511"/>
      <c r="U388" s="511"/>
      <c r="V388" s="511"/>
      <c r="W388" s="511"/>
      <c r="X388" s="511"/>
      <c r="Y388" s="511"/>
      <c r="Z388" s="511"/>
      <c r="AA388" s="511"/>
      <c r="AB388" s="511"/>
      <c r="AC388" s="511"/>
      <c r="AD388" s="511"/>
      <c r="AE388" s="511"/>
      <c r="AF388" s="511"/>
      <c r="AG388" s="511"/>
      <c r="AH388" s="511"/>
      <c r="AI388" s="511"/>
      <c r="AJ388" s="511"/>
      <c r="AK388" s="511"/>
      <c r="AL388" s="511"/>
      <c r="AM388" s="511"/>
      <c r="AN388" s="511"/>
      <c r="AO388" s="511"/>
      <c r="AP388" s="511"/>
      <c r="AQ388" s="511"/>
      <c r="AR388" s="511"/>
      <c r="AS388" s="511"/>
      <c r="AT388" s="511"/>
      <c r="AU388" s="511"/>
      <c r="AV388" s="511"/>
      <c r="AW388" s="511"/>
      <c r="AX388" s="511"/>
      <c r="AY388" s="511"/>
      <c r="AZ388" s="511"/>
      <c r="BA388" s="511"/>
      <c r="BB388" s="511"/>
      <c r="BC388" s="511"/>
      <c r="BD388" s="511"/>
      <c r="BE388" s="511"/>
    </row>
    <row r="389" ht="15.75" customHeight="1">
      <c r="A389" s="511"/>
      <c r="B389" s="511"/>
      <c r="C389" s="511"/>
      <c r="D389" s="511"/>
      <c r="E389" s="511"/>
      <c r="F389" s="511"/>
      <c r="G389" s="511"/>
      <c r="H389" s="511"/>
      <c r="I389" s="511"/>
      <c r="J389" s="511"/>
      <c r="K389" s="511"/>
      <c r="L389" s="511"/>
      <c r="M389" s="511"/>
      <c r="N389" s="511"/>
      <c r="O389" s="511"/>
      <c r="P389" s="511"/>
      <c r="Q389" s="511"/>
      <c r="R389" s="511"/>
      <c r="S389" s="511"/>
      <c r="T389" s="511"/>
      <c r="U389" s="511"/>
      <c r="V389" s="511"/>
      <c r="W389" s="511"/>
      <c r="X389" s="511"/>
      <c r="Y389" s="511"/>
      <c r="Z389" s="511"/>
      <c r="AA389" s="511"/>
      <c r="AB389" s="511"/>
      <c r="AC389" s="511"/>
      <c r="AD389" s="511"/>
      <c r="AE389" s="511"/>
      <c r="AF389" s="511"/>
      <c r="AG389" s="511"/>
      <c r="AH389" s="511"/>
      <c r="AI389" s="511"/>
      <c r="AJ389" s="511"/>
      <c r="AK389" s="511"/>
      <c r="AL389" s="511"/>
      <c r="AM389" s="511"/>
      <c r="AN389" s="511"/>
      <c r="AO389" s="511"/>
      <c r="AP389" s="511"/>
      <c r="AQ389" s="511"/>
      <c r="AR389" s="511"/>
      <c r="AS389" s="511"/>
      <c r="AT389" s="511"/>
      <c r="AU389" s="511"/>
      <c r="AV389" s="511"/>
      <c r="AW389" s="511"/>
      <c r="AX389" s="511"/>
      <c r="AY389" s="511"/>
      <c r="AZ389" s="511"/>
      <c r="BA389" s="511"/>
      <c r="BB389" s="511"/>
      <c r="BC389" s="511"/>
      <c r="BD389" s="511"/>
      <c r="BE389" s="511"/>
    </row>
    <row r="390" ht="15.75" customHeight="1">
      <c r="A390" s="511"/>
      <c r="B390" s="511"/>
      <c r="C390" s="511"/>
      <c r="D390" s="511"/>
      <c r="E390" s="511"/>
      <c r="F390" s="511"/>
      <c r="G390" s="511"/>
      <c r="H390" s="511"/>
      <c r="I390" s="511"/>
      <c r="J390" s="511"/>
      <c r="K390" s="511"/>
      <c r="L390" s="511"/>
      <c r="M390" s="511"/>
      <c r="N390" s="511"/>
      <c r="O390" s="511"/>
      <c r="P390" s="511"/>
      <c r="Q390" s="511"/>
      <c r="R390" s="511"/>
      <c r="S390" s="511"/>
      <c r="T390" s="511"/>
      <c r="U390" s="511"/>
      <c r="V390" s="511"/>
      <c r="W390" s="511"/>
      <c r="X390" s="511"/>
      <c r="Y390" s="511"/>
      <c r="Z390" s="511"/>
      <c r="AA390" s="511"/>
      <c r="AB390" s="511"/>
      <c r="AC390" s="511"/>
      <c r="AD390" s="511"/>
      <c r="AE390" s="511"/>
      <c r="AF390" s="511"/>
      <c r="AG390" s="511"/>
      <c r="AH390" s="511"/>
      <c r="AI390" s="511"/>
      <c r="AJ390" s="511"/>
      <c r="AK390" s="511"/>
      <c r="AL390" s="511"/>
      <c r="AM390" s="511"/>
      <c r="AN390" s="511"/>
      <c r="AO390" s="511"/>
      <c r="AP390" s="511"/>
      <c r="AQ390" s="511"/>
      <c r="AR390" s="511"/>
      <c r="AS390" s="511"/>
      <c r="AT390" s="511"/>
      <c r="AU390" s="511"/>
      <c r="AV390" s="511"/>
      <c r="AW390" s="511"/>
      <c r="AX390" s="511"/>
      <c r="AY390" s="511"/>
      <c r="AZ390" s="511"/>
      <c r="BA390" s="511"/>
      <c r="BB390" s="511"/>
      <c r="BC390" s="511"/>
      <c r="BD390" s="511"/>
      <c r="BE390" s="511"/>
    </row>
    <row r="391" ht="15.75" customHeight="1">
      <c r="A391" s="511"/>
      <c r="B391" s="511"/>
      <c r="C391" s="511"/>
      <c r="D391" s="511"/>
      <c r="E391" s="511"/>
      <c r="F391" s="511"/>
      <c r="G391" s="511"/>
      <c r="H391" s="511"/>
      <c r="I391" s="511"/>
      <c r="J391" s="511"/>
      <c r="K391" s="511"/>
      <c r="L391" s="511"/>
      <c r="M391" s="511"/>
      <c r="N391" s="511"/>
      <c r="O391" s="511"/>
      <c r="P391" s="511"/>
      <c r="Q391" s="511"/>
      <c r="R391" s="511"/>
      <c r="S391" s="511"/>
      <c r="T391" s="511"/>
      <c r="U391" s="511"/>
      <c r="V391" s="511"/>
      <c r="W391" s="511"/>
      <c r="X391" s="511"/>
      <c r="Y391" s="511"/>
      <c r="Z391" s="511"/>
      <c r="AA391" s="511"/>
      <c r="AB391" s="511"/>
      <c r="AC391" s="511"/>
      <c r="AD391" s="511"/>
      <c r="AE391" s="511"/>
      <c r="AF391" s="511"/>
      <c r="AG391" s="511"/>
      <c r="AH391" s="511"/>
      <c r="AI391" s="511"/>
      <c r="AJ391" s="511"/>
      <c r="AK391" s="511"/>
      <c r="AL391" s="511"/>
      <c r="AM391" s="511"/>
      <c r="AN391" s="511"/>
      <c r="AO391" s="511"/>
      <c r="AP391" s="511"/>
      <c r="AQ391" s="511"/>
      <c r="AR391" s="511"/>
      <c r="AS391" s="511"/>
      <c r="AT391" s="511"/>
      <c r="AU391" s="511"/>
      <c r="AV391" s="511"/>
      <c r="AW391" s="511"/>
      <c r="AX391" s="511"/>
      <c r="AY391" s="511"/>
      <c r="AZ391" s="511"/>
      <c r="BA391" s="511"/>
      <c r="BB391" s="511"/>
      <c r="BC391" s="511"/>
      <c r="BD391" s="511"/>
      <c r="BE391" s="511"/>
    </row>
    <row r="392" ht="15.75" customHeight="1">
      <c r="A392" s="511"/>
      <c r="B392" s="511"/>
      <c r="C392" s="511"/>
      <c r="D392" s="511"/>
      <c r="E392" s="511"/>
      <c r="F392" s="511"/>
      <c r="G392" s="511"/>
      <c r="H392" s="511"/>
      <c r="I392" s="511"/>
      <c r="J392" s="511"/>
      <c r="K392" s="511"/>
      <c r="L392" s="511"/>
      <c r="M392" s="511"/>
      <c r="N392" s="511"/>
      <c r="O392" s="511"/>
      <c r="P392" s="511"/>
      <c r="Q392" s="511"/>
      <c r="R392" s="511"/>
      <c r="S392" s="511"/>
      <c r="T392" s="511"/>
      <c r="U392" s="511"/>
      <c r="V392" s="511"/>
      <c r="W392" s="511"/>
      <c r="X392" s="511"/>
      <c r="Y392" s="511"/>
      <c r="Z392" s="511"/>
      <c r="AA392" s="511"/>
      <c r="AB392" s="511"/>
      <c r="AC392" s="511"/>
      <c r="AD392" s="511"/>
      <c r="AE392" s="511"/>
      <c r="AF392" s="511"/>
      <c r="AG392" s="511"/>
      <c r="AH392" s="511"/>
      <c r="AI392" s="511"/>
      <c r="AJ392" s="511"/>
      <c r="AK392" s="511"/>
      <c r="AL392" s="511"/>
      <c r="AM392" s="511"/>
      <c r="AN392" s="511"/>
      <c r="AO392" s="511"/>
      <c r="AP392" s="511"/>
      <c r="AQ392" s="511"/>
      <c r="AR392" s="511"/>
      <c r="AS392" s="511"/>
      <c r="AT392" s="511"/>
      <c r="AU392" s="511"/>
      <c r="AV392" s="511"/>
      <c r="AW392" s="511"/>
      <c r="AX392" s="511"/>
      <c r="AY392" s="511"/>
      <c r="AZ392" s="511"/>
      <c r="BA392" s="511"/>
      <c r="BB392" s="511"/>
      <c r="BC392" s="511"/>
      <c r="BD392" s="511"/>
      <c r="BE392" s="511"/>
    </row>
    <row r="393" ht="15.75" customHeight="1">
      <c r="A393" s="511"/>
      <c r="B393" s="511"/>
      <c r="C393" s="511"/>
      <c r="D393" s="511"/>
      <c r="E393" s="511"/>
      <c r="F393" s="511"/>
      <c r="G393" s="511"/>
      <c r="H393" s="511"/>
      <c r="I393" s="511"/>
      <c r="J393" s="511"/>
      <c r="K393" s="511"/>
      <c r="L393" s="511"/>
      <c r="M393" s="511"/>
      <c r="N393" s="511"/>
      <c r="O393" s="511"/>
      <c r="P393" s="511"/>
      <c r="Q393" s="511"/>
      <c r="R393" s="511"/>
      <c r="S393" s="511"/>
      <c r="T393" s="511"/>
      <c r="U393" s="511"/>
      <c r="V393" s="511"/>
      <c r="W393" s="511"/>
      <c r="X393" s="511"/>
      <c r="Y393" s="511"/>
      <c r="Z393" s="511"/>
      <c r="AA393" s="511"/>
      <c r="AB393" s="511"/>
      <c r="AC393" s="511"/>
      <c r="AD393" s="511"/>
      <c r="AE393" s="511"/>
      <c r="AF393" s="511"/>
      <c r="AG393" s="511"/>
      <c r="AH393" s="511"/>
      <c r="AI393" s="511"/>
      <c r="AJ393" s="511"/>
      <c r="AK393" s="511"/>
      <c r="AL393" s="511"/>
      <c r="AM393" s="511"/>
      <c r="AN393" s="511"/>
      <c r="AO393" s="511"/>
      <c r="AP393" s="511"/>
      <c r="AQ393" s="511"/>
      <c r="AR393" s="511"/>
      <c r="AS393" s="511"/>
      <c r="AT393" s="511"/>
      <c r="AU393" s="511"/>
      <c r="AV393" s="511"/>
      <c r="AW393" s="511"/>
      <c r="AX393" s="511"/>
      <c r="AY393" s="511"/>
      <c r="AZ393" s="511"/>
      <c r="BA393" s="511"/>
      <c r="BB393" s="511"/>
      <c r="BC393" s="511"/>
      <c r="BD393" s="511"/>
      <c r="BE393" s="511"/>
    </row>
    <row r="394" ht="15.75" customHeight="1">
      <c r="A394" s="511"/>
      <c r="B394" s="511"/>
      <c r="C394" s="511"/>
      <c r="D394" s="511"/>
      <c r="E394" s="511"/>
      <c r="F394" s="511"/>
      <c r="G394" s="511"/>
      <c r="H394" s="511"/>
      <c r="I394" s="511"/>
      <c r="J394" s="511"/>
      <c r="K394" s="511"/>
      <c r="L394" s="511"/>
      <c r="M394" s="511"/>
      <c r="N394" s="511"/>
      <c r="O394" s="511"/>
      <c r="P394" s="511"/>
      <c r="Q394" s="511"/>
      <c r="R394" s="511"/>
      <c r="S394" s="511"/>
      <c r="T394" s="511"/>
      <c r="U394" s="511"/>
      <c r="V394" s="511"/>
      <c r="W394" s="511"/>
      <c r="X394" s="511"/>
      <c r="Y394" s="511"/>
      <c r="Z394" s="511"/>
      <c r="AA394" s="511"/>
      <c r="AB394" s="511"/>
      <c r="AC394" s="511"/>
      <c r="AD394" s="511"/>
      <c r="AE394" s="511"/>
      <c r="AF394" s="511"/>
      <c r="AG394" s="511"/>
      <c r="AH394" s="511"/>
      <c r="AI394" s="511"/>
      <c r="AJ394" s="511"/>
      <c r="AK394" s="511"/>
      <c r="AL394" s="511"/>
      <c r="AM394" s="511"/>
      <c r="AN394" s="511"/>
      <c r="AO394" s="511"/>
      <c r="AP394" s="511"/>
      <c r="AQ394" s="511"/>
      <c r="AR394" s="511"/>
      <c r="AS394" s="511"/>
      <c r="AT394" s="511"/>
      <c r="AU394" s="511"/>
      <c r="AV394" s="511"/>
      <c r="AW394" s="511"/>
      <c r="AX394" s="511"/>
      <c r="AY394" s="511"/>
      <c r="AZ394" s="511"/>
      <c r="BA394" s="511"/>
      <c r="BB394" s="511"/>
      <c r="BC394" s="511"/>
      <c r="BD394" s="511"/>
      <c r="BE394" s="511"/>
    </row>
    <row r="395" ht="15.75" customHeight="1">
      <c r="A395" s="511"/>
      <c r="B395" s="511"/>
      <c r="C395" s="511"/>
      <c r="D395" s="511"/>
      <c r="E395" s="511"/>
      <c r="F395" s="511"/>
      <c r="G395" s="511"/>
      <c r="H395" s="511"/>
      <c r="I395" s="511"/>
      <c r="J395" s="511"/>
      <c r="K395" s="511"/>
      <c r="L395" s="511"/>
      <c r="M395" s="511"/>
      <c r="N395" s="511"/>
      <c r="O395" s="511"/>
      <c r="P395" s="511"/>
      <c r="Q395" s="511"/>
      <c r="R395" s="511"/>
      <c r="S395" s="511"/>
      <c r="T395" s="511"/>
      <c r="U395" s="511"/>
      <c r="V395" s="511"/>
      <c r="W395" s="511"/>
      <c r="X395" s="511"/>
      <c r="Y395" s="511"/>
      <c r="Z395" s="511"/>
      <c r="AA395" s="511"/>
      <c r="AB395" s="511"/>
      <c r="AC395" s="511"/>
      <c r="AD395" s="511"/>
      <c r="AE395" s="511"/>
      <c r="AF395" s="511"/>
      <c r="AG395" s="511"/>
      <c r="AH395" s="511"/>
      <c r="AI395" s="511"/>
      <c r="AJ395" s="511"/>
      <c r="AK395" s="511"/>
      <c r="AL395" s="511"/>
      <c r="AM395" s="511"/>
      <c r="AN395" s="511"/>
      <c r="AO395" s="511"/>
      <c r="AP395" s="511"/>
      <c r="AQ395" s="511"/>
      <c r="AR395" s="511"/>
      <c r="AS395" s="511"/>
      <c r="AT395" s="511"/>
      <c r="AU395" s="511"/>
      <c r="AV395" s="511"/>
      <c r="AW395" s="511"/>
      <c r="AX395" s="511"/>
      <c r="AY395" s="511"/>
      <c r="AZ395" s="511"/>
      <c r="BA395" s="511"/>
      <c r="BB395" s="511"/>
      <c r="BC395" s="511"/>
      <c r="BD395" s="511"/>
      <c r="BE395" s="511"/>
    </row>
    <row r="396" ht="15.75" customHeight="1">
      <c r="A396" s="511"/>
      <c r="B396" s="511"/>
      <c r="C396" s="511"/>
      <c r="D396" s="511"/>
      <c r="E396" s="511"/>
      <c r="F396" s="511"/>
      <c r="G396" s="511"/>
      <c r="H396" s="511"/>
      <c r="I396" s="511"/>
      <c r="J396" s="511"/>
      <c r="K396" s="511"/>
      <c r="L396" s="511"/>
      <c r="M396" s="511"/>
      <c r="N396" s="511"/>
      <c r="O396" s="511"/>
      <c r="P396" s="511"/>
      <c r="Q396" s="511"/>
      <c r="R396" s="511"/>
      <c r="S396" s="511"/>
      <c r="T396" s="511"/>
      <c r="U396" s="511"/>
      <c r="V396" s="511"/>
      <c r="W396" s="511"/>
      <c r="X396" s="511"/>
      <c r="Y396" s="511"/>
      <c r="Z396" s="511"/>
      <c r="AA396" s="511"/>
      <c r="AB396" s="511"/>
      <c r="AC396" s="511"/>
      <c r="AD396" s="511"/>
      <c r="AE396" s="511"/>
      <c r="AF396" s="511"/>
      <c r="AG396" s="511"/>
      <c r="AH396" s="511"/>
      <c r="AI396" s="511"/>
      <c r="AJ396" s="511"/>
      <c r="AK396" s="511"/>
      <c r="AL396" s="511"/>
      <c r="AM396" s="511"/>
      <c r="AN396" s="511"/>
      <c r="AO396" s="511"/>
      <c r="AP396" s="511"/>
      <c r="AQ396" s="511"/>
      <c r="AR396" s="511"/>
      <c r="AS396" s="511"/>
      <c r="AT396" s="511"/>
      <c r="AU396" s="511"/>
      <c r="AV396" s="511"/>
      <c r="AW396" s="511"/>
      <c r="AX396" s="511"/>
      <c r="AY396" s="511"/>
      <c r="AZ396" s="511"/>
      <c r="BA396" s="511"/>
      <c r="BB396" s="511"/>
      <c r="BC396" s="511"/>
      <c r="BD396" s="511"/>
      <c r="BE396" s="511"/>
    </row>
    <row r="397" ht="15.75" customHeight="1">
      <c r="A397" s="511"/>
      <c r="B397" s="511"/>
      <c r="C397" s="511"/>
      <c r="D397" s="511"/>
      <c r="E397" s="511"/>
      <c r="F397" s="511"/>
      <c r="G397" s="511"/>
      <c r="H397" s="511"/>
      <c r="I397" s="511"/>
      <c r="J397" s="511"/>
      <c r="K397" s="511"/>
      <c r="L397" s="511"/>
      <c r="M397" s="511"/>
      <c r="N397" s="511"/>
      <c r="O397" s="511"/>
      <c r="P397" s="511"/>
      <c r="Q397" s="511"/>
      <c r="R397" s="511"/>
      <c r="S397" s="511"/>
      <c r="T397" s="511"/>
      <c r="U397" s="511"/>
      <c r="V397" s="511"/>
      <c r="W397" s="511"/>
      <c r="X397" s="511"/>
      <c r="Y397" s="511"/>
      <c r="Z397" s="511"/>
      <c r="AA397" s="511"/>
      <c r="AB397" s="511"/>
      <c r="AC397" s="511"/>
      <c r="AD397" s="511"/>
      <c r="AE397" s="511"/>
      <c r="AF397" s="511"/>
      <c r="AG397" s="511"/>
      <c r="AH397" s="511"/>
      <c r="AI397" s="511"/>
      <c r="AJ397" s="511"/>
      <c r="AK397" s="511"/>
      <c r="AL397" s="511"/>
      <c r="AM397" s="511"/>
      <c r="AN397" s="511"/>
      <c r="AO397" s="511"/>
      <c r="AP397" s="511"/>
      <c r="AQ397" s="511"/>
      <c r="AR397" s="511"/>
      <c r="AS397" s="511"/>
      <c r="AT397" s="511"/>
      <c r="AU397" s="511"/>
      <c r="AV397" s="511"/>
      <c r="AW397" s="511"/>
      <c r="AX397" s="511"/>
      <c r="AY397" s="511"/>
      <c r="AZ397" s="511"/>
      <c r="BA397" s="511"/>
      <c r="BB397" s="511"/>
      <c r="BC397" s="511"/>
      <c r="BD397" s="511"/>
      <c r="BE397" s="511"/>
    </row>
    <row r="398" ht="15.75" customHeight="1">
      <c r="A398" s="511"/>
      <c r="B398" s="511"/>
      <c r="C398" s="511"/>
      <c r="D398" s="511"/>
      <c r="E398" s="511"/>
      <c r="F398" s="511"/>
      <c r="G398" s="511"/>
      <c r="H398" s="511"/>
      <c r="I398" s="511"/>
      <c r="J398" s="511"/>
      <c r="K398" s="511"/>
      <c r="L398" s="511"/>
      <c r="M398" s="511"/>
      <c r="N398" s="511"/>
      <c r="O398" s="511"/>
      <c r="P398" s="511"/>
      <c r="Q398" s="511"/>
      <c r="R398" s="511"/>
      <c r="S398" s="511"/>
      <c r="T398" s="511"/>
      <c r="U398" s="511"/>
      <c r="V398" s="511"/>
      <c r="W398" s="511"/>
      <c r="X398" s="511"/>
      <c r="Y398" s="511"/>
      <c r="Z398" s="511"/>
      <c r="AA398" s="511"/>
      <c r="AB398" s="511"/>
      <c r="AC398" s="511"/>
      <c r="AD398" s="511"/>
      <c r="AE398" s="511"/>
      <c r="AF398" s="511"/>
      <c r="AG398" s="511"/>
      <c r="AH398" s="511"/>
      <c r="AI398" s="511"/>
      <c r="AJ398" s="511"/>
      <c r="AK398" s="511"/>
      <c r="AL398" s="511"/>
      <c r="AM398" s="511"/>
      <c r="AN398" s="511"/>
      <c r="AO398" s="511"/>
      <c r="AP398" s="511"/>
      <c r="AQ398" s="511"/>
      <c r="AR398" s="511"/>
      <c r="AS398" s="511"/>
      <c r="AT398" s="511"/>
      <c r="AU398" s="511"/>
      <c r="AV398" s="511"/>
      <c r="AW398" s="511"/>
      <c r="AX398" s="511"/>
      <c r="AY398" s="511"/>
      <c r="AZ398" s="511"/>
      <c r="BA398" s="511"/>
      <c r="BB398" s="511"/>
      <c r="BC398" s="511"/>
      <c r="BD398" s="511"/>
      <c r="BE398" s="511"/>
    </row>
    <row r="399" ht="15.75" customHeight="1">
      <c r="A399" s="511"/>
      <c r="B399" s="511"/>
      <c r="C399" s="511"/>
      <c r="D399" s="511"/>
      <c r="E399" s="511"/>
      <c r="F399" s="511"/>
      <c r="G399" s="511"/>
      <c r="H399" s="511"/>
      <c r="I399" s="511"/>
      <c r="J399" s="511"/>
      <c r="K399" s="511"/>
      <c r="L399" s="511"/>
      <c r="M399" s="511"/>
      <c r="N399" s="511"/>
      <c r="O399" s="511"/>
      <c r="P399" s="511"/>
      <c r="Q399" s="511"/>
      <c r="R399" s="511"/>
      <c r="S399" s="511"/>
      <c r="T399" s="511"/>
      <c r="U399" s="511"/>
      <c r="V399" s="511"/>
      <c r="W399" s="511"/>
      <c r="X399" s="511"/>
      <c r="Y399" s="511"/>
      <c r="Z399" s="511"/>
      <c r="AA399" s="511"/>
      <c r="AB399" s="511"/>
      <c r="AC399" s="511"/>
      <c r="AD399" s="511"/>
      <c r="AE399" s="511"/>
      <c r="AF399" s="511"/>
      <c r="AG399" s="511"/>
      <c r="AH399" s="511"/>
      <c r="AI399" s="511"/>
      <c r="AJ399" s="511"/>
      <c r="AK399" s="511"/>
      <c r="AL399" s="511"/>
      <c r="AM399" s="511"/>
      <c r="AN399" s="511"/>
      <c r="AO399" s="511"/>
      <c r="AP399" s="511"/>
      <c r="AQ399" s="511"/>
      <c r="AR399" s="511"/>
      <c r="AS399" s="511"/>
      <c r="AT399" s="511"/>
      <c r="AU399" s="511"/>
      <c r="AV399" s="511"/>
      <c r="AW399" s="511"/>
      <c r="AX399" s="511"/>
      <c r="AY399" s="511"/>
      <c r="AZ399" s="511"/>
      <c r="BA399" s="511"/>
      <c r="BB399" s="511"/>
      <c r="BC399" s="511"/>
      <c r="BD399" s="511"/>
      <c r="BE399" s="511"/>
    </row>
    <row r="400" ht="15.75" customHeight="1">
      <c r="A400" s="511"/>
      <c r="B400" s="511"/>
      <c r="C400" s="511"/>
      <c r="D400" s="511"/>
      <c r="E400" s="511"/>
      <c r="F400" s="511"/>
      <c r="G400" s="511"/>
      <c r="H400" s="511"/>
      <c r="I400" s="511"/>
      <c r="J400" s="511"/>
      <c r="K400" s="511"/>
      <c r="L400" s="511"/>
      <c r="M400" s="511"/>
      <c r="N400" s="511"/>
      <c r="O400" s="511"/>
      <c r="P400" s="511"/>
      <c r="Q400" s="511"/>
      <c r="R400" s="511"/>
      <c r="S400" s="511"/>
      <c r="T400" s="511"/>
      <c r="U400" s="511"/>
      <c r="V400" s="511"/>
      <c r="W400" s="511"/>
      <c r="X400" s="511"/>
      <c r="Y400" s="511"/>
      <c r="Z400" s="511"/>
      <c r="AA400" s="511"/>
      <c r="AB400" s="511"/>
      <c r="AC400" s="511"/>
      <c r="AD400" s="511"/>
      <c r="AE400" s="511"/>
      <c r="AF400" s="511"/>
      <c r="AG400" s="511"/>
      <c r="AH400" s="511"/>
      <c r="AI400" s="511"/>
      <c r="AJ400" s="511"/>
      <c r="AK400" s="511"/>
      <c r="AL400" s="511"/>
      <c r="AM400" s="511"/>
      <c r="AN400" s="511"/>
      <c r="AO400" s="511"/>
      <c r="AP400" s="511"/>
      <c r="AQ400" s="511"/>
      <c r="AR400" s="511"/>
      <c r="AS400" s="511"/>
      <c r="AT400" s="511"/>
      <c r="AU400" s="511"/>
      <c r="AV400" s="511"/>
      <c r="AW400" s="511"/>
      <c r="AX400" s="511"/>
      <c r="AY400" s="511"/>
      <c r="AZ400" s="511"/>
      <c r="BA400" s="511"/>
      <c r="BB400" s="511"/>
      <c r="BC400" s="511"/>
      <c r="BD400" s="511"/>
      <c r="BE400" s="511"/>
    </row>
    <row r="401" ht="15.75" customHeight="1">
      <c r="A401" s="511"/>
      <c r="B401" s="511"/>
      <c r="C401" s="511"/>
      <c r="D401" s="511"/>
      <c r="E401" s="511"/>
      <c r="F401" s="511"/>
      <c r="G401" s="511"/>
      <c r="H401" s="511"/>
      <c r="I401" s="511"/>
      <c r="J401" s="511"/>
      <c r="K401" s="511"/>
      <c r="L401" s="511"/>
      <c r="M401" s="511"/>
      <c r="N401" s="511"/>
      <c r="O401" s="511"/>
      <c r="P401" s="511"/>
      <c r="Q401" s="511"/>
      <c r="R401" s="511"/>
      <c r="S401" s="511"/>
      <c r="T401" s="511"/>
      <c r="U401" s="511"/>
      <c r="V401" s="511"/>
      <c r="W401" s="511"/>
      <c r="X401" s="511"/>
      <c r="Y401" s="511"/>
      <c r="Z401" s="511"/>
      <c r="AA401" s="511"/>
      <c r="AB401" s="511"/>
      <c r="AC401" s="511"/>
      <c r="AD401" s="511"/>
      <c r="AE401" s="511"/>
      <c r="AF401" s="511"/>
      <c r="AG401" s="511"/>
      <c r="AH401" s="511"/>
      <c r="AI401" s="511"/>
      <c r="AJ401" s="511"/>
      <c r="AK401" s="511"/>
      <c r="AL401" s="511"/>
      <c r="AM401" s="511"/>
      <c r="AN401" s="511"/>
      <c r="AO401" s="511"/>
      <c r="AP401" s="511"/>
      <c r="AQ401" s="511"/>
      <c r="AR401" s="511"/>
      <c r="AS401" s="511"/>
      <c r="AT401" s="511"/>
      <c r="AU401" s="511"/>
      <c r="AV401" s="511"/>
      <c r="AW401" s="511"/>
      <c r="AX401" s="511"/>
      <c r="AY401" s="511"/>
      <c r="AZ401" s="511"/>
      <c r="BA401" s="511"/>
      <c r="BB401" s="511"/>
      <c r="BC401" s="511"/>
      <c r="BD401" s="511"/>
      <c r="BE401" s="511"/>
    </row>
    <row r="402" ht="15.75" customHeight="1">
      <c r="A402" s="511"/>
      <c r="B402" s="511"/>
      <c r="C402" s="511"/>
      <c r="D402" s="511"/>
      <c r="E402" s="511"/>
      <c r="F402" s="511"/>
      <c r="G402" s="511"/>
      <c r="H402" s="511"/>
      <c r="I402" s="511"/>
      <c r="J402" s="511"/>
      <c r="K402" s="511"/>
      <c r="L402" s="511"/>
      <c r="M402" s="511"/>
      <c r="N402" s="511"/>
      <c r="O402" s="511"/>
      <c r="P402" s="511"/>
      <c r="Q402" s="511"/>
      <c r="R402" s="511"/>
      <c r="S402" s="511"/>
      <c r="T402" s="511"/>
      <c r="U402" s="511"/>
      <c r="V402" s="511"/>
      <c r="W402" s="511"/>
      <c r="X402" s="511"/>
      <c r="Y402" s="511"/>
      <c r="Z402" s="511"/>
      <c r="AA402" s="511"/>
      <c r="AB402" s="511"/>
      <c r="AC402" s="511"/>
      <c r="AD402" s="511"/>
      <c r="AE402" s="511"/>
      <c r="AF402" s="511"/>
      <c r="AG402" s="511"/>
      <c r="AH402" s="511"/>
      <c r="AI402" s="511"/>
      <c r="AJ402" s="511"/>
      <c r="AK402" s="511"/>
      <c r="AL402" s="511"/>
      <c r="AM402" s="511"/>
      <c r="AN402" s="511"/>
      <c r="AO402" s="511"/>
      <c r="AP402" s="511"/>
      <c r="AQ402" s="511"/>
      <c r="AR402" s="511"/>
      <c r="AS402" s="511"/>
      <c r="AT402" s="511"/>
      <c r="AU402" s="511"/>
      <c r="AV402" s="511"/>
      <c r="AW402" s="511"/>
      <c r="AX402" s="511"/>
      <c r="AY402" s="511"/>
      <c r="AZ402" s="511"/>
      <c r="BA402" s="511"/>
      <c r="BB402" s="511"/>
      <c r="BC402" s="511"/>
      <c r="BD402" s="511"/>
      <c r="BE402" s="511"/>
    </row>
    <row r="403" ht="15.75" customHeight="1">
      <c r="A403" s="511"/>
      <c r="B403" s="511"/>
      <c r="C403" s="511"/>
      <c r="D403" s="511"/>
      <c r="E403" s="511"/>
      <c r="F403" s="511"/>
      <c r="G403" s="511"/>
      <c r="H403" s="511"/>
      <c r="I403" s="511"/>
      <c r="J403" s="511"/>
      <c r="K403" s="511"/>
      <c r="L403" s="511"/>
      <c r="M403" s="511"/>
      <c r="N403" s="511"/>
      <c r="O403" s="511"/>
      <c r="P403" s="511"/>
      <c r="Q403" s="511"/>
      <c r="R403" s="511"/>
      <c r="S403" s="511"/>
      <c r="T403" s="511"/>
      <c r="U403" s="511"/>
      <c r="V403" s="511"/>
      <c r="W403" s="511"/>
      <c r="X403" s="511"/>
      <c r="Y403" s="511"/>
      <c r="Z403" s="511"/>
      <c r="AA403" s="511"/>
      <c r="AB403" s="511"/>
      <c r="AC403" s="511"/>
      <c r="AD403" s="511"/>
      <c r="AE403" s="511"/>
      <c r="AF403" s="511"/>
      <c r="AG403" s="511"/>
      <c r="AH403" s="511"/>
      <c r="AI403" s="511"/>
      <c r="AJ403" s="511"/>
      <c r="AK403" s="511"/>
      <c r="AL403" s="511"/>
      <c r="AM403" s="511"/>
      <c r="AN403" s="511"/>
      <c r="AO403" s="511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</row>
    <row r="404" ht="15.75" customHeight="1">
      <c r="A404" s="511"/>
      <c r="B404" s="511"/>
      <c r="C404" s="511"/>
      <c r="D404" s="511"/>
      <c r="E404" s="511"/>
      <c r="F404" s="511"/>
      <c r="G404" s="511"/>
      <c r="H404" s="511"/>
      <c r="I404" s="511"/>
      <c r="J404" s="511"/>
      <c r="K404" s="511"/>
      <c r="L404" s="511"/>
      <c r="M404" s="511"/>
      <c r="N404" s="511"/>
      <c r="O404" s="511"/>
      <c r="P404" s="511"/>
      <c r="Q404" s="511"/>
      <c r="R404" s="511"/>
      <c r="S404" s="511"/>
      <c r="T404" s="511"/>
      <c r="U404" s="511"/>
      <c r="V404" s="511"/>
      <c r="W404" s="511"/>
      <c r="X404" s="511"/>
      <c r="Y404" s="511"/>
      <c r="Z404" s="511"/>
      <c r="AA404" s="511"/>
      <c r="AB404" s="511"/>
      <c r="AC404" s="511"/>
      <c r="AD404" s="511"/>
      <c r="AE404" s="511"/>
      <c r="AF404" s="511"/>
      <c r="AG404" s="511"/>
      <c r="AH404" s="511"/>
      <c r="AI404" s="511"/>
      <c r="AJ404" s="511"/>
      <c r="AK404" s="511"/>
      <c r="AL404" s="511"/>
      <c r="AM404" s="511"/>
      <c r="AN404" s="511"/>
      <c r="AO404" s="511"/>
      <c r="AP404" s="511"/>
      <c r="AQ404" s="511"/>
      <c r="AR404" s="511"/>
      <c r="AS404" s="511"/>
      <c r="AT404" s="511"/>
      <c r="AU404" s="511"/>
      <c r="AV404" s="511"/>
      <c r="AW404" s="511"/>
      <c r="AX404" s="511"/>
      <c r="AY404" s="511"/>
      <c r="AZ404" s="511"/>
      <c r="BA404" s="511"/>
      <c r="BB404" s="511"/>
      <c r="BC404" s="511"/>
      <c r="BD404" s="511"/>
      <c r="BE404" s="511"/>
    </row>
    <row r="405" ht="15.75" customHeight="1">
      <c r="A405" s="511"/>
      <c r="B405" s="511"/>
      <c r="C405" s="511"/>
      <c r="D405" s="511"/>
      <c r="E405" s="511"/>
      <c r="F405" s="511"/>
      <c r="G405" s="511"/>
      <c r="H405" s="511"/>
      <c r="I405" s="511"/>
      <c r="J405" s="511"/>
      <c r="K405" s="511"/>
      <c r="L405" s="511"/>
      <c r="M405" s="511"/>
      <c r="N405" s="511"/>
      <c r="O405" s="511"/>
      <c r="P405" s="511"/>
      <c r="Q405" s="511"/>
      <c r="R405" s="511"/>
      <c r="S405" s="511"/>
      <c r="T405" s="511"/>
      <c r="U405" s="511"/>
      <c r="V405" s="511"/>
      <c r="W405" s="511"/>
      <c r="X405" s="511"/>
      <c r="Y405" s="511"/>
      <c r="Z405" s="511"/>
      <c r="AA405" s="511"/>
      <c r="AB405" s="511"/>
      <c r="AC405" s="511"/>
      <c r="AD405" s="511"/>
      <c r="AE405" s="511"/>
      <c r="AF405" s="511"/>
      <c r="AG405" s="511"/>
      <c r="AH405" s="511"/>
      <c r="AI405" s="511"/>
      <c r="AJ405" s="511"/>
      <c r="AK405" s="511"/>
      <c r="AL405" s="511"/>
      <c r="AM405" s="511"/>
      <c r="AN405" s="511"/>
      <c r="AO405" s="511"/>
      <c r="AP405" s="511"/>
      <c r="AQ405" s="511"/>
      <c r="AR405" s="511"/>
      <c r="AS405" s="511"/>
      <c r="AT405" s="511"/>
      <c r="AU405" s="511"/>
      <c r="AV405" s="511"/>
      <c r="AW405" s="511"/>
      <c r="AX405" s="511"/>
      <c r="AY405" s="511"/>
      <c r="AZ405" s="511"/>
      <c r="BA405" s="511"/>
      <c r="BB405" s="511"/>
      <c r="BC405" s="511"/>
      <c r="BD405" s="511"/>
      <c r="BE405" s="511"/>
    </row>
    <row r="406" ht="15.75" customHeight="1">
      <c r="A406" s="511"/>
      <c r="B406" s="511"/>
      <c r="C406" s="511"/>
      <c r="D406" s="511"/>
      <c r="E406" s="511"/>
      <c r="F406" s="511"/>
      <c r="G406" s="511"/>
      <c r="H406" s="511"/>
      <c r="I406" s="511"/>
      <c r="J406" s="511"/>
      <c r="K406" s="511"/>
      <c r="L406" s="511"/>
      <c r="M406" s="511"/>
      <c r="N406" s="511"/>
      <c r="O406" s="511"/>
      <c r="P406" s="511"/>
      <c r="Q406" s="511"/>
      <c r="R406" s="511"/>
      <c r="S406" s="511"/>
      <c r="T406" s="511"/>
      <c r="U406" s="511"/>
      <c r="V406" s="511"/>
      <c r="W406" s="511"/>
      <c r="X406" s="511"/>
      <c r="Y406" s="511"/>
      <c r="Z406" s="511"/>
      <c r="AA406" s="511"/>
      <c r="AB406" s="511"/>
      <c r="AC406" s="511"/>
      <c r="AD406" s="511"/>
      <c r="AE406" s="511"/>
      <c r="AF406" s="511"/>
      <c r="AG406" s="511"/>
      <c r="AH406" s="511"/>
      <c r="AI406" s="511"/>
      <c r="AJ406" s="511"/>
      <c r="AK406" s="511"/>
      <c r="AL406" s="511"/>
      <c r="AM406" s="511"/>
      <c r="AN406" s="511"/>
      <c r="AO406" s="511"/>
      <c r="AP406" s="511"/>
      <c r="AQ406" s="511"/>
      <c r="AR406" s="511"/>
      <c r="AS406" s="511"/>
      <c r="AT406" s="511"/>
      <c r="AU406" s="511"/>
      <c r="AV406" s="511"/>
      <c r="AW406" s="511"/>
      <c r="AX406" s="511"/>
      <c r="AY406" s="511"/>
      <c r="AZ406" s="511"/>
      <c r="BA406" s="511"/>
      <c r="BB406" s="511"/>
      <c r="BC406" s="511"/>
      <c r="BD406" s="511"/>
      <c r="BE406" s="511"/>
    </row>
    <row r="407" ht="15.75" customHeight="1">
      <c r="A407" s="511"/>
      <c r="B407" s="511"/>
      <c r="C407" s="511"/>
      <c r="D407" s="511"/>
      <c r="E407" s="511"/>
      <c r="F407" s="511"/>
      <c r="G407" s="511"/>
      <c r="H407" s="511"/>
      <c r="I407" s="511"/>
      <c r="J407" s="511"/>
      <c r="K407" s="511"/>
      <c r="L407" s="511"/>
      <c r="M407" s="511"/>
      <c r="N407" s="511"/>
      <c r="O407" s="511"/>
      <c r="P407" s="511"/>
      <c r="Q407" s="511"/>
      <c r="R407" s="511"/>
      <c r="S407" s="511"/>
      <c r="T407" s="511"/>
      <c r="U407" s="511"/>
      <c r="V407" s="511"/>
      <c r="W407" s="511"/>
      <c r="X407" s="511"/>
      <c r="Y407" s="511"/>
      <c r="Z407" s="511"/>
      <c r="AA407" s="511"/>
      <c r="AB407" s="511"/>
      <c r="AC407" s="511"/>
      <c r="AD407" s="511"/>
      <c r="AE407" s="511"/>
      <c r="AF407" s="511"/>
      <c r="AG407" s="511"/>
      <c r="AH407" s="511"/>
      <c r="AI407" s="511"/>
      <c r="AJ407" s="511"/>
      <c r="AK407" s="511"/>
      <c r="AL407" s="511"/>
      <c r="AM407" s="511"/>
      <c r="AN407" s="511"/>
      <c r="AO407" s="511"/>
      <c r="AP407" s="511"/>
      <c r="AQ407" s="511"/>
      <c r="AR407" s="511"/>
      <c r="AS407" s="511"/>
      <c r="AT407" s="511"/>
      <c r="AU407" s="511"/>
      <c r="AV407" s="511"/>
      <c r="AW407" s="511"/>
      <c r="AX407" s="511"/>
      <c r="AY407" s="511"/>
      <c r="AZ407" s="511"/>
      <c r="BA407" s="511"/>
      <c r="BB407" s="511"/>
      <c r="BC407" s="511"/>
      <c r="BD407" s="511"/>
      <c r="BE407" s="511"/>
    </row>
    <row r="408" ht="15.75" customHeight="1">
      <c r="A408" s="511"/>
      <c r="B408" s="511"/>
      <c r="C408" s="511"/>
      <c r="D408" s="511"/>
      <c r="E408" s="511"/>
      <c r="F408" s="511"/>
      <c r="G408" s="511"/>
      <c r="H408" s="511"/>
      <c r="I408" s="511"/>
      <c r="J408" s="511"/>
      <c r="K408" s="511"/>
      <c r="L408" s="511"/>
      <c r="M408" s="511"/>
      <c r="N408" s="511"/>
      <c r="O408" s="511"/>
      <c r="P408" s="511"/>
      <c r="Q408" s="511"/>
      <c r="R408" s="511"/>
      <c r="S408" s="511"/>
      <c r="T408" s="511"/>
      <c r="U408" s="511"/>
      <c r="V408" s="511"/>
      <c r="W408" s="511"/>
      <c r="X408" s="511"/>
      <c r="Y408" s="511"/>
      <c r="Z408" s="511"/>
      <c r="AA408" s="511"/>
      <c r="AB408" s="511"/>
      <c r="AC408" s="511"/>
      <c r="AD408" s="511"/>
      <c r="AE408" s="511"/>
      <c r="AF408" s="511"/>
      <c r="AG408" s="511"/>
      <c r="AH408" s="511"/>
      <c r="AI408" s="511"/>
      <c r="AJ408" s="511"/>
      <c r="AK408" s="511"/>
      <c r="AL408" s="511"/>
      <c r="AM408" s="511"/>
      <c r="AN408" s="511"/>
      <c r="AO408" s="511"/>
      <c r="AP408" s="511"/>
      <c r="AQ408" s="511"/>
      <c r="AR408" s="511"/>
      <c r="AS408" s="511"/>
      <c r="AT408" s="511"/>
      <c r="AU408" s="511"/>
      <c r="AV408" s="511"/>
      <c r="AW408" s="511"/>
      <c r="AX408" s="511"/>
      <c r="AY408" s="511"/>
      <c r="AZ408" s="511"/>
      <c r="BA408" s="511"/>
      <c r="BB408" s="511"/>
      <c r="BC408" s="511"/>
      <c r="BD408" s="511"/>
      <c r="BE408" s="511"/>
    </row>
    <row r="409" ht="15.75" customHeight="1">
      <c r="A409" s="511"/>
      <c r="B409" s="511"/>
      <c r="C409" s="511"/>
      <c r="D409" s="511"/>
      <c r="E409" s="511"/>
      <c r="F409" s="511"/>
      <c r="G409" s="511"/>
      <c r="H409" s="511"/>
      <c r="I409" s="511"/>
      <c r="J409" s="511"/>
      <c r="K409" s="511"/>
      <c r="L409" s="511"/>
      <c r="M409" s="511"/>
      <c r="N409" s="511"/>
      <c r="O409" s="511"/>
      <c r="P409" s="511"/>
      <c r="Q409" s="511"/>
      <c r="R409" s="511"/>
      <c r="S409" s="511"/>
      <c r="T409" s="511"/>
      <c r="U409" s="511"/>
      <c r="V409" s="511"/>
      <c r="W409" s="511"/>
      <c r="X409" s="511"/>
      <c r="Y409" s="511"/>
      <c r="Z409" s="511"/>
      <c r="AA409" s="511"/>
      <c r="AB409" s="511"/>
      <c r="AC409" s="511"/>
      <c r="AD409" s="511"/>
      <c r="AE409" s="511"/>
      <c r="AF409" s="511"/>
      <c r="AG409" s="511"/>
      <c r="AH409" s="511"/>
      <c r="AI409" s="511"/>
      <c r="AJ409" s="511"/>
      <c r="AK409" s="511"/>
      <c r="AL409" s="511"/>
      <c r="AM409" s="511"/>
      <c r="AN409" s="511"/>
      <c r="AO409" s="511"/>
      <c r="AP409" s="511"/>
      <c r="AQ409" s="511"/>
      <c r="AR409" s="511"/>
      <c r="AS409" s="511"/>
      <c r="AT409" s="511"/>
      <c r="AU409" s="511"/>
      <c r="AV409" s="511"/>
      <c r="AW409" s="511"/>
      <c r="AX409" s="511"/>
      <c r="AY409" s="511"/>
      <c r="AZ409" s="511"/>
      <c r="BA409" s="511"/>
      <c r="BB409" s="511"/>
      <c r="BC409" s="511"/>
      <c r="BD409" s="511"/>
      <c r="BE409" s="511"/>
    </row>
    <row r="410" ht="15.75" customHeight="1">
      <c r="A410" s="511"/>
      <c r="B410" s="511"/>
      <c r="C410" s="511"/>
      <c r="D410" s="511"/>
      <c r="E410" s="511"/>
      <c r="F410" s="511"/>
      <c r="G410" s="511"/>
      <c r="H410" s="511"/>
      <c r="I410" s="511"/>
      <c r="J410" s="511"/>
      <c r="K410" s="511"/>
      <c r="L410" s="511"/>
      <c r="M410" s="511"/>
      <c r="N410" s="511"/>
      <c r="O410" s="511"/>
      <c r="P410" s="511"/>
      <c r="Q410" s="511"/>
      <c r="R410" s="511"/>
      <c r="S410" s="511"/>
      <c r="T410" s="511"/>
      <c r="U410" s="511"/>
      <c r="V410" s="511"/>
      <c r="W410" s="511"/>
      <c r="X410" s="511"/>
      <c r="Y410" s="511"/>
      <c r="Z410" s="511"/>
      <c r="AA410" s="511"/>
      <c r="AB410" s="511"/>
      <c r="AC410" s="511"/>
      <c r="AD410" s="511"/>
      <c r="AE410" s="511"/>
      <c r="AF410" s="511"/>
      <c r="AG410" s="511"/>
      <c r="AH410" s="511"/>
      <c r="AI410" s="511"/>
      <c r="AJ410" s="511"/>
      <c r="AK410" s="511"/>
      <c r="AL410" s="511"/>
      <c r="AM410" s="511"/>
      <c r="AN410" s="511"/>
      <c r="AO410" s="511"/>
      <c r="AP410" s="511"/>
      <c r="AQ410" s="511"/>
      <c r="AR410" s="511"/>
      <c r="AS410" s="511"/>
      <c r="AT410" s="511"/>
      <c r="AU410" s="511"/>
      <c r="AV410" s="511"/>
      <c r="AW410" s="511"/>
      <c r="AX410" s="511"/>
      <c r="AY410" s="511"/>
      <c r="AZ410" s="511"/>
      <c r="BA410" s="511"/>
      <c r="BB410" s="511"/>
      <c r="BC410" s="511"/>
      <c r="BD410" s="511"/>
      <c r="BE410" s="511"/>
    </row>
    <row r="411" ht="15.75" customHeight="1">
      <c r="A411" s="511"/>
      <c r="B411" s="511"/>
      <c r="C411" s="511"/>
      <c r="D411" s="511"/>
      <c r="E411" s="511"/>
      <c r="F411" s="511"/>
      <c r="G411" s="511"/>
      <c r="H411" s="511"/>
      <c r="I411" s="511"/>
      <c r="J411" s="511"/>
      <c r="K411" s="511"/>
      <c r="L411" s="511"/>
      <c r="M411" s="511"/>
      <c r="N411" s="511"/>
      <c r="O411" s="511"/>
      <c r="P411" s="511"/>
      <c r="Q411" s="511"/>
      <c r="R411" s="511"/>
      <c r="S411" s="511"/>
      <c r="T411" s="511"/>
      <c r="U411" s="511"/>
      <c r="V411" s="511"/>
      <c r="W411" s="511"/>
      <c r="X411" s="511"/>
      <c r="Y411" s="511"/>
      <c r="Z411" s="511"/>
      <c r="AA411" s="511"/>
      <c r="AB411" s="511"/>
      <c r="AC411" s="511"/>
      <c r="AD411" s="511"/>
      <c r="AE411" s="511"/>
      <c r="AF411" s="511"/>
      <c r="AG411" s="511"/>
      <c r="AH411" s="511"/>
      <c r="AI411" s="511"/>
      <c r="AJ411" s="511"/>
      <c r="AK411" s="511"/>
      <c r="AL411" s="511"/>
      <c r="AM411" s="511"/>
      <c r="AN411" s="511"/>
      <c r="AO411" s="511"/>
      <c r="AP411" s="511"/>
      <c r="AQ411" s="511"/>
      <c r="AR411" s="511"/>
      <c r="AS411" s="511"/>
      <c r="AT411" s="511"/>
      <c r="AU411" s="511"/>
      <c r="AV411" s="511"/>
      <c r="AW411" s="511"/>
      <c r="AX411" s="511"/>
      <c r="AY411" s="511"/>
      <c r="AZ411" s="511"/>
      <c r="BA411" s="511"/>
      <c r="BB411" s="511"/>
      <c r="BC411" s="511"/>
      <c r="BD411" s="511"/>
      <c r="BE411" s="511"/>
    </row>
    <row r="412" ht="15.75" customHeight="1">
      <c r="A412" s="511"/>
      <c r="B412" s="511"/>
      <c r="C412" s="511"/>
      <c r="D412" s="511"/>
      <c r="E412" s="511"/>
      <c r="F412" s="511"/>
      <c r="G412" s="511"/>
      <c r="H412" s="511"/>
      <c r="I412" s="511"/>
      <c r="J412" s="511"/>
      <c r="K412" s="511"/>
      <c r="L412" s="511"/>
      <c r="M412" s="511"/>
      <c r="N412" s="511"/>
      <c r="O412" s="511"/>
      <c r="P412" s="511"/>
      <c r="Q412" s="511"/>
      <c r="R412" s="511"/>
      <c r="S412" s="511"/>
      <c r="T412" s="511"/>
      <c r="U412" s="511"/>
      <c r="V412" s="511"/>
      <c r="W412" s="511"/>
      <c r="X412" s="511"/>
      <c r="Y412" s="511"/>
      <c r="Z412" s="511"/>
      <c r="AA412" s="511"/>
      <c r="AB412" s="511"/>
      <c r="AC412" s="511"/>
      <c r="AD412" s="511"/>
      <c r="AE412" s="511"/>
      <c r="AF412" s="511"/>
      <c r="AG412" s="511"/>
      <c r="AH412" s="511"/>
      <c r="AI412" s="511"/>
      <c r="AJ412" s="511"/>
      <c r="AK412" s="511"/>
      <c r="AL412" s="511"/>
      <c r="AM412" s="511"/>
      <c r="AN412" s="511"/>
      <c r="AO412" s="511"/>
      <c r="AP412" s="511"/>
      <c r="AQ412" s="511"/>
      <c r="AR412" s="511"/>
      <c r="AS412" s="511"/>
      <c r="AT412" s="511"/>
      <c r="AU412" s="511"/>
      <c r="AV412" s="511"/>
      <c r="AW412" s="511"/>
      <c r="AX412" s="511"/>
      <c r="AY412" s="511"/>
      <c r="AZ412" s="511"/>
      <c r="BA412" s="511"/>
      <c r="BB412" s="511"/>
      <c r="BC412" s="511"/>
      <c r="BD412" s="511"/>
      <c r="BE412" s="511"/>
    </row>
    <row r="413" ht="15.75" customHeight="1">
      <c r="A413" s="511"/>
      <c r="B413" s="511"/>
      <c r="C413" s="511"/>
      <c r="D413" s="511"/>
      <c r="E413" s="511"/>
      <c r="F413" s="511"/>
      <c r="G413" s="511"/>
      <c r="H413" s="511"/>
      <c r="I413" s="511"/>
      <c r="J413" s="511"/>
      <c r="K413" s="511"/>
      <c r="L413" s="511"/>
      <c r="M413" s="511"/>
      <c r="N413" s="511"/>
      <c r="O413" s="511"/>
      <c r="P413" s="511"/>
      <c r="Q413" s="511"/>
      <c r="R413" s="511"/>
      <c r="S413" s="511"/>
      <c r="T413" s="511"/>
      <c r="U413" s="511"/>
      <c r="V413" s="511"/>
      <c r="W413" s="511"/>
      <c r="X413" s="511"/>
      <c r="Y413" s="511"/>
      <c r="Z413" s="511"/>
      <c r="AA413" s="511"/>
      <c r="AB413" s="511"/>
      <c r="AC413" s="511"/>
      <c r="AD413" s="511"/>
      <c r="AE413" s="511"/>
      <c r="AF413" s="511"/>
      <c r="AG413" s="511"/>
      <c r="AH413" s="511"/>
      <c r="AI413" s="511"/>
      <c r="AJ413" s="511"/>
      <c r="AK413" s="511"/>
      <c r="AL413" s="511"/>
      <c r="AM413" s="511"/>
      <c r="AN413" s="511"/>
      <c r="AO413" s="511"/>
      <c r="AP413" s="511"/>
      <c r="AQ413" s="511"/>
      <c r="AR413" s="511"/>
      <c r="AS413" s="511"/>
      <c r="AT413" s="511"/>
      <c r="AU413" s="511"/>
      <c r="AV413" s="511"/>
      <c r="AW413" s="511"/>
      <c r="AX413" s="511"/>
      <c r="AY413" s="511"/>
      <c r="AZ413" s="511"/>
      <c r="BA413" s="511"/>
      <c r="BB413" s="511"/>
      <c r="BC413" s="511"/>
      <c r="BD413" s="511"/>
      <c r="BE413" s="511"/>
    </row>
    <row r="414" ht="15.75" customHeight="1">
      <c r="A414" s="511"/>
      <c r="B414" s="511"/>
      <c r="C414" s="511"/>
      <c r="D414" s="511"/>
      <c r="E414" s="511"/>
      <c r="F414" s="511"/>
      <c r="G414" s="511"/>
      <c r="H414" s="511"/>
      <c r="I414" s="511"/>
      <c r="J414" s="511"/>
      <c r="K414" s="511"/>
      <c r="L414" s="511"/>
      <c r="M414" s="511"/>
      <c r="N414" s="511"/>
      <c r="O414" s="511"/>
      <c r="P414" s="511"/>
      <c r="Q414" s="511"/>
      <c r="R414" s="511"/>
      <c r="S414" s="511"/>
      <c r="T414" s="511"/>
      <c r="U414" s="511"/>
      <c r="V414" s="511"/>
      <c r="W414" s="511"/>
      <c r="X414" s="511"/>
      <c r="Y414" s="511"/>
      <c r="Z414" s="511"/>
      <c r="AA414" s="511"/>
      <c r="AB414" s="511"/>
      <c r="AC414" s="511"/>
      <c r="AD414" s="511"/>
      <c r="AE414" s="511"/>
      <c r="AF414" s="511"/>
      <c r="AG414" s="511"/>
      <c r="AH414" s="511"/>
      <c r="AI414" s="511"/>
      <c r="AJ414" s="511"/>
      <c r="AK414" s="511"/>
      <c r="AL414" s="511"/>
      <c r="AM414" s="511"/>
      <c r="AN414" s="511"/>
      <c r="AO414" s="511"/>
      <c r="AP414" s="511"/>
      <c r="AQ414" s="511"/>
      <c r="AR414" s="511"/>
      <c r="AS414" s="511"/>
      <c r="AT414" s="511"/>
      <c r="AU414" s="511"/>
      <c r="AV414" s="511"/>
      <c r="AW414" s="511"/>
      <c r="AX414" s="511"/>
      <c r="AY414" s="511"/>
      <c r="AZ414" s="511"/>
      <c r="BA414" s="511"/>
      <c r="BB414" s="511"/>
      <c r="BC414" s="511"/>
      <c r="BD414" s="511"/>
      <c r="BE414" s="511"/>
    </row>
    <row r="415" ht="15.75" customHeight="1">
      <c r="A415" s="511"/>
      <c r="B415" s="511"/>
      <c r="C415" s="511"/>
      <c r="D415" s="511"/>
      <c r="E415" s="511"/>
      <c r="F415" s="511"/>
      <c r="G415" s="511"/>
      <c r="H415" s="511"/>
      <c r="I415" s="511"/>
      <c r="J415" s="511"/>
      <c r="K415" s="511"/>
      <c r="L415" s="511"/>
      <c r="M415" s="511"/>
      <c r="N415" s="511"/>
      <c r="O415" s="511"/>
      <c r="P415" s="511"/>
      <c r="Q415" s="511"/>
      <c r="R415" s="511"/>
      <c r="S415" s="511"/>
      <c r="T415" s="511"/>
      <c r="U415" s="511"/>
      <c r="V415" s="511"/>
      <c r="W415" s="511"/>
      <c r="X415" s="511"/>
      <c r="Y415" s="511"/>
      <c r="Z415" s="511"/>
      <c r="AA415" s="511"/>
      <c r="AB415" s="511"/>
      <c r="AC415" s="511"/>
      <c r="AD415" s="511"/>
      <c r="AE415" s="511"/>
      <c r="AF415" s="511"/>
      <c r="AG415" s="511"/>
      <c r="AH415" s="511"/>
      <c r="AI415" s="511"/>
      <c r="AJ415" s="511"/>
      <c r="AK415" s="511"/>
      <c r="AL415" s="511"/>
      <c r="AM415" s="511"/>
      <c r="AN415" s="511"/>
      <c r="AO415" s="511"/>
      <c r="AP415" s="511"/>
      <c r="AQ415" s="511"/>
      <c r="AR415" s="511"/>
      <c r="AS415" s="511"/>
      <c r="AT415" s="511"/>
      <c r="AU415" s="511"/>
      <c r="AV415" s="511"/>
      <c r="AW415" s="511"/>
      <c r="AX415" s="511"/>
      <c r="AY415" s="511"/>
      <c r="AZ415" s="511"/>
      <c r="BA415" s="511"/>
      <c r="BB415" s="511"/>
      <c r="BC415" s="511"/>
      <c r="BD415" s="511"/>
      <c r="BE415" s="511"/>
    </row>
    <row r="416" ht="15.75" customHeight="1">
      <c r="A416" s="511"/>
      <c r="B416" s="511"/>
      <c r="C416" s="511"/>
      <c r="D416" s="511"/>
      <c r="E416" s="511"/>
      <c r="F416" s="511"/>
      <c r="G416" s="511"/>
      <c r="H416" s="511"/>
      <c r="I416" s="511"/>
      <c r="J416" s="511"/>
      <c r="K416" s="511"/>
      <c r="L416" s="511"/>
      <c r="M416" s="511"/>
      <c r="N416" s="511"/>
      <c r="O416" s="511"/>
      <c r="P416" s="511"/>
      <c r="Q416" s="511"/>
      <c r="R416" s="511"/>
      <c r="S416" s="511"/>
      <c r="T416" s="511"/>
      <c r="U416" s="511"/>
      <c r="V416" s="511"/>
      <c r="W416" s="511"/>
      <c r="X416" s="511"/>
      <c r="Y416" s="511"/>
      <c r="Z416" s="511"/>
      <c r="AA416" s="511"/>
      <c r="AB416" s="511"/>
      <c r="AC416" s="511"/>
      <c r="AD416" s="511"/>
      <c r="AE416" s="511"/>
      <c r="AF416" s="511"/>
      <c r="AG416" s="511"/>
      <c r="AH416" s="511"/>
      <c r="AI416" s="511"/>
      <c r="AJ416" s="511"/>
      <c r="AK416" s="511"/>
      <c r="AL416" s="511"/>
      <c r="AM416" s="511"/>
      <c r="AN416" s="511"/>
      <c r="AO416" s="511"/>
      <c r="AP416" s="511"/>
      <c r="AQ416" s="511"/>
      <c r="AR416" s="511"/>
      <c r="AS416" s="511"/>
      <c r="AT416" s="511"/>
      <c r="AU416" s="511"/>
      <c r="AV416" s="511"/>
      <c r="AW416" s="511"/>
      <c r="AX416" s="511"/>
      <c r="AY416" s="511"/>
      <c r="AZ416" s="511"/>
      <c r="BA416" s="511"/>
      <c r="BB416" s="511"/>
      <c r="BC416" s="511"/>
      <c r="BD416" s="511"/>
      <c r="BE416" s="511"/>
    </row>
    <row r="417" ht="15.75" customHeight="1">
      <c r="A417" s="511"/>
      <c r="B417" s="511"/>
      <c r="C417" s="511"/>
      <c r="D417" s="511"/>
      <c r="E417" s="511"/>
      <c r="F417" s="511"/>
      <c r="G417" s="511"/>
      <c r="H417" s="511"/>
      <c r="I417" s="511"/>
      <c r="J417" s="511"/>
      <c r="K417" s="511"/>
      <c r="L417" s="511"/>
      <c r="M417" s="511"/>
      <c r="N417" s="511"/>
      <c r="O417" s="511"/>
      <c r="P417" s="511"/>
      <c r="Q417" s="511"/>
      <c r="R417" s="511"/>
      <c r="S417" s="511"/>
      <c r="T417" s="511"/>
      <c r="U417" s="511"/>
      <c r="V417" s="511"/>
      <c r="W417" s="511"/>
      <c r="X417" s="511"/>
      <c r="Y417" s="511"/>
      <c r="Z417" s="511"/>
      <c r="AA417" s="511"/>
      <c r="AB417" s="511"/>
      <c r="AC417" s="511"/>
      <c r="AD417" s="511"/>
      <c r="AE417" s="511"/>
      <c r="AF417" s="511"/>
      <c r="AG417" s="511"/>
      <c r="AH417" s="511"/>
      <c r="AI417" s="511"/>
      <c r="AJ417" s="511"/>
      <c r="AK417" s="511"/>
      <c r="AL417" s="511"/>
      <c r="AM417" s="511"/>
      <c r="AN417" s="511"/>
      <c r="AO417" s="511"/>
      <c r="AP417" s="511"/>
      <c r="AQ417" s="511"/>
      <c r="AR417" s="511"/>
      <c r="AS417" s="511"/>
      <c r="AT417" s="511"/>
      <c r="AU417" s="511"/>
      <c r="AV417" s="511"/>
      <c r="AW417" s="511"/>
      <c r="AX417" s="511"/>
      <c r="AY417" s="511"/>
      <c r="AZ417" s="511"/>
      <c r="BA417" s="511"/>
      <c r="BB417" s="511"/>
      <c r="BC417" s="511"/>
      <c r="BD417" s="511"/>
      <c r="BE417" s="511"/>
    </row>
    <row r="418" ht="15.75" customHeight="1">
      <c r="A418" s="511"/>
      <c r="B418" s="511"/>
      <c r="C418" s="511"/>
      <c r="D418" s="511"/>
      <c r="E418" s="511"/>
      <c r="F418" s="511"/>
      <c r="G418" s="511"/>
      <c r="H418" s="511"/>
      <c r="I418" s="511"/>
      <c r="J418" s="511"/>
      <c r="K418" s="511"/>
      <c r="L418" s="511"/>
      <c r="M418" s="511"/>
      <c r="N418" s="511"/>
      <c r="O418" s="511"/>
      <c r="P418" s="511"/>
      <c r="Q418" s="511"/>
      <c r="R418" s="511"/>
      <c r="S418" s="511"/>
      <c r="T418" s="511"/>
      <c r="U418" s="511"/>
      <c r="V418" s="511"/>
      <c r="W418" s="511"/>
      <c r="X418" s="511"/>
      <c r="Y418" s="511"/>
      <c r="Z418" s="511"/>
      <c r="AA418" s="511"/>
      <c r="AB418" s="511"/>
      <c r="AC418" s="511"/>
      <c r="AD418" s="511"/>
      <c r="AE418" s="511"/>
      <c r="AF418" s="511"/>
      <c r="AG418" s="511"/>
      <c r="AH418" s="511"/>
      <c r="AI418" s="511"/>
      <c r="AJ418" s="511"/>
      <c r="AK418" s="511"/>
      <c r="AL418" s="511"/>
      <c r="AM418" s="511"/>
      <c r="AN418" s="511"/>
      <c r="AO418" s="511"/>
      <c r="AP418" s="511"/>
      <c r="AQ418" s="511"/>
      <c r="AR418" s="511"/>
      <c r="AS418" s="511"/>
      <c r="AT418" s="511"/>
      <c r="AU418" s="511"/>
      <c r="AV418" s="511"/>
      <c r="AW418" s="511"/>
      <c r="AX418" s="511"/>
      <c r="AY418" s="511"/>
      <c r="AZ418" s="511"/>
      <c r="BA418" s="511"/>
      <c r="BB418" s="511"/>
      <c r="BC418" s="511"/>
      <c r="BD418" s="511"/>
      <c r="BE418" s="511"/>
    </row>
    <row r="419" ht="15.75" customHeight="1">
      <c r="A419" s="511"/>
      <c r="B419" s="511"/>
      <c r="C419" s="511"/>
      <c r="D419" s="511"/>
      <c r="E419" s="511"/>
      <c r="F419" s="511"/>
      <c r="G419" s="511"/>
      <c r="H419" s="511"/>
      <c r="I419" s="511"/>
      <c r="J419" s="511"/>
      <c r="K419" s="511"/>
      <c r="L419" s="511"/>
      <c r="M419" s="511"/>
      <c r="N419" s="511"/>
      <c r="O419" s="511"/>
      <c r="P419" s="511"/>
      <c r="Q419" s="511"/>
      <c r="R419" s="511"/>
      <c r="S419" s="511"/>
      <c r="T419" s="511"/>
      <c r="U419" s="511"/>
      <c r="V419" s="511"/>
      <c r="W419" s="511"/>
      <c r="X419" s="511"/>
      <c r="Y419" s="511"/>
      <c r="Z419" s="511"/>
      <c r="AA419" s="511"/>
      <c r="AB419" s="511"/>
      <c r="AC419" s="511"/>
      <c r="AD419" s="511"/>
      <c r="AE419" s="511"/>
      <c r="AF419" s="511"/>
      <c r="AG419" s="511"/>
      <c r="AH419" s="511"/>
      <c r="AI419" s="511"/>
      <c r="AJ419" s="511"/>
      <c r="AK419" s="511"/>
      <c r="AL419" s="511"/>
      <c r="AM419" s="511"/>
      <c r="AN419" s="511"/>
      <c r="AO419" s="511"/>
      <c r="AP419" s="511"/>
      <c r="AQ419" s="511"/>
      <c r="AR419" s="511"/>
      <c r="AS419" s="511"/>
      <c r="AT419" s="511"/>
      <c r="AU419" s="511"/>
      <c r="AV419" s="511"/>
      <c r="AW419" s="511"/>
      <c r="AX419" s="511"/>
      <c r="AY419" s="511"/>
      <c r="AZ419" s="511"/>
      <c r="BA419" s="511"/>
      <c r="BB419" s="511"/>
      <c r="BC419" s="511"/>
      <c r="BD419" s="511"/>
      <c r="BE419" s="511"/>
    </row>
    <row r="420" ht="15.75" customHeight="1">
      <c r="A420" s="511"/>
      <c r="B420" s="511"/>
      <c r="C420" s="511"/>
      <c r="D420" s="511"/>
      <c r="E420" s="511"/>
      <c r="F420" s="511"/>
      <c r="G420" s="511"/>
      <c r="H420" s="511"/>
      <c r="I420" s="511"/>
      <c r="J420" s="511"/>
      <c r="K420" s="511"/>
      <c r="L420" s="511"/>
      <c r="M420" s="511"/>
      <c r="N420" s="511"/>
      <c r="O420" s="511"/>
      <c r="P420" s="511"/>
      <c r="Q420" s="511"/>
      <c r="R420" s="511"/>
      <c r="S420" s="511"/>
      <c r="T420" s="511"/>
      <c r="U420" s="511"/>
      <c r="V420" s="511"/>
      <c r="W420" s="511"/>
      <c r="X420" s="511"/>
      <c r="Y420" s="511"/>
      <c r="Z420" s="511"/>
      <c r="AA420" s="511"/>
      <c r="AB420" s="511"/>
      <c r="AC420" s="511"/>
      <c r="AD420" s="511"/>
      <c r="AE420" s="511"/>
      <c r="AF420" s="511"/>
      <c r="AG420" s="511"/>
      <c r="AH420" s="511"/>
      <c r="AI420" s="511"/>
      <c r="AJ420" s="511"/>
      <c r="AK420" s="511"/>
      <c r="AL420" s="511"/>
      <c r="AM420" s="511"/>
      <c r="AN420" s="511"/>
      <c r="AO420" s="511"/>
      <c r="AP420" s="511"/>
      <c r="AQ420" s="511"/>
      <c r="AR420" s="511"/>
      <c r="AS420" s="511"/>
      <c r="AT420" s="511"/>
      <c r="AU420" s="511"/>
      <c r="AV420" s="511"/>
      <c r="AW420" s="511"/>
      <c r="AX420" s="511"/>
      <c r="AY420" s="511"/>
      <c r="AZ420" s="511"/>
      <c r="BA420" s="511"/>
      <c r="BB420" s="511"/>
      <c r="BC420" s="511"/>
      <c r="BD420" s="511"/>
      <c r="BE420" s="511"/>
    </row>
    <row r="421" ht="15.75" customHeight="1">
      <c r="A421" s="511"/>
      <c r="B421" s="511"/>
      <c r="C421" s="511"/>
      <c r="D421" s="511"/>
      <c r="E421" s="511"/>
      <c r="F421" s="511"/>
      <c r="G421" s="511"/>
      <c r="H421" s="511"/>
      <c r="I421" s="511"/>
      <c r="J421" s="511"/>
      <c r="K421" s="511"/>
      <c r="L421" s="511"/>
      <c r="M421" s="511"/>
      <c r="N421" s="511"/>
      <c r="O421" s="511"/>
      <c r="P421" s="511"/>
      <c r="Q421" s="511"/>
      <c r="R421" s="511"/>
      <c r="S421" s="511"/>
      <c r="T421" s="511"/>
      <c r="U421" s="511"/>
      <c r="V421" s="511"/>
      <c r="W421" s="511"/>
      <c r="X421" s="511"/>
      <c r="Y421" s="511"/>
      <c r="Z421" s="511"/>
      <c r="AA421" s="511"/>
      <c r="AB421" s="511"/>
      <c r="AC421" s="511"/>
      <c r="AD421" s="511"/>
      <c r="AE421" s="511"/>
      <c r="AF421" s="511"/>
      <c r="AG421" s="511"/>
      <c r="AH421" s="511"/>
      <c r="AI421" s="511"/>
      <c r="AJ421" s="511"/>
      <c r="AK421" s="511"/>
      <c r="AL421" s="511"/>
      <c r="AM421" s="511"/>
      <c r="AN421" s="511"/>
      <c r="AO421" s="511"/>
      <c r="AP421" s="511"/>
      <c r="AQ421" s="511"/>
      <c r="AR421" s="511"/>
      <c r="AS421" s="511"/>
      <c r="AT421" s="511"/>
      <c r="AU421" s="511"/>
      <c r="AV421" s="511"/>
      <c r="AW421" s="511"/>
      <c r="AX421" s="511"/>
      <c r="AY421" s="511"/>
      <c r="AZ421" s="511"/>
      <c r="BA421" s="511"/>
      <c r="BB421" s="511"/>
      <c r="BC421" s="511"/>
      <c r="BD421" s="511"/>
      <c r="BE421" s="511"/>
    </row>
    <row r="422" ht="15.75" customHeight="1">
      <c r="A422" s="511"/>
      <c r="B422" s="511"/>
      <c r="C422" s="511"/>
      <c r="D422" s="511"/>
      <c r="E422" s="511"/>
      <c r="F422" s="511"/>
      <c r="G422" s="511"/>
      <c r="H422" s="511"/>
      <c r="I422" s="511"/>
      <c r="J422" s="511"/>
      <c r="K422" s="511"/>
      <c r="L422" s="511"/>
      <c r="M422" s="511"/>
      <c r="N422" s="511"/>
      <c r="O422" s="511"/>
      <c r="P422" s="511"/>
      <c r="Q422" s="511"/>
      <c r="R422" s="511"/>
      <c r="S422" s="511"/>
      <c r="T422" s="511"/>
      <c r="U422" s="511"/>
      <c r="V422" s="511"/>
      <c r="W422" s="511"/>
      <c r="X422" s="511"/>
      <c r="Y422" s="511"/>
      <c r="Z422" s="511"/>
      <c r="AA422" s="511"/>
      <c r="AB422" s="511"/>
      <c r="AC422" s="511"/>
      <c r="AD422" s="511"/>
      <c r="AE422" s="511"/>
      <c r="AF422" s="511"/>
      <c r="AG422" s="511"/>
      <c r="AH422" s="511"/>
      <c r="AI422" s="511"/>
      <c r="AJ422" s="511"/>
      <c r="AK422" s="511"/>
      <c r="AL422" s="511"/>
      <c r="AM422" s="511"/>
      <c r="AN422" s="511"/>
      <c r="AO422" s="511"/>
      <c r="AP422" s="511"/>
      <c r="AQ422" s="511"/>
      <c r="AR422" s="511"/>
      <c r="AS422" s="511"/>
      <c r="AT422" s="511"/>
      <c r="AU422" s="511"/>
      <c r="AV422" s="511"/>
      <c r="AW422" s="511"/>
      <c r="AX422" s="511"/>
      <c r="AY422" s="511"/>
      <c r="AZ422" s="511"/>
      <c r="BA422" s="511"/>
      <c r="BB422" s="511"/>
      <c r="BC422" s="511"/>
      <c r="BD422" s="511"/>
      <c r="BE422" s="511"/>
    </row>
    <row r="423" ht="15.75" customHeight="1">
      <c r="A423" s="511"/>
      <c r="B423" s="511"/>
      <c r="C423" s="511"/>
      <c r="D423" s="511"/>
      <c r="E423" s="511"/>
      <c r="F423" s="511"/>
      <c r="G423" s="511"/>
      <c r="H423" s="511"/>
      <c r="I423" s="511"/>
      <c r="J423" s="511"/>
      <c r="K423" s="511"/>
      <c r="L423" s="511"/>
      <c r="M423" s="511"/>
      <c r="N423" s="511"/>
      <c r="O423" s="511"/>
      <c r="P423" s="511"/>
      <c r="Q423" s="511"/>
      <c r="R423" s="511"/>
      <c r="S423" s="511"/>
      <c r="T423" s="511"/>
      <c r="U423" s="511"/>
      <c r="V423" s="511"/>
      <c r="W423" s="511"/>
      <c r="X423" s="511"/>
      <c r="Y423" s="511"/>
      <c r="Z423" s="511"/>
      <c r="AA423" s="511"/>
      <c r="AB423" s="511"/>
      <c r="AC423" s="511"/>
      <c r="AD423" s="511"/>
      <c r="AE423" s="511"/>
      <c r="AF423" s="511"/>
      <c r="AG423" s="511"/>
      <c r="AH423" s="511"/>
      <c r="AI423" s="511"/>
      <c r="AJ423" s="511"/>
      <c r="AK423" s="511"/>
      <c r="AL423" s="511"/>
      <c r="AM423" s="511"/>
      <c r="AN423" s="511"/>
      <c r="AO423" s="511"/>
      <c r="AP423" s="511"/>
      <c r="AQ423" s="511"/>
      <c r="AR423" s="511"/>
      <c r="AS423" s="511"/>
      <c r="AT423" s="511"/>
      <c r="AU423" s="511"/>
      <c r="AV423" s="511"/>
      <c r="AW423" s="511"/>
      <c r="AX423" s="511"/>
      <c r="AY423" s="511"/>
      <c r="AZ423" s="511"/>
      <c r="BA423" s="511"/>
      <c r="BB423" s="511"/>
      <c r="BC423" s="511"/>
      <c r="BD423" s="511"/>
      <c r="BE423" s="511"/>
    </row>
    <row r="424" ht="15.75" customHeight="1">
      <c r="A424" s="511"/>
      <c r="B424" s="511"/>
      <c r="C424" s="511"/>
      <c r="D424" s="511"/>
      <c r="E424" s="511"/>
      <c r="F424" s="511"/>
      <c r="G424" s="511"/>
      <c r="H424" s="511"/>
      <c r="I424" s="511"/>
      <c r="J424" s="511"/>
      <c r="K424" s="511"/>
      <c r="L424" s="511"/>
      <c r="M424" s="511"/>
      <c r="N424" s="511"/>
      <c r="O424" s="511"/>
      <c r="P424" s="511"/>
      <c r="Q424" s="511"/>
      <c r="R424" s="511"/>
      <c r="S424" s="511"/>
      <c r="T424" s="511"/>
      <c r="U424" s="511"/>
      <c r="V424" s="511"/>
      <c r="W424" s="511"/>
      <c r="X424" s="511"/>
      <c r="Y424" s="511"/>
      <c r="Z424" s="511"/>
      <c r="AA424" s="511"/>
      <c r="AB424" s="511"/>
      <c r="AC424" s="511"/>
      <c r="AD424" s="511"/>
      <c r="AE424" s="511"/>
      <c r="AF424" s="511"/>
      <c r="AG424" s="511"/>
      <c r="AH424" s="511"/>
      <c r="AI424" s="511"/>
      <c r="AJ424" s="511"/>
      <c r="AK424" s="511"/>
      <c r="AL424" s="511"/>
      <c r="AM424" s="511"/>
      <c r="AN424" s="511"/>
      <c r="AO424" s="511"/>
      <c r="AP424" s="511"/>
      <c r="AQ424" s="511"/>
      <c r="AR424" s="511"/>
      <c r="AS424" s="511"/>
      <c r="AT424" s="511"/>
      <c r="AU424" s="511"/>
      <c r="AV424" s="511"/>
      <c r="AW424" s="511"/>
      <c r="AX424" s="511"/>
      <c r="AY424" s="511"/>
      <c r="AZ424" s="511"/>
      <c r="BA424" s="511"/>
      <c r="BB424" s="511"/>
      <c r="BC424" s="511"/>
      <c r="BD424" s="511"/>
      <c r="BE424" s="511"/>
    </row>
    <row r="425" ht="15.75" customHeight="1">
      <c r="A425" s="511"/>
      <c r="B425" s="511"/>
      <c r="C425" s="511"/>
      <c r="D425" s="511"/>
      <c r="E425" s="511"/>
      <c r="F425" s="511"/>
      <c r="G425" s="511"/>
      <c r="H425" s="511"/>
      <c r="I425" s="511"/>
      <c r="J425" s="511"/>
      <c r="K425" s="511"/>
      <c r="L425" s="511"/>
      <c r="M425" s="511"/>
      <c r="N425" s="511"/>
      <c r="O425" s="511"/>
      <c r="P425" s="511"/>
      <c r="Q425" s="511"/>
      <c r="R425" s="511"/>
      <c r="S425" s="511"/>
      <c r="T425" s="511"/>
      <c r="U425" s="511"/>
      <c r="V425" s="511"/>
      <c r="W425" s="511"/>
      <c r="X425" s="511"/>
      <c r="Y425" s="511"/>
      <c r="Z425" s="511"/>
      <c r="AA425" s="511"/>
      <c r="AB425" s="511"/>
      <c r="AC425" s="511"/>
      <c r="AD425" s="511"/>
      <c r="AE425" s="511"/>
      <c r="AF425" s="511"/>
      <c r="AG425" s="511"/>
      <c r="AH425" s="511"/>
      <c r="AI425" s="511"/>
      <c r="AJ425" s="511"/>
      <c r="AK425" s="511"/>
      <c r="AL425" s="511"/>
      <c r="AM425" s="511"/>
      <c r="AN425" s="511"/>
      <c r="AO425" s="511"/>
      <c r="AP425" s="511"/>
      <c r="AQ425" s="511"/>
      <c r="AR425" s="511"/>
      <c r="AS425" s="511"/>
      <c r="AT425" s="511"/>
      <c r="AU425" s="511"/>
      <c r="AV425" s="511"/>
      <c r="AW425" s="511"/>
      <c r="AX425" s="511"/>
      <c r="AY425" s="511"/>
      <c r="AZ425" s="511"/>
      <c r="BA425" s="511"/>
      <c r="BB425" s="511"/>
      <c r="BC425" s="511"/>
      <c r="BD425" s="511"/>
      <c r="BE425" s="511"/>
    </row>
    <row r="426" ht="15.75" customHeight="1">
      <c r="A426" s="511"/>
      <c r="B426" s="511"/>
      <c r="C426" s="511"/>
      <c r="D426" s="511"/>
      <c r="E426" s="511"/>
      <c r="F426" s="511"/>
      <c r="G426" s="511"/>
      <c r="H426" s="511"/>
      <c r="I426" s="511"/>
      <c r="J426" s="511"/>
      <c r="K426" s="511"/>
      <c r="L426" s="511"/>
      <c r="M426" s="511"/>
      <c r="N426" s="511"/>
      <c r="O426" s="511"/>
      <c r="P426" s="511"/>
      <c r="Q426" s="511"/>
      <c r="R426" s="511"/>
      <c r="S426" s="511"/>
      <c r="T426" s="511"/>
      <c r="U426" s="511"/>
      <c r="V426" s="511"/>
      <c r="W426" s="511"/>
      <c r="X426" s="511"/>
      <c r="Y426" s="511"/>
      <c r="Z426" s="511"/>
      <c r="AA426" s="511"/>
      <c r="AB426" s="511"/>
      <c r="AC426" s="511"/>
      <c r="AD426" s="511"/>
      <c r="AE426" s="511"/>
      <c r="AF426" s="511"/>
      <c r="AG426" s="511"/>
      <c r="AH426" s="511"/>
      <c r="AI426" s="511"/>
      <c r="AJ426" s="511"/>
      <c r="AK426" s="511"/>
      <c r="AL426" s="511"/>
      <c r="AM426" s="511"/>
      <c r="AN426" s="511"/>
      <c r="AO426" s="511"/>
      <c r="AP426" s="511"/>
      <c r="AQ426" s="511"/>
      <c r="AR426" s="511"/>
      <c r="AS426" s="511"/>
      <c r="AT426" s="511"/>
      <c r="AU426" s="511"/>
      <c r="AV426" s="511"/>
      <c r="AW426" s="511"/>
      <c r="AX426" s="511"/>
      <c r="AY426" s="511"/>
      <c r="AZ426" s="511"/>
      <c r="BA426" s="511"/>
      <c r="BB426" s="511"/>
      <c r="BC426" s="511"/>
      <c r="BD426" s="511"/>
      <c r="BE426" s="511"/>
    </row>
    <row r="427" ht="15.75" customHeight="1">
      <c r="A427" s="511"/>
      <c r="B427" s="511"/>
      <c r="C427" s="511"/>
      <c r="D427" s="511"/>
      <c r="E427" s="511"/>
      <c r="F427" s="511"/>
      <c r="G427" s="511"/>
      <c r="H427" s="511"/>
      <c r="I427" s="511"/>
      <c r="J427" s="511"/>
      <c r="K427" s="511"/>
      <c r="L427" s="511"/>
      <c r="M427" s="511"/>
      <c r="N427" s="511"/>
      <c r="O427" s="511"/>
      <c r="P427" s="511"/>
      <c r="Q427" s="511"/>
      <c r="R427" s="511"/>
      <c r="S427" s="511"/>
      <c r="T427" s="511"/>
      <c r="U427" s="511"/>
      <c r="V427" s="511"/>
      <c r="W427" s="511"/>
      <c r="X427" s="511"/>
      <c r="Y427" s="511"/>
      <c r="Z427" s="511"/>
      <c r="AA427" s="511"/>
      <c r="AB427" s="511"/>
      <c r="AC427" s="511"/>
      <c r="AD427" s="511"/>
      <c r="AE427" s="511"/>
      <c r="AF427" s="511"/>
      <c r="AG427" s="511"/>
      <c r="AH427" s="511"/>
      <c r="AI427" s="511"/>
      <c r="AJ427" s="511"/>
      <c r="AK427" s="511"/>
      <c r="AL427" s="511"/>
      <c r="AM427" s="511"/>
      <c r="AN427" s="511"/>
      <c r="AO427" s="511"/>
      <c r="AP427" s="511"/>
      <c r="AQ427" s="511"/>
      <c r="AR427" s="511"/>
      <c r="AS427" s="511"/>
      <c r="AT427" s="511"/>
      <c r="AU427" s="511"/>
      <c r="AV427" s="511"/>
      <c r="AW427" s="511"/>
      <c r="AX427" s="511"/>
      <c r="AY427" s="511"/>
      <c r="AZ427" s="511"/>
      <c r="BA427" s="511"/>
      <c r="BB427" s="511"/>
      <c r="BC427" s="511"/>
      <c r="BD427" s="511"/>
      <c r="BE427" s="511"/>
    </row>
    <row r="428" ht="15.75" customHeight="1">
      <c r="A428" s="511"/>
      <c r="B428" s="511"/>
      <c r="C428" s="511"/>
      <c r="D428" s="511"/>
      <c r="E428" s="511"/>
      <c r="F428" s="511"/>
      <c r="G428" s="511"/>
      <c r="H428" s="511"/>
      <c r="I428" s="511"/>
      <c r="J428" s="511"/>
      <c r="K428" s="511"/>
      <c r="L428" s="511"/>
      <c r="M428" s="511"/>
      <c r="N428" s="511"/>
      <c r="O428" s="511"/>
      <c r="P428" s="511"/>
      <c r="Q428" s="511"/>
      <c r="R428" s="511"/>
      <c r="S428" s="511"/>
      <c r="T428" s="511"/>
      <c r="U428" s="511"/>
      <c r="V428" s="511"/>
      <c r="W428" s="511"/>
      <c r="X428" s="511"/>
      <c r="Y428" s="511"/>
      <c r="Z428" s="511"/>
      <c r="AA428" s="511"/>
      <c r="AB428" s="511"/>
      <c r="AC428" s="511"/>
      <c r="AD428" s="511"/>
      <c r="AE428" s="511"/>
      <c r="AF428" s="511"/>
      <c r="AG428" s="511"/>
      <c r="AH428" s="511"/>
      <c r="AI428" s="511"/>
      <c r="AJ428" s="511"/>
      <c r="AK428" s="511"/>
      <c r="AL428" s="511"/>
      <c r="AM428" s="511"/>
      <c r="AN428" s="511"/>
      <c r="AO428" s="511"/>
      <c r="AP428" s="511"/>
      <c r="AQ428" s="511"/>
      <c r="AR428" s="511"/>
      <c r="AS428" s="511"/>
      <c r="AT428" s="511"/>
      <c r="AU428" s="511"/>
      <c r="AV428" s="511"/>
      <c r="AW428" s="511"/>
      <c r="AX428" s="511"/>
      <c r="AY428" s="511"/>
      <c r="AZ428" s="511"/>
      <c r="BA428" s="511"/>
      <c r="BB428" s="511"/>
      <c r="BC428" s="511"/>
      <c r="BD428" s="511"/>
      <c r="BE428" s="511"/>
    </row>
    <row r="429" ht="15.75" customHeight="1">
      <c r="A429" s="511"/>
      <c r="B429" s="511"/>
      <c r="C429" s="511"/>
      <c r="D429" s="511"/>
      <c r="E429" s="511"/>
      <c r="F429" s="511"/>
      <c r="G429" s="511"/>
      <c r="H429" s="511"/>
      <c r="I429" s="511"/>
      <c r="J429" s="511"/>
      <c r="K429" s="511"/>
      <c r="L429" s="511"/>
      <c r="M429" s="511"/>
      <c r="N429" s="511"/>
      <c r="O429" s="511"/>
      <c r="P429" s="511"/>
      <c r="Q429" s="511"/>
      <c r="R429" s="511"/>
      <c r="S429" s="511"/>
      <c r="T429" s="511"/>
      <c r="U429" s="511"/>
      <c r="V429" s="511"/>
      <c r="W429" s="511"/>
      <c r="X429" s="511"/>
      <c r="Y429" s="511"/>
      <c r="Z429" s="511"/>
      <c r="AA429" s="511"/>
      <c r="AB429" s="511"/>
      <c r="AC429" s="511"/>
      <c r="AD429" s="511"/>
      <c r="AE429" s="511"/>
      <c r="AF429" s="511"/>
      <c r="AG429" s="511"/>
      <c r="AH429" s="511"/>
      <c r="AI429" s="511"/>
      <c r="AJ429" s="511"/>
      <c r="AK429" s="511"/>
      <c r="AL429" s="511"/>
      <c r="AM429" s="511"/>
      <c r="AN429" s="511"/>
      <c r="AO429" s="511"/>
      <c r="AP429" s="511"/>
      <c r="AQ429" s="511"/>
      <c r="AR429" s="511"/>
      <c r="AS429" s="511"/>
      <c r="AT429" s="511"/>
      <c r="AU429" s="511"/>
      <c r="AV429" s="511"/>
      <c r="AW429" s="511"/>
      <c r="AX429" s="511"/>
      <c r="AY429" s="511"/>
      <c r="AZ429" s="511"/>
      <c r="BA429" s="511"/>
      <c r="BB429" s="511"/>
      <c r="BC429" s="511"/>
      <c r="BD429" s="511"/>
      <c r="BE429" s="511"/>
    </row>
    <row r="430" ht="15.75" customHeight="1">
      <c r="A430" s="511"/>
      <c r="B430" s="511"/>
      <c r="C430" s="511"/>
      <c r="D430" s="511"/>
      <c r="E430" s="511"/>
      <c r="F430" s="511"/>
      <c r="G430" s="511"/>
      <c r="H430" s="511"/>
      <c r="I430" s="511"/>
      <c r="J430" s="511"/>
      <c r="K430" s="511"/>
      <c r="L430" s="511"/>
      <c r="M430" s="511"/>
      <c r="N430" s="511"/>
      <c r="O430" s="511"/>
      <c r="P430" s="511"/>
      <c r="Q430" s="511"/>
      <c r="R430" s="511"/>
      <c r="S430" s="511"/>
      <c r="T430" s="511"/>
      <c r="U430" s="511"/>
      <c r="V430" s="511"/>
      <c r="W430" s="511"/>
      <c r="X430" s="511"/>
      <c r="Y430" s="511"/>
      <c r="Z430" s="511"/>
      <c r="AA430" s="511"/>
      <c r="AB430" s="511"/>
      <c r="AC430" s="511"/>
      <c r="AD430" s="511"/>
      <c r="AE430" s="511"/>
      <c r="AF430" s="511"/>
      <c r="AG430" s="511"/>
      <c r="AH430" s="511"/>
      <c r="AI430" s="511"/>
      <c r="AJ430" s="511"/>
      <c r="AK430" s="511"/>
      <c r="AL430" s="511"/>
      <c r="AM430" s="511"/>
      <c r="AN430" s="511"/>
      <c r="AO430" s="511"/>
      <c r="AP430" s="511"/>
      <c r="AQ430" s="511"/>
      <c r="AR430" s="511"/>
      <c r="AS430" s="511"/>
      <c r="AT430" s="511"/>
      <c r="AU430" s="511"/>
      <c r="AV430" s="511"/>
      <c r="AW430" s="511"/>
      <c r="AX430" s="511"/>
      <c r="AY430" s="511"/>
      <c r="AZ430" s="511"/>
      <c r="BA430" s="511"/>
      <c r="BB430" s="511"/>
      <c r="BC430" s="511"/>
      <c r="BD430" s="511"/>
      <c r="BE430" s="511"/>
    </row>
    <row r="431" ht="15.75" customHeight="1">
      <c r="A431" s="511"/>
      <c r="B431" s="511"/>
      <c r="C431" s="511"/>
      <c r="D431" s="511"/>
      <c r="E431" s="511"/>
      <c r="F431" s="511"/>
      <c r="G431" s="511"/>
      <c r="H431" s="511"/>
      <c r="I431" s="511"/>
      <c r="J431" s="511"/>
      <c r="K431" s="511"/>
      <c r="L431" s="511"/>
      <c r="M431" s="511"/>
      <c r="N431" s="511"/>
      <c r="O431" s="511"/>
      <c r="P431" s="511"/>
      <c r="Q431" s="511"/>
      <c r="R431" s="511"/>
      <c r="S431" s="511"/>
      <c r="T431" s="511"/>
      <c r="U431" s="511"/>
      <c r="V431" s="511"/>
      <c r="W431" s="511"/>
      <c r="X431" s="511"/>
      <c r="Y431" s="511"/>
      <c r="Z431" s="511"/>
      <c r="AA431" s="511"/>
      <c r="AB431" s="511"/>
      <c r="AC431" s="511"/>
      <c r="AD431" s="511"/>
      <c r="AE431" s="511"/>
      <c r="AF431" s="511"/>
      <c r="AG431" s="511"/>
      <c r="AH431" s="511"/>
      <c r="AI431" s="511"/>
      <c r="AJ431" s="511"/>
      <c r="AK431" s="511"/>
      <c r="AL431" s="511"/>
      <c r="AM431" s="511"/>
      <c r="AN431" s="511"/>
      <c r="AO431" s="511"/>
      <c r="AP431" s="511"/>
      <c r="AQ431" s="511"/>
      <c r="AR431" s="511"/>
      <c r="AS431" s="511"/>
      <c r="AT431" s="511"/>
      <c r="AU431" s="511"/>
      <c r="AV431" s="511"/>
      <c r="AW431" s="511"/>
      <c r="AX431" s="511"/>
      <c r="AY431" s="511"/>
      <c r="AZ431" s="511"/>
      <c r="BA431" s="511"/>
      <c r="BB431" s="511"/>
      <c r="BC431" s="511"/>
      <c r="BD431" s="511"/>
      <c r="BE431" s="511"/>
    </row>
    <row r="432" ht="15.75" customHeight="1">
      <c r="A432" s="511"/>
      <c r="B432" s="511"/>
      <c r="C432" s="511"/>
      <c r="D432" s="511"/>
      <c r="E432" s="511"/>
      <c r="F432" s="511"/>
      <c r="G432" s="511"/>
      <c r="H432" s="511"/>
      <c r="I432" s="511"/>
      <c r="J432" s="511"/>
      <c r="K432" s="511"/>
      <c r="L432" s="511"/>
      <c r="M432" s="511"/>
      <c r="N432" s="511"/>
      <c r="O432" s="511"/>
      <c r="P432" s="511"/>
      <c r="Q432" s="511"/>
      <c r="R432" s="511"/>
      <c r="S432" s="511"/>
      <c r="T432" s="511"/>
      <c r="U432" s="511"/>
      <c r="V432" s="511"/>
      <c r="W432" s="511"/>
      <c r="X432" s="511"/>
      <c r="Y432" s="511"/>
      <c r="Z432" s="511"/>
      <c r="AA432" s="511"/>
      <c r="AB432" s="511"/>
      <c r="AC432" s="511"/>
      <c r="AD432" s="511"/>
      <c r="AE432" s="511"/>
      <c r="AF432" s="511"/>
      <c r="AG432" s="511"/>
      <c r="AH432" s="511"/>
      <c r="AI432" s="511"/>
      <c r="AJ432" s="511"/>
      <c r="AK432" s="511"/>
      <c r="AL432" s="511"/>
      <c r="AM432" s="511"/>
      <c r="AN432" s="511"/>
      <c r="AO432" s="511"/>
      <c r="AP432" s="511"/>
      <c r="AQ432" s="511"/>
      <c r="AR432" s="511"/>
      <c r="AS432" s="511"/>
      <c r="AT432" s="511"/>
      <c r="AU432" s="511"/>
      <c r="AV432" s="511"/>
      <c r="AW432" s="511"/>
      <c r="AX432" s="511"/>
      <c r="AY432" s="511"/>
      <c r="AZ432" s="511"/>
      <c r="BA432" s="511"/>
      <c r="BB432" s="511"/>
      <c r="BC432" s="511"/>
      <c r="BD432" s="511"/>
      <c r="BE432" s="511"/>
    </row>
    <row r="433" ht="15.75" customHeight="1">
      <c r="A433" s="511"/>
      <c r="B433" s="511"/>
      <c r="C433" s="511"/>
      <c r="D433" s="511"/>
      <c r="E433" s="511"/>
      <c r="F433" s="511"/>
      <c r="G433" s="511"/>
      <c r="H433" s="511"/>
      <c r="I433" s="511"/>
      <c r="J433" s="511"/>
      <c r="K433" s="511"/>
      <c r="L433" s="511"/>
      <c r="M433" s="511"/>
      <c r="N433" s="511"/>
      <c r="O433" s="511"/>
      <c r="P433" s="511"/>
      <c r="Q433" s="511"/>
      <c r="R433" s="511"/>
      <c r="S433" s="511"/>
      <c r="T433" s="511"/>
      <c r="U433" s="511"/>
      <c r="V433" s="511"/>
      <c r="W433" s="511"/>
      <c r="X433" s="511"/>
      <c r="Y433" s="511"/>
      <c r="Z433" s="511"/>
      <c r="AA433" s="511"/>
      <c r="AB433" s="511"/>
      <c r="AC433" s="511"/>
      <c r="AD433" s="511"/>
      <c r="AE433" s="511"/>
      <c r="AF433" s="511"/>
      <c r="AG433" s="511"/>
      <c r="AH433" s="511"/>
      <c r="AI433" s="511"/>
      <c r="AJ433" s="511"/>
      <c r="AK433" s="511"/>
      <c r="AL433" s="511"/>
      <c r="AM433" s="511"/>
      <c r="AN433" s="511"/>
      <c r="AO433" s="511"/>
      <c r="AP433" s="511"/>
      <c r="AQ433" s="511"/>
      <c r="AR433" s="511"/>
      <c r="AS433" s="511"/>
      <c r="AT433" s="511"/>
      <c r="AU433" s="511"/>
      <c r="AV433" s="511"/>
      <c r="AW433" s="511"/>
      <c r="AX433" s="511"/>
      <c r="AY433" s="511"/>
      <c r="AZ433" s="511"/>
      <c r="BA433" s="511"/>
      <c r="BB433" s="511"/>
      <c r="BC433" s="511"/>
      <c r="BD433" s="511"/>
      <c r="BE433" s="511"/>
    </row>
    <row r="434" ht="15.75" customHeight="1">
      <c r="A434" s="511"/>
      <c r="B434" s="511"/>
      <c r="C434" s="511"/>
      <c r="D434" s="511"/>
      <c r="E434" s="511"/>
      <c r="F434" s="511"/>
      <c r="G434" s="511"/>
      <c r="H434" s="511"/>
      <c r="I434" s="511"/>
      <c r="J434" s="511"/>
      <c r="K434" s="511"/>
      <c r="L434" s="511"/>
      <c r="M434" s="511"/>
      <c r="N434" s="511"/>
      <c r="O434" s="511"/>
      <c r="P434" s="511"/>
      <c r="Q434" s="511"/>
      <c r="R434" s="511"/>
      <c r="S434" s="511"/>
      <c r="T434" s="511"/>
      <c r="U434" s="511"/>
      <c r="V434" s="511"/>
      <c r="W434" s="511"/>
      <c r="X434" s="511"/>
      <c r="Y434" s="511"/>
      <c r="Z434" s="511"/>
      <c r="AA434" s="511"/>
      <c r="AB434" s="511"/>
      <c r="AC434" s="511"/>
      <c r="AD434" s="511"/>
      <c r="AE434" s="511"/>
      <c r="AF434" s="511"/>
      <c r="AG434" s="511"/>
      <c r="AH434" s="511"/>
      <c r="AI434" s="511"/>
      <c r="AJ434" s="511"/>
      <c r="AK434" s="511"/>
      <c r="AL434" s="511"/>
      <c r="AM434" s="511"/>
      <c r="AN434" s="511"/>
      <c r="AO434" s="511"/>
      <c r="AP434" s="511"/>
      <c r="AQ434" s="511"/>
      <c r="AR434" s="511"/>
      <c r="AS434" s="511"/>
      <c r="AT434" s="511"/>
      <c r="AU434" s="511"/>
      <c r="AV434" s="511"/>
      <c r="AW434" s="511"/>
      <c r="AX434" s="511"/>
      <c r="AY434" s="511"/>
      <c r="AZ434" s="511"/>
      <c r="BA434" s="511"/>
      <c r="BB434" s="511"/>
      <c r="BC434" s="511"/>
      <c r="BD434" s="511"/>
      <c r="BE434" s="511"/>
    </row>
    <row r="435" ht="15.75" customHeight="1">
      <c r="A435" s="511"/>
      <c r="B435" s="511"/>
      <c r="C435" s="511"/>
      <c r="D435" s="511"/>
      <c r="E435" s="511"/>
      <c r="F435" s="511"/>
      <c r="G435" s="511"/>
      <c r="H435" s="511"/>
      <c r="I435" s="511"/>
      <c r="J435" s="511"/>
      <c r="K435" s="511"/>
      <c r="L435" s="511"/>
      <c r="M435" s="511"/>
      <c r="N435" s="511"/>
      <c r="O435" s="511"/>
      <c r="P435" s="511"/>
      <c r="Q435" s="511"/>
      <c r="R435" s="511"/>
      <c r="S435" s="511"/>
      <c r="T435" s="511"/>
      <c r="U435" s="511"/>
      <c r="V435" s="511"/>
      <c r="W435" s="511"/>
      <c r="X435" s="511"/>
      <c r="Y435" s="511"/>
      <c r="Z435" s="511"/>
      <c r="AA435" s="511"/>
      <c r="AB435" s="511"/>
      <c r="AC435" s="511"/>
      <c r="AD435" s="511"/>
      <c r="AE435" s="511"/>
      <c r="AF435" s="511"/>
      <c r="AG435" s="511"/>
      <c r="AH435" s="511"/>
      <c r="AI435" s="511"/>
      <c r="AJ435" s="511"/>
      <c r="AK435" s="511"/>
      <c r="AL435" s="511"/>
      <c r="AM435" s="511"/>
      <c r="AN435" s="511"/>
      <c r="AO435" s="511"/>
      <c r="AP435" s="511"/>
      <c r="AQ435" s="511"/>
      <c r="AR435" s="511"/>
      <c r="AS435" s="511"/>
      <c r="AT435" s="511"/>
      <c r="AU435" s="511"/>
      <c r="AV435" s="511"/>
      <c r="AW435" s="511"/>
      <c r="AX435" s="511"/>
      <c r="AY435" s="511"/>
      <c r="AZ435" s="511"/>
      <c r="BA435" s="511"/>
      <c r="BB435" s="511"/>
      <c r="BC435" s="511"/>
      <c r="BD435" s="511"/>
      <c r="BE435" s="511"/>
    </row>
    <row r="436" ht="15.75" customHeight="1">
      <c r="A436" s="511"/>
      <c r="B436" s="511"/>
      <c r="C436" s="511"/>
      <c r="D436" s="511"/>
      <c r="E436" s="511"/>
      <c r="F436" s="511"/>
      <c r="G436" s="511"/>
      <c r="H436" s="511"/>
      <c r="I436" s="511"/>
      <c r="J436" s="511"/>
      <c r="K436" s="511"/>
      <c r="L436" s="511"/>
      <c r="M436" s="511"/>
      <c r="N436" s="511"/>
      <c r="O436" s="511"/>
      <c r="P436" s="511"/>
      <c r="Q436" s="511"/>
      <c r="R436" s="511"/>
      <c r="S436" s="511"/>
      <c r="T436" s="511"/>
      <c r="U436" s="511"/>
      <c r="V436" s="511"/>
      <c r="W436" s="511"/>
      <c r="X436" s="511"/>
      <c r="Y436" s="511"/>
      <c r="Z436" s="511"/>
      <c r="AA436" s="511"/>
      <c r="AB436" s="511"/>
      <c r="AC436" s="511"/>
      <c r="AD436" s="511"/>
      <c r="AE436" s="511"/>
      <c r="AF436" s="511"/>
      <c r="AG436" s="511"/>
      <c r="AH436" s="511"/>
      <c r="AI436" s="511"/>
      <c r="AJ436" s="511"/>
      <c r="AK436" s="511"/>
      <c r="AL436" s="511"/>
      <c r="AM436" s="511"/>
      <c r="AN436" s="511"/>
      <c r="AO436" s="511"/>
      <c r="AP436" s="511"/>
      <c r="AQ436" s="511"/>
      <c r="AR436" s="511"/>
      <c r="AS436" s="511"/>
      <c r="AT436" s="511"/>
      <c r="AU436" s="511"/>
      <c r="AV436" s="511"/>
      <c r="AW436" s="511"/>
      <c r="AX436" s="511"/>
      <c r="AY436" s="511"/>
      <c r="AZ436" s="511"/>
      <c r="BA436" s="511"/>
      <c r="BB436" s="511"/>
      <c r="BC436" s="511"/>
      <c r="BD436" s="511"/>
      <c r="BE436" s="511"/>
    </row>
    <row r="437" ht="15.75" customHeight="1">
      <c r="A437" s="511"/>
      <c r="B437" s="511"/>
      <c r="C437" s="511"/>
      <c r="D437" s="511"/>
      <c r="E437" s="511"/>
      <c r="F437" s="511"/>
      <c r="G437" s="511"/>
      <c r="H437" s="511"/>
      <c r="I437" s="511"/>
      <c r="J437" s="511"/>
      <c r="K437" s="511"/>
      <c r="L437" s="511"/>
      <c r="M437" s="511"/>
      <c r="N437" s="511"/>
      <c r="O437" s="511"/>
      <c r="P437" s="511"/>
      <c r="Q437" s="511"/>
      <c r="R437" s="511"/>
      <c r="S437" s="511"/>
      <c r="T437" s="511"/>
      <c r="U437" s="511"/>
      <c r="V437" s="511"/>
      <c r="W437" s="511"/>
      <c r="X437" s="511"/>
      <c r="Y437" s="511"/>
      <c r="Z437" s="511"/>
      <c r="AA437" s="511"/>
      <c r="AB437" s="511"/>
      <c r="AC437" s="511"/>
      <c r="AD437" s="511"/>
      <c r="AE437" s="511"/>
      <c r="AF437" s="511"/>
      <c r="AG437" s="511"/>
      <c r="AH437" s="511"/>
      <c r="AI437" s="511"/>
      <c r="AJ437" s="511"/>
      <c r="AK437" s="511"/>
      <c r="AL437" s="511"/>
      <c r="AM437" s="511"/>
      <c r="AN437" s="511"/>
      <c r="AO437" s="511"/>
      <c r="AP437" s="511"/>
      <c r="AQ437" s="511"/>
      <c r="AR437" s="511"/>
      <c r="AS437" s="511"/>
      <c r="AT437" s="511"/>
      <c r="AU437" s="511"/>
      <c r="AV437" s="511"/>
      <c r="AW437" s="511"/>
      <c r="AX437" s="511"/>
      <c r="AY437" s="511"/>
      <c r="AZ437" s="511"/>
      <c r="BA437" s="511"/>
      <c r="BB437" s="511"/>
      <c r="BC437" s="511"/>
      <c r="BD437" s="511"/>
      <c r="BE437" s="511"/>
    </row>
    <row r="438" ht="15.75" customHeight="1">
      <c r="A438" s="511"/>
      <c r="B438" s="511"/>
      <c r="C438" s="511"/>
      <c r="D438" s="511"/>
      <c r="E438" s="511"/>
      <c r="F438" s="511"/>
      <c r="G438" s="511"/>
      <c r="H438" s="511"/>
      <c r="I438" s="511"/>
      <c r="J438" s="511"/>
      <c r="K438" s="511"/>
      <c r="L438" s="511"/>
      <c r="M438" s="511"/>
      <c r="N438" s="511"/>
      <c r="O438" s="511"/>
      <c r="P438" s="511"/>
      <c r="Q438" s="511"/>
      <c r="R438" s="511"/>
      <c r="S438" s="511"/>
      <c r="T438" s="511"/>
      <c r="U438" s="511"/>
      <c r="V438" s="511"/>
      <c r="W438" s="511"/>
      <c r="X438" s="511"/>
      <c r="Y438" s="511"/>
      <c r="Z438" s="511"/>
      <c r="AA438" s="511"/>
      <c r="AB438" s="511"/>
      <c r="AC438" s="511"/>
      <c r="AD438" s="511"/>
      <c r="AE438" s="511"/>
      <c r="AF438" s="511"/>
      <c r="AG438" s="511"/>
      <c r="AH438" s="511"/>
      <c r="AI438" s="511"/>
      <c r="AJ438" s="511"/>
      <c r="AK438" s="511"/>
      <c r="AL438" s="511"/>
      <c r="AM438" s="511"/>
      <c r="AN438" s="511"/>
      <c r="AO438" s="511"/>
      <c r="AP438" s="511"/>
      <c r="AQ438" s="511"/>
      <c r="AR438" s="511"/>
      <c r="AS438" s="511"/>
      <c r="AT438" s="511"/>
      <c r="AU438" s="511"/>
      <c r="AV438" s="511"/>
      <c r="AW438" s="511"/>
      <c r="AX438" s="511"/>
      <c r="AY438" s="511"/>
      <c r="AZ438" s="511"/>
      <c r="BA438" s="511"/>
      <c r="BB438" s="511"/>
      <c r="BC438" s="511"/>
      <c r="BD438" s="511"/>
      <c r="BE438" s="511"/>
    </row>
    <row r="439" ht="15.75" customHeight="1">
      <c r="A439" s="511"/>
      <c r="B439" s="511"/>
      <c r="C439" s="511"/>
      <c r="D439" s="511"/>
      <c r="E439" s="511"/>
      <c r="F439" s="511"/>
      <c r="G439" s="511"/>
      <c r="H439" s="511"/>
      <c r="I439" s="511"/>
      <c r="J439" s="511"/>
      <c r="K439" s="511"/>
      <c r="L439" s="511"/>
      <c r="M439" s="511"/>
      <c r="N439" s="511"/>
      <c r="O439" s="511"/>
      <c r="P439" s="511"/>
      <c r="Q439" s="511"/>
      <c r="R439" s="511"/>
      <c r="S439" s="511"/>
      <c r="T439" s="511"/>
      <c r="U439" s="511"/>
      <c r="V439" s="511"/>
      <c r="W439" s="511"/>
      <c r="X439" s="511"/>
      <c r="Y439" s="511"/>
      <c r="Z439" s="511"/>
      <c r="AA439" s="511"/>
      <c r="AB439" s="511"/>
      <c r="AC439" s="511"/>
      <c r="AD439" s="511"/>
      <c r="AE439" s="511"/>
      <c r="AF439" s="511"/>
      <c r="AG439" s="511"/>
      <c r="AH439" s="511"/>
      <c r="AI439" s="511"/>
      <c r="AJ439" s="511"/>
      <c r="AK439" s="511"/>
      <c r="AL439" s="511"/>
      <c r="AM439" s="511"/>
      <c r="AN439" s="511"/>
      <c r="AO439" s="511"/>
      <c r="AP439" s="511"/>
      <c r="AQ439" s="511"/>
      <c r="AR439" s="511"/>
      <c r="AS439" s="511"/>
      <c r="AT439" s="511"/>
      <c r="AU439" s="511"/>
      <c r="AV439" s="511"/>
      <c r="AW439" s="511"/>
      <c r="AX439" s="511"/>
      <c r="AY439" s="511"/>
      <c r="AZ439" s="511"/>
      <c r="BA439" s="511"/>
      <c r="BB439" s="511"/>
      <c r="BC439" s="511"/>
      <c r="BD439" s="511"/>
      <c r="BE439" s="511"/>
    </row>
    <row r="440" ht="15.75" customHeight="1">
      <c r="A440" s="511"/>
      <c r="B440" s="511"/>
      <c r="C440" s="511"/>
      <c r="D440" s="511"/>
      <c r="E440" s="511"/>
      <c r="F440" s="511"/>
      <c r="G440" s="511"/>
      <c r="H440" s="511"/>
      <c r="I440" s="511"/>
      <c r="J440" s="511"/>
      <c r="K440" s="511"/>
      <c r="L440" s="511"/>
      <c r="M440" s="511"/>
      <c r="N440" s="511"/>
      <c r="O440" s="511"/>
      <c r="P440" s="511"/>
      <c r="Q440" s="511"/>
      <c r="R440" s="511"/>
      <c r="S440" s="511"/>
      <c r="T440" s="511"/>
      <c r="U440" s="511"/>
      <c r="V440" s="511"/>
      <c r="W440" s="511"/>
      <c r="X440" s="511"/>
      <c r="Y440" s="511"/>
      <c r="Z440" s="511"/>
      <c r="AA440" s="511"/>
      <c r="AB440" s="511"/>
      <c r="AC440" s="511"/>
      <c r="AD440" s="511"/>
      <c r="AE440" s="511"/>
      <c r="AF440" s="511"/>
      <c r="AG440" s="511"/>
      <c r="AH440" s="511"/>
      <c r="AI440" s="511"/>
      <c r="AJ440" s="511"/>
      <c r="AK440" s="511"/>
      <c r="AL440" s="511"/>
      <c r="AM440" s="511"/>
      <c r="AN440" s="511"/>
      <c r="AO440" s="511"/>
      <c r="AP440" s="511"/>
      <c r="AQ440" s="511"/>
      <c r="AR440" s="511"/>
      <c r="AS440" s="511"/>
      <c r="AT440" s="511"/>
      <c r="AU440" s="511"/>
      <c r="AV440" s="511"/>
      <c r="AW440" s="511"/>
      <c r="AX440" s="511"/>
      <c r="AY440" s="511"/>
      <c r="AZ440" s="511"/>
      <c r="BA440" s="511"/>
      <c r="BB440" s="511"/>
      <c r="BC440" s="511"/>
      <c r="BD440" s="511"/>
      <c r="BE440" s="511"/>
    </row>
    <row r="441" ht="15.75" customHeight="1">
      <c r="A441" s="511"/>
      <c r="B441" s="511"/>
      <c r="C441" s="511"/>
      <c r="D441" s="511"/>
      <c r="E441" s="511"/>
      <c r="F441" s="511"/>
      <c r="G441" s="511"/>
      <c r="H441" s="511"/>
      <c r="I441" s="511"/>
      <c r="J441" s="511"/>
      <c r="K441" s="511"/>
      <c r="L441" s="511"/>
      <c r="M441" s="511"/>
      <c r="N441" s="511"/>
      <c r="O441" s="511"/>
      <c r="P441" s="511"/>
      <c r="Q441" s="511"/>
      <c r="R441" s="511"/>
      <c r="S441" s="511"/>
      <c r="T441" s="511"/>
      <c r="U441" s="511"/>
      <c r="V441" s="511"/>
      <c r="W441" s="511"/>
      <c r="X441" s="511"/>
      <c r="Y441" s="511"/>
      <c r="Z441" s="511"/>
      <c r="AA441" s="511"/>
      <c r="AB441" s="511"/>
      <c r="AC441" s="511"/>
      <c r="AD441" s="511"/>
      <c r="AE441" s="511"/>
      <c r="AF441" s="511"/>
      <c r="AG441" s="511"/>
      <c r="AH441" s="511"/>
      <c r="AI441" s="511"/>
      <c r="AJ441" s="511"/>
      <c r="AK441" s="511"/>
      <c r="AL441" s="511"/>
      <c r="AM441" s="511"/>
      <c r="AN441" s="511"/>
      <c r="AO441" s="511"/>
      <c r="AP441" s="511"/>
      <c r="AQ441" s="511"/>
      <c r="AR441" s="511"/>
      <c r="AS441" s="511"/>
      <c r="AT441" s="511"/>
      <c r="AU441" s="511"/>
      <c r="AV441" s="511"/>
      <c r="AW441" s="511"/>
      <c r="AX441" s="511"/>
      <c r="AY441" s="511"/>
      <c r="AZ441" s="511"/>
      <c r="BA441" s="511"/>
      <c r="BB441" s="511"/>
      <c r="BC441" s="511"/>
      <c r="BD441" s="511"/>
      <c r="BE441" s="511"/>
    </row>
    <row r="442" ht="15.75" customHeight="1">
      <c r="A442" s="511"/>
      <c r="B442" s="511"/>
      <c r="C442" s="511"/>
      <c r="D442" s="511"/>
      <c r="E442" s="511"/>
      <c r="F442" s="511"/>
      <c r="G442" s="511"/>
      <c r="H442" s="511"/>
      <c r="I442" s="511"/>
      <c r="J442" s="511"/>
      <c r="K442" s="511"/>
      <c r="L442" s="511"/>
      <c r="M442" s="511"/>
      <c r="N442" s="511"/>
      <c r="O442" s="511"/>
      <c r="P442" s="511"/>
      <c r="Q442" s="511"/>
      <c r="R442" s="511"/>
      <c r="S442" s="511"/>
      <c r="T442" s="511"/>
      <c r="U442" s="511"/>
      <c r="V442" s="511"/>
      <c r="W442" s="511"/>
      <c r="X442" s="511"/>
      <c r="Y442" s="511"/>
      <c r="Z442" s="511"/>
      <c r="AA442" s="511"/>
      <c r="AB442" s="511"/>
      <c r="AC442" s="511"/>
      <c r="AD442" s="511"/>
      <c r="AE442" s="511"/>
      <c r="AF442" s="511"/>
      <c r="AG442" s="511"/>
      <c r="AH442" s="511"/>
      <c r="AI442" s="511"/>
      <c r="AJ442" s="511"/>
      <c r="AK442" s="511"/>
      <c r="AL442" s="511"/>
      <c r="AM442" s="511"/>
      <c r="AN442" s="511"/>
      <c r="AO442" s="511"/>
      <c r="AP442" s="511"/>
      <c r="AQ442" s="511"/>
      <c r="AR442" s="511"/>
      <c r="AS442" s="511"/>
      <c r="AT442" s="511"/>
      <c r="AU442" s="511"/>
      <c r="AV442" s="511"/>
      <c r="AW442" s="511"/>
      <c r="AX442" s="511"/>
      <c r="AY442" s="511"/>
      <c r="AZ442" s="511"/>
      <c r="BA442" s="511"/>
      <c r="BB442" s="511"/>
      <c r="BC442" s="511"/>
      <c r="BD442" s="511"/>
      <c r="BE442" s="511"/>
    </row>
    <row r="443" ht="15.75" customHeight="1">
      <c r="A443" s="511"/>
      <c r="B443" s="511"/>
      <c r="C443" s="511"/>
      <c r="D443" s="511"/>
      <c r="E443" s="511"/>
      <c r="F443" s="511"/>
      <c r="G443" s="511"/>
      <c r="H443" s="511"/>
      <c r="I443" s="511"/>
      <c r="J443" s="511"/>
      <c r="K443" s="511"/>
      <c r="L443" s="511"/>
      <c r="M443" s="511"/>
      <c r="N443" s="511"/>
      <c r="O443" s="511"/>
      <c r="P443" s="511"/>
      <c r="Q443" s="511"/>
      <c r="R443" s="511"/>
      <c r="S443" s="511"/>
      <c r="T443" s="511"/>
      <c r="U443" s="511"/>
      <c r="V443" s="511"/>
      <c r="W443" s="511"/>
      <c r="X443" s="511"/>
      <c r="Y443" s="511"/>
      <c r="Z443" s="511"/>
      <c r="AA443" s="511"/>
      <c r="AB443" s="511"/>
      <c r="AC443" s="511"/>
      <c r="AD443" s="511"/>
      <c r="AE443" s="511"/>
      <c r="AF443" s="511"/>
      <c r="AG443" s="511"/>
      <c r="AH443" s="511"/>
      <c r="AI443" s="511"/>
      <c r="AJ443" s="511"/>
      <c r="AK443" s="511"/>
      <c r="AL443" s="511"/>
      <c r="AM443" s="511"/>
      <c r="AN443" s="511"/>
      <c r="AO443" s="511"/>
      <c r="AP443" s="511"/>
      <c r="AQ443" s="511"/>
      <c r="AR443" s="511"/>
      <c r="AS443" s="511"/>
      <c r="AT443" s="511"/>
      <c r="AU443" s="511"/>
      <c r="AV443" s="511"/>
      <c r="AW443" s="511"/>
      <c r="AX443" s="511"/>
      <c r="AY443" s="511"/>
      <c r="AZ443" s="511"/>
      <c r="BA443" s="511"/>
      <c r="BB443" s="511"/>
      <c r="BC443" s="511"/>
      <c r="BD443" s="511"/>
      <c r="BE443" s="511"/>
    </row>
    <row r="444" ht="15.75" customHeight="1">
      <c r="A444" s="511"/>
      <c r="B444" s="511"/>
      <c r="C444" s="511"/>
      <c r="D444" s="511"/>
      <c r="E444" s="511"/>
      <c r="F444" s="511"/>
      <c r="G444" s="511"/>
      <c r="H444" s="511"/>
      <c r="I444" s="511"/>
      <c r="J444" s="511"/>
      <c r="K444" s="511"/>
      <c r="L444" s="511"/>
      <c r="M444" s="511"/>
      <c r="N444" s="511"/>
      <c r="O444" s="511"/>
      <c r="P444" s="511"/>
      <c r="Q444" s="511"/>
      <c r="R444" s="511"/>
      <c r="S444" s="511"/>
      <c r="T444" s="511"/>
      <c r="U444" s="511"/>
      <c r="V444" s="511"/>
      <c r="W444" s="511"/>
      <c r="X444" s="511"/>
      <c r="Y444" s="511"/>
      <c r="Z444" s="511"/>
      <c r="AA444" s="511"/>
      <c r="AB444" s="511"/>
      <c r="AC444" s="511"/>
      <c r="AD444" s="511"/>
      <c r="AE444" s="511"/>
      <c r="AF444" s="511"/>
      <c r="AG444" s="511"/>
      <c r="AH444" s="511"/>
      <c r="AI444" s="511"/>
      <c r="AJ444" s="511"/>
      <c r="AK444" s="511"/>
      <c r="AL444" s="511"/>
      <c r="AM444" s="511"/>
      <c r="AN444" s="511"/>
      <c r="AO444" s="511"/>
      <c r="AP444" s="511"/>
      <c r="AQ444" s="511"/>
      <c r="AR444" s="511"/>
      <c r="AS444" s="511"/>
      <c r="AT444" s="511"/>
      <c r="AU444" s="511"/>
      <c r="AV444" s="511"/>
      <c r="AW444" s="511"/>
      <c r="AX444" s="511"/>
      <c r="AY444" s="511"/>
      <c r="AZ444" s="511"/>
      <c r="BA444" s="511"/>
      <c r="BB444" s="511"/>
      <c r="BC444" s="511"/>
      <c r="BD444" s="511"/>
      <c r="BE444" s="511"/>
    </row>
    <row r="445" ht="15.75" customHeight="1">
      <c r="A445" s="511"/>
      <c r="B445" s="511"/>
      <c r="C445" s="511"/>
      <c r="D445" s="511"/>
      <c r="E445" s="511"/>
      <c r="F445" s="511"/>
      <c r="G445" s="511"/>
      <c r="H445" s="511"/>
      <c r="I445" s="511"/>
      <c r="J445" s="511"/>
      <c r="K445" s="511"/>
      <c r="L445" s="511"/>
      <c r="M445" s="511"/>
      <c r="N445" s="511"/>
      <c r="O445" s="511"/>
      <c r="P445" s="511"/>
      <c r="Q445" s="511"/>
      <c r="R445" s="511"/>
      <c r="S445" s="511"/>
      <c r="T445" s="511"/>
      <c r="U445" s="511"/>
      <c r="V445" s="511"/>
      <c r="W445" s="511"/>
      <c r="X445" s="511"/>
      <c r="Y445" s="511"/>
      <c r="Z445" s="511"/>
      <c r="AA445" s="511"/>
      <c r="AB445" s="511"/>
      <c r="AC445" s="511"/>
      <c r="AD445" s="511"/>
      <c r="AE445" s="511"/>
      <c r="AF445" s="511"/>
      <c r="AG445" s="511"/>
      <c r="AH445" s="511"/>
      <c r="AI445" s="511"/>
      <c r="AJ445" s="511"/>
      <c r="AK445" s="511"/>
      <c r="AL445" s="511"/>
      <c r="AM445" s="511"/>
      <c r="AN445" s="511"/>
      <c r="AO445" s="511"/>
      <c r="AP445" s="511"/>
      <c r="AQ445" s="511"/>
      <c r="AR445" s="511"/>
      <c r="AS445" s="511"/>
      <c r="AT445" s="511"/>
      <c r="AU445" s="511"/>
      <c r="AV445" s="511"/>
      <c r="AW445" s="511"/>
      <c r="AX445" s="511"/>
      <c r="AY445" s="511"/>
      <c r="AZ445" s="511"/>
      <c r="BA445" s="511"/>
      <c r="BB445" s="511"/>
      <c r="BC445" s="511"/>
      <c r="BD445" s="511"/>
      <c r="BE445" s="511"/>
    </row>
    <row r="446" ht="15.75" customHeight="1">
      <c r="A446" s="511"/>
      <c r="B446" s="511"/>
      <c r="C446" s="511"/>
      <c r="D446" s="511"/>
      <c r="E446" s="511"/>
      <c r="F446" s="511"/>
      <c r="G446" s="511"/>
      <c r="H446" s="511"/>
      <c r="I446" s="511"/>
      <c r="J446" s="511"/>
      <c r="K446" s="511"/>
      <c r="L446" s="511"/>
      <c r="M446" s="511"/>
      <c r="N446" s="511"/>
      <c r="O446" s="511"/>
      <c r="P446" s="511"/>
      <c r="Q446" s="511"/>
      <c r="R446" s="511"/>
      <c r="S446" s="511"/>
      <c r="T446" s="511"/>
      <c r="U446" s="511"/>
      <c r="V446" s="511"/>
      <c r="W446" s="511"/>
      <c r="X446" s="511"/>
      <c r="Y446" s="511"/>
      <c r="Z446" s="511"/>
      <c r="AA446" s="511"/>
      <c r="AB446" s="511"/>
      <c r="AC446" s="511"/>
      <c r="AD446" s="511"/>
      <c r="AE446" s="511"/>
      <c r="AF446" s="511"/>
      <c r="AG446" s="511"/>
      <c r="AH446" s="511"/>
      <c r="AI446" s="511"/>
      <c r="AJ446" s="511"/>
      <c r="AK446" s="511"/>
      <c r="AL446" s="511"/>
      <c r="AM446" s="511"/>
      <c r="AN446" s="511"/>
      <c r="AO446" s="511"/>
      <c r="AP446" s="511"/>
      <c r="AQ446" s="511"/>
      <c r="AR446" s="511"/>
      <c r="AS446" s="511"/>
      <c r="AT446" s="511"/>
      <c r="AU446" s="511"/>
      <c r="AV446" s="511"/>
      <c r="AW446" s="511"/>
      <c r="AX446" s="511"/>
      <c r="AY446" s="511"/>
      <c r="AZ446" s="511"/>
      <c r="BA446" s="511"/>
      <c r="BB446" s="511"/>
      <c r="BC446" s="511"/>
      <c r="BD446" s="511"/>
      <c r="BE446" s="511"/>
    </row>
    <row r="447" ht="15.75" customHeight="1">
      <c r="A447" s="511"/>
      <c r="B447" s="511"/>
      <c r="C447" s="511"/>
      <c r="D447" s="511"/>
      <c r="E447" s="511"/>
      <c r="F447" s="511"/>
      <c r="G447" s="511"/>
      <c r="H447" s="511"/>
      <c r="I447" s="511"/>
      <c r="J447" s="511"/>
      <c r="K447" s="511"/>
      <c r="L447" s="511"/>
      <c r="M447" s="511"/>
      <c r="N447" s="511"/>
      <c r="O447" s="511"/>
      <c r="P447" s="511"/>
      <c r="Q447" s="511"/>
      <c r="R447" s="511"/>
      <c r="S447" s="511"/>
      <c r="T447" s="511"/>
      <c r="U447" s="511"/>
      <c r="V447" s="511"/>
      <c r="W447" s="511"/>
      <c r="X447" s="511"/>
      <c r="Y447" s="511"/>
      <c r="Z447" s="511"/>
      <c r="AA447" s="511"/>
      <c r="AB447" s="511"/>
      <c r="AC447" s="511"/>
      <c r="AD447" s="511"/>
      <c r="AE447" s="511"/>
      <c r="AF447" s="511"/>
      <c r="AG447" s="511"/>
      <c r="AH447" s="511"/>
      <c r="AI447" s="511"/>
      <c r="AJ447" s="511"/>
      <c r="AK447" s="511"/>
      <c r="AL447" s="511"/>
      <c r="AM447" s="511"/>
      <c r="AN447" s="511"/>
      <c r="AO447" s="511"/>
      <c r="AP447" s="511"/>
      <c r="AQ447" s="511"/>
      <c r="AR447" s="511"/>
      <c r="AS447" s="511"/>
      <c r="AT447" s="511"/>
      <c r="AU447" s="511"/>
      <c r="AV447" s="511"/>
      <c r="AW447" s="511"/>
      <c r="AX447" s="511"/>
      <c r="AY447" s="511"/>
      <c r="AZ447" s="511"/>
      <c r="BA447" s="511"/>
      <c r="BB447" s="511"/>
      <c r="BC447" s="511"/>
      <c r="BD447" s="511"/>
      <c r="BE447" s="511"/>
    </row>
    <row r="448" ht="15.75" customHeight="1">
      <c r="A448" s="511"/>
      <c r="B448" s="511"/>
      <c r="C448" s="511"/>
      <c r="D448" s="511"/>
      <c r="E448" s="511"/>
      <c r="F448" s="511"/>
      <c r="G448" s="511"/>
      <c r="H448" s="511"/>
      <c r="I448" s="511"/>
      <c r="J448" s="511"/>
      <c r="K448" s="511"/>
      <c r="L448" s="511"/>
      <c r="M448" s="511"/>
      <c r="N448" s="511"/>
      <c r="O448" s="511"/>
      <c r="P448" s="511"/>
      <c r="Q448" s="511"/>
      <c r="R448" s="511"/>
      <c r="S448" s="511"/>
      <c r="T448" s="511"/>
      <c r="U448" s="511"/>
      <c r="V448" s="511"/>
      <c r="W448" s="511"/>
      <c r="X448" s="511"/>
      <c r="Y448" s="511"/>
      <c r="Z448" s="511"/>
      <c r="AA448" s="511"/>
      <c r="AB448" s="511"/>
      <c r="AC448" s="511"/>
      <c r="AD448" s="511"/>
      <c r="AE448" s="511"/>
      <c r="AF448" s="511"/>
      <c r="AG448" s="511"/>
      <c r="AH448" s="511"/>
      <c r="AI448" s="511"/>
      <c r="AJ448" s="511"/>
      <c r="AK448" s="511"/>
      <c r="AL448" s="511"/>
      <c r="AM448" s="511"/>
      <c r="AN448" s="511"/>
      <c r="AO448" s="511"/>
      <c r="AP448" s="511"/>
      <c r="AQ448" s="511"/>
      <c r="AR448" s="511"/>
      <c r="AS448" s="511"/>
      <c r="AT448" s="511"/>
      <c r="AU448" s="511"/>
      <c r="AV448" s="511"/>
      <c r="AW448" s="511"/>
      <c r="AX448" s="511"/>
      <c r="AY448" s="511"/>
      <c r="AZ448" s="511"/>
      <c r="BA448" s="511"/>
      <c r="BB448" s="511"/>
      <c r="BC448" s="511"/>
      <c r="BD448" s="511"/>
      <c r="BE448" s="511"/>
    </row>
    <row r="449" ht="15.75" customHeight="1">
      <c r="A449" s="511"/>
      <c r="B449" s="511"/>
      <c r="C449" s="511"/>
      <c r="D449" s="511"/>
      <c r="E449" s="511"/>
      <c r="F449" s="511"/>
      <c r="G449" s="511"/>
      <c r="H449" s="511"/>
      <c r="I449" s="511"/>
      <c r="J449" s="511"/>
      <c r="K449" s="511"/>
      <c r="L449" s="511"/>
      <c r="M449" s="511"/>
      <c r="N449" s="511"/>
      <c r="O449" s="511"/>
      <c r="P449" s="511"/>
      <c r="Q449" s="511"/>
      <c r="R449" s="511"/>
      <c r="S449" s="511"/>
      <c r="T449" s="511"/>
      <c r="U449" s="511"/>
      <c r="V449" s="511"/>
      <c r="W449" s="511"/>
      <c r="X449" s="511"/>
      <c r="Y449" s="511"/>
      <c r="Z449" s="511"/>
      <c r="AA449" s="511"/>
      <c r="AB449" s="511"/>
      <c r="AC449" s="511"/>
      <c r="AD449" s="511"/>
      <c r="AE449" s="511"/>
      <c r="AF449" s="511"/>
      <c r="AG449" s="511"/>
      <c r="AH449" s="511"/>
      <c r="AI449" s="511"/>
      <c r="AJ449" s="511"/>
      <c r="AK449" s="511"/>
      <c r="AL449" s="511"/>
      <c r="AM449" s="511"/>
      <c r="AN449" s="511"/>
      <c r="AO449" s="511"/>
      <c r="AP449" s="511"/>
      <c r="AQ449" s="511"/>
      <c r="AR449" s="511"/>
      <c r="AS449" s="511"/>
      <c r="AT449" s="511"/>
      <c r="AU449" s="511"/>
      <c r="AV449" s="511"/>
      <c r="AW449" s="511"/>
      <c r="AX449" s="511"/>
      <c r="AY449" s="511"/>
      <c r="AZ449" s="511"/>
      <c r="BA449" s="511"/>
      <c r="BB449" s="511"/>
      <c r="BC449" s="511"/>
      <c r="BD449" s="511"/>
      <c r="BE449" s="511"/>
    </row>
    <row r="450" ht="15.75" customHeight="1">
      <c r="A450" s="511"/>
      <c r="B450" s="511"/>
      <c r="C450" s="511"/>
      <c r="D450" s="511"/>
      <c r="E450" s="511"/>
      <c r="F450" s="511"/>
      <c r="G450" s="511"/>
      <c r="H450" s="511"/>
      <c r="I450" s="511"/>
      <c r="J450" s="511"/>
      <c r="K450" s="511"/>
      <c r="L450" s="511"/>
      <c r="M450" s="511"/>
      <c r="N450" s="511"/>
      <c r="O450" s="511"/>
      <c r="P450" s="511"/>
      <c r="Q450" s="511"/>
      <c r="R450" s="511"/>
      <c r="S450" s="511"/>
      <c r="T450" s="511"/>
      <c r="U450" s="511"/>
      <c r="V450" s="511"/>
      <c r="W450" s="511"/>
      <c r="X450" s="511"/>
      <c r="Y450" s="511"/>
      <c r="Z450" s="511"/>
      <c r="AA450" s="511"/>
      <c r="AB450" s="511"/>
      <c r="AC450" s="511"/>
      <c r="AD450" s="511"/>
      <c r="AE450" s="511"/>
      <c r="AF450" s="511"/>
      <c r="AG450" s="511"/>
      <c r="AH450" s="511"/>
      <c r="AI450" s="511"/>
      <c r="AJ450" s="511"/>
      <c r="AK450" s="511"/>
      <c r="AL450" s="511"/>
      <c r="AM450" s="511"/>
      <c r="AN450" s="511"/>
      <c r="AO450" s="511"/>
      <c r="AP450" s="511"/>
      <c r="AQ450" s="511"/>
      <c r="AR450" s="511"/>
      <c r="AS450" s="511"/>
      <c r="AT450" s="511"/>
      <c r="AU450" s="511"/>
      <c r="AV450" s="511"/>
      <c r="AW450" s="511"/>
      <c r="AX450" s="511"/>
      <c r="AY450" s="511"/>
      <c r="AZ450" s="511"/>
      <c r="BA450" s="511"/>
      <c r="BB450" s="511"/>
      <c r="BC450" s="511"/>
      <c r="BD450" s="511"/>
      <c r="BE450" s="511"/>
    </row>
    <row r="451" ht="15.75" customHeight="1">
      <c r="A451" s="511"/>
      <c r="B451" s="511"/>
      <c r="C451" s="511"/>
      <c r="D451" s="511"/>
      <c r="E451" s="511"/>
      <c r="F451" s="511"/>
      <c r="G451" s="511"/>
      <c r="H451" s="511"/>
      <c r="I451" s="511"/>
      <c r="J451" s="511"/>
      <c r="K451" s="511"/>
      <c r="L451" s="511"/>
      <c r="M451" s="511"/>
      <c r="N451" s="511"/>
      <c r="O451" s="511"/>
      <c r="P451" s="511"/>
      <c r="Q451" s="511"/>
      <c r="R451" s="511"/>
      <c r="S451" s="511"/>
      <c r="T451" s="511"/>
      <c r="U451" s="511"/>
      <c r="V451" s="511"/>
      <c r="W451" s="511"/>
      <c r="X451" s="511"/>
      <c r="Y451" s="511"/>
      <c r="Z451" s="511"/>
      <c r="AA451" s="511"/>
      <c r="AB451" s="511"/>
      <c r="AC451" s="511"/>
      <c r="AD451" s="511"/>
      <c r="AE451" s="511"/>
      <c r="AF451" s="511"/>
      <c r="AG451" s="511"/>
      <c r="AH451" s="511"/>
      <c r="AI451" s="511"/>
      <c r="AJ451" s="511"/>
      <c r="AK451" s="511"/>
      <c r="AL451" s="511"/>
      <c r="AM451" s="511"/>
      <c r="AN451" s="511"/>
      <c r="AO451" s="511"/>
      <c r="AP451" s="511"/>
      <c r="AQ451" s="511"/>
      <c r="AR451" s="511"/>
      <c r="AS451" s="511"/>
      <c r="AT451" s="511"/>
      <c r="AU451" s="511"/>
      <c r="AV451" s="511"/>
      <c r="AW451" s="511"/>
      <c r="AX451" s="511"/>
      <c r="AY451" s="511"/>
      <c r="AZ451" s="511"/>
      <c r="BA451" s="511"/>
      <c r="BB451" s="511"/>
      <c r="BC451" s="511"/>
      <c r="BD451" s="511"/>
      <c r="BE451" s="511"/>
    </row>
    <row r="452" ht="15.75" customHeight="1">
      <c r="A452" s="511"/>
      <c r="B452" s="511"/>
      <c r="C452" s="511"/>
      <c r="D452" s="511"/>
      <c r="E452" s="511"/>
      <c r="F452" s="511"/>
      <c r="G452" s="511"/>
      <c r="H452" s="511"/>
      <c r="I452" s="511"/>
      <c r="J452" s="511"/>
      <c r="K452" s="511"/>
      <c r="L452" s="511"/>
      <c r="M452" s="511"/>
      <c r="N452" s="511"/>
      <c r="O452" s="511"/>
      <c r="P452" s="511"/>
      <c r="Q452" s="511"/>
      <c r="R452" s="511"/>
      <c r="S452" s="511"/>
      <c r="T452" s="511"/>
      <c r="U452" s="511"/>
      <c r="V452" s="511"/>
      <c r="W452" s="511"/>
      <c r="X452" s="511"/>
      <c r="Y452" s="511"/>
      <c r="Z452" s="511"/>
      <c r="AA452" s="511"/>
      <c r="AB452" s="511"/>
      <c r="AC452" s="511"/>
      <c r="AD452" s="511"/>
      <c r="AE452" s="511"/>
      <c r="AF452" s="511"/>
      <c r="AG452" s="511"/>
      <c r="AH452" s="511"/>
      <c r="AI452" s="511"/>
      <c r="AJ452" s="511"/>
      <c r="AK452" s="511"/>
      <c r="AL452" s="511"/>
      <c r="AM452" s="511"/>
      <c r="AN452" s="511"/>
      <c r="AO452" s="511"/>
      <c r="AP452" s="511"/>
      <c r="AQ452" s="511"/>
      <c r="AR452" s="511"/>
      <c r="AS452" s="511"/>
      <c r="AT452" s="511"/>
      <c r="AU452" s="511"/>
      <c r="AV452" s="511"/>
      <c r="AW452" s="511"/>
      <c r="AX452" s="511"/>
      <c r="AY452" s="511"/>
      <c r="AZ452" s="511"/>
      <c r="BA452" s="511"/>
      <c r="BB452" s="511"/>
      <c r="BC452" s="511"/>
      <c r="BD452" s="511"/>
      <c r="BE452" s="511"/>
    </row>
    <row r="453" ht="15.75" customHeight="1">
      <c r="A453" s="511"/>
      <c r="B453" s="511"/>
      <c r="C453" s="511"/>
      <c r="D453" s="511"/>
      <c r="E453" s="511"/>
      <c r="F453" s="511"/>
      <c r="G453" s="511"/>
      <c r="H453" s="511"/>
      <c r="I453" s="511"/>
      <c r="J453" s="511"/>
      <c r="K453" s="511"/>
      <c r="L453" s="511"/>
      <c r="M453" s="511"/>
      <c r="N453" s="511"/>
      <c r="O453" s="511"/>
      <c r="P453" s="511"/>
      <c r="Q453" s="511"/>
      <c r="R453" s="511"/>
      <c r="S453" s="511"/>
      <c r="T453" s="511"/>
      <c r="U453" s="511"/>
      <c r="V453" s="511"/>
      <c r="W453" s="511"/>
      <c r="X453" s="511"/>
      <c r="Y453" s="511"/>
      <c r="Z453" s="511"/>
      <c r="AA453" s="511"/>
      <c r="AB453" s="511"/>
      <c r="AC453" s="511"/>
      <c r="AD453" s="511"/>
      <c r="AE453" s="511"/>
      <c r="AF453" s="511"/>
      <c r="AG453" s="511"/>
      <c r="AH453" s="511"/>
      <c r="AI453" s="511"/>
      <c r="AJ453" s="511"/>
      <c r="AK453" s="511"/>
      <c r="AL453" s="511"/>
      <c r="AM453" s="511"/>
      <c r="AN453" s="511"/>
      <c r="AO453" s="511"/>
      <c r="AP453" s="511"/>
      <c r="AQ453" s="511"/>
      <c r="AR453" s="511"/>
      <c r="AS453" s="511"/>
      <c r="AT453" s="511"/>
      <c r="AU453" s="511"/>
      <c r="AV453" s="511"/>
      <c r="AW453" s="511"/>
      <c r="AX453" s="511"/>
      <c r="AY453" s="511"/>
      <c r="AZ453" s="511"/>
      <c r="BA453" s="511"/>
      <c r="BB453" s="511"/>
      <c r="BC453" s="511"/>
      <c r="BD453" s="511"/>
      <c r="BE453" s="511"/>
    </row>
    <row r="454" ht="15.75" customHeight="1">
      <c r="A454" s="511"/>
      <c r="B454" s="511"/>
      <c r="C454" s="511"/>
      <c r="D454" s="511"/>
      <c r="E454" s="511"/>
      <c r="F454" s="511"/>
      <c r="G454" s="511"/>
      <c r="H454" s="511"/>
      <c r="I454" s="511"/>
      <c r="J454" s="511"/>
      <c r="K454" s="511"/>
      <c r="L454" s="511"/>
      <c r="M454" s="511"/>
      <c r="N454" s="511"/>
      <c r="O454" s="511"/>
      <c r="P454" s="511"/>
      <c r="Q454" s="511"/>
      <c r="R454" s="511"/>
      <c r="S454" s="511"/>
      <c r="T454" s="511"/>
      <c r="U454" s="511"/>
      <c r="V454" s="511"/>
      <c r="W454" s="511"/>
      <c r="X454" s="511"/>
      <c r="Y454" s="511"/>
      <c r="Z454" s="511"/>
      <c r="AA454" s="511"/>
      <c r="AB454" s="511"/>
      <c r="AC454" s="511"/>
      <c r="AD454" s="511"/>
      <c r="AE454" s="511"/>
      <c r="AF454" s="511"/>
      <c r="AG454" s="511"/>
      <c r="AH454" s="511"/>
      <c r="AI454" s="511"/>
      <c r="AJ454" s="511"/>
      <c r="AK454" s="511"/>
      <c r="AL454" s="511"/>
      <c r="AM454" s="511"/>
      <c r="AN454" s="511"/>
      <c r="AO454" s="511"/>
      <c r="AP454" s="511"/>
      <c r="AQ454" s="511"/>
      <c r="AR454" s="511"/>
      <c r="AS454" s="511"/>
      <c r="AT454" s="511"/>
      <c r="AU454" s="511"/>
      <c r="AV454" s="511"/>
      <c r="AW454" s="511"/>
      <c r="AX454" s="511"/>
      <c r="AY454" s="511"/>
      <c r="AZ454" s="511"/>
      <c r="BA454" s="511"/>
      <c r="BB454" s="511"/>
      <c r="BC454" s="511"/>
      <c r="BD454" s="511"/>
      <c r="BE454" s="511"/>
    </row>
    <row r="455" ht="15.75" customHeight="1">
      <c r="A455" s="511"/>
      <c r="B455" s="511"/>
      <c r="C455" s="511"/>
      <c r="D455" s="511"/>
      <c r="E455" s="511"/>
      <c r="F455" s="511"/>
      <c r="G455" s="511"/>
      <c r="H455" s="511"/>
      <c r="I455" s="511"/>
      <c r="J455" s="511"/>
      <c r="K455" s="511"/>
      <c r="L455" s="511"/>
      <c r="M455" s="511"/>
      <c r="N455" s="511"/>
      <c r="O455" s="511"/>
      <c r="P455" s="511"/>
      <c r="Q455" s="511"/>
      <c r="R455" s="511"/>
      <c r="S455" s="511"/>
      <c r="T455" s="511"/>
      <c r="U455" s="511"/>
      <c r="V455" s="511"/>
      <c r="W455" s="511"/>
      <c r="X455" s="511"/>
      <c r="Y455" s="511"/>
      <c r="Z455" s="511"/>
      <c r="AA455" s="511"/>
      <c r="AB455" s="511"/>
      <c r="AC455" s="511"/>
      <c r="AD455" s="511"/>
      <c r="AE455" s="511"/>
      <c r="AF455" s="511"/>
      <c r="AG455" s="511"/>
      <c r="AH455" s="511"/>
      <c r="AI455" s="511"/>
      <c r="AJ455" s="511"/>
      <c r="AK455" s="511"/>
      <c r="AL455" s="511"/>
      <c r="AM455" s="511"/>
      <c r="AN455" s="511"/>
      <c r="AO455" s="511"/>
      <c r="AP455" s="511"/>
      <c r="AQ455" s="511"/>
      <c r="AR455" s="511"/>
      <c r="AS455" s="511"/>
      <c r="AT455" s="511"/>
      <c r="AU455" s="511"/>
      <c r="AV455" s="511"/>
      <c r="AW455" s="511"/>
      <c r="AX455" s="511"/>
      <c r="AY455" s="511"/>
      <c r="AZ455" s="511"/>
      <c r="BA455" s="511"/>
      <c r="BB455" s="511"/>
      <c r="BC455" s="511"/>
      <c r="BD455" s="511"/>
      <c r="BE455" s="511"/>
    </row>
    <row r="456" ht="15.75" customHeight="1">
      <c r="A456" s="511"/>
      <c r="B456" s="511"/>
      <c r="C456" s="511"/>
      <c r="D456" s="511"/>
      <c r="E456" s="511"/>
      <c r="F456" s="511"/>
      <c r="G456" s="511"/>
      <c r="H456" s="511"/>
      <c r="I456" s="511"/>
      <c r="J456" s="511"/>
      <c r="K456" s="511"/>
      <c r="L456" s="511"/>
      <c r="M456" s="511"/>
      <c r="N456" s="511"/>
      <c r="O456" s="511"/>
      <c r="P456" s="511"/>
      <c r="Q456" s="511"/>
      <c r="R456" s="511"/>
      <c r="S456" s="511"/>
      <c r="T456" s="511"/>
      <c r="U456" s="511"/>
      <c r="V456" s="511"/>
      <c r="W456" s="511"/>
      <c r="X456" s="511"/>
      <c r="Y456" s="511"/>
      <c r="Z456" s="511"/>
      <c r="AA456" s="511"/>
      <c r="AB456" s="511"/>
      <c r="AC456" s="511"/>
      <c r="AD456" s="511"/>
      <c r="AE456" s="511"/>
      <c r="AF456" s="511"/>
      <c r="AG456" s="511"/>
      <c r="AH456" s="511"/>
      <c r="AI456" s="511"/>
      <c r="AJ456" s="511"/>
      <c r="AK456" s="511"/>
      <c r="AL456" s="511"/>
      <c r="AM456" s="511"/>
      <c r="AN456" s="511"/>
      <c r="AO456" s="511"/>
      <c r="AP456" s="511"/>
      <c r="AQ456" s="511"/>
      <c r="AR456" s="511"/>
      <c r="AS456" s="511"/>
      <c r="AT456" s="511"/>
      <c r="AU456" s="511"/>
      <c r="AV456" s="511"/>
      <c r="AW456" s="511"/>
      <c r="AX456" s="511"/>
      <c r="AY456" s="511"/>
      <c r="AZ456" s="511"/>
      <c r="BA456" s="511"/>
      <c r="BB456" s="511"/>
      <c r="BC456" s="511"/>
      <c r="BD456" s="511"/>
      <c r="BE456" s="511"/>
    </row>
    <row r="457" ht="15.75" customHeight="1">
      <c r="A457" s="511"/>
      <c r="B457" s="511"/>
      <c r="C457" s="511"/>
      <c r="D457" s="511"/>
      <c r="E457" s="511"/>
      <c r="F457" s="511"/>
      <c r="G457" s="511"/>
      <c r="H457" s="511"/>
      <c r="I457" s="511"/>
      <c r="J457" s="511"/>
      <c r="K457" s="511"/>
      <c r="L457" s="511"/>
      <c r="M457" s="511"/>
      <c r="N457" s="511"/>
      <c r="O457" s="511"/>
      <c r="P457" s="511"/>
      <c r="Q457" s="511"/>
      <c r="R457" s="511"/>
      <c r="S457" s="511"/>
      <c r="T457" s="511"/>
      <c r="U457" s="511"/>
      <c r="V457" s="511"/>
      <c r="W457" s="511"/>
      <c r="X457" s="511"/>
      <c r="Y457" s="511"/>
      <c r="Z457" s="511"/>
      <c r="AA457" s="511"/>
      <c r="AB457" s="511"/>
      <c r="AC457" s="511"/>
      <c r="AD457" s="511"/>
      <c r="AE457" s="511"/>
      <c r="AF457" s="511"/>
      <c r="AG457" s="511"/>
      <c r="AH457" s="511"/>
      <c r="AI457" s="511"/>
      <c r="AJ457" s="511"/>
      <c r="AK457" s="511"/>
      <c r="AL457" s="511"/>
      <c r="AM457" s="511"/>
      <c r="AN457" s="511"/>
      <c r="AO457" s="511"/>
      <c r="AP457" s="511"/>
      <c r="AQ457" s="511"/>
      <c r="AR457" s="511"/>
      <c r="AS457" s="511"/>
      <c r="AT457" s="511"/>
      <c r="AU457" s="511"/>
      <c r="AV457" s="511"/>
      <c r="AW457" s="511"/>
      <c r="AX457" s="511"/>
      <c r="AY457" s="511"/>
      <c r="AZ457" s="511"/>
      <c r="BA457" s="511"/>
      <c r="BB457" s="511"/>
      <c r="BC457" s="511"/>
      <c r="BD457" s="511"/>
      <c r="BE457" s="511"/>
    </row>
    <row r="458" ht="15.75" customHeight="1">
      <c r="A458" s="511"/>
      <c r="B458" s="511"/>
      <c r="C458" s="511"/>
      <c r="D458" s="511"/>
      <c r="E458" s="511"/>
      <c r="F458" s="511"/>
      <c r="G458" s="511"/>
      <c r="H458" s="511"/>
      <c r="I458" s="511"/>
      <c r="J458" s="511"/>
      <c r="K458" s="511"/>
      <c r="L458" s="511"/>
      <c r="M458" s="511"/>
      <c r="N458" s="511"/>
      <c r="O458" s="511"/>
      <c r="P458" s="511"/>
      <c r="Q458" s="511"/>
      <c r="R458" s="511"/>
      <c r="S458" s="511"/>
      <c r="T458" s="511"/>
      <c r="U458" s="511"/>
      <c r="V458" s="511"/>
      <c r="W458" s="511"/>
      <c r="X458" s="511"/>
      <c r="Y458" s="511"/>
      <c r="Z458" s="511"/>
      <c r="AA458" s="511"/>
      <c r="AB458" s="511"/>
      <c r="AC458" s="511"/>
      <c r="AD458" s="511"/>
      <c r="AE458" s="511"/>
      <c r="AF458" s="511"/>
      <c r="AG458" s="511"/>
      <c r="AH458" s="511"/>
      <c r="AI458" s="511"/>
      <c r="AJ458" s="511"/>
      <c r="AK458" s="511"/>
      <c r="AL458" s="511"/>
      <c r="AM458" s="511"/>
      <c r="AN458" s="511"/>
      <c r="AO458" s="511"/>
      <c r="AP458" s="511"/>
      <c r="AQ458" s="511"/>
      <c r="AR458" s="511"/>
      <c r="AS458" s="511"/>
      <c r="AT458" s="511"/>
      <c r="AU458" s="511"/>
      <c r="AV458" s="511"/>
      <c r="AW458" s="511"/>
      <c r="AX458" s="511"/>
      <c r="AY458" s="511"/>
      <c r="AZ458" s="511"/>
      <c r="BA458" s="511"/>
      <c r="BB458" s="511"/>
      <c r="BC458" s="511"/>
      <c r="BD458" s="511"/>
      <c r="BE458" s="511"/>
    </row>
    <row r="459" ht="15.75" customHeight="1">
      <c r="A459" s="511"/>
      <c r="B459" s="511"/>
      <c r="C459" s="511"/>
      <c r="D459" s="511"/>
      <c r="E459" s="511"/>
      <c r="F459" s="511"/>
      <c r="G459" s="511"/>
      <c r="H459" s="511"/>
      <c r="I459" s="511"/>
      <c r="J459" s="511"/>
      <c r="K459" s="511"/>
      <c r="L459" s="511"/>
      <c r="M459" s="511"/>
      <c r="N459" s="511"/>
      <c r="O459" s="511"/>
      <c r="P459" s="511"/>
      <c r="Q459" s="511"/>
      <c r="R459" s="511"/>
      <c r="S459" s="511"/>
      <c r="T459" s="511"/>
      <c r="U459" s="511"/>
      <c r="V459" s="511"/>
      <c r="W459" s="511"/>
      <c r="X459" s="511"/>
      <c r="Y459" s="511"/>
      <c r="Z459" s="511"/>
      <c r="AA459" s="511"/>
      <c r="AB459" s="511"/>
      <c r="AC459" s="511"/>
      <c r="AD459" s="511"/>
      <c r="AE459" s="511"/>
      <c r="AF459" s="511"/>
      <c r="AG459" s="511"/>
      <c r="AH459" s="511"/>
      <c r="AI459" s="511"/>
      <c r="AJ459" s="511"/>
      <c r="AK459" s="511"/>
      <c r="AL459" s="511"/>
      <c r="AM459" s="511"/>
      <c r="AN459" s="511"/>
      <c r="AO459" s="511"/>
      <c r="AP459" s="511"/>
      <c r="AQ459" s="511"/>
      <c r="AR459" s="511"/>
      <c r="AS459" s="511"/>
      <c r="AT459" s="511"/>
      <c r="AU459" s="511"/>
      <c r="AV459" s="511"/>
      <c r="AW459" s="511"/>
      <c r="AX459" s="511"/>
      <c r="AY459" s="511"/>
      <c r="AZ459" s="511"/>
      <c r="BA459" s="511"/>
      <c r="BB459" s="511"/>
      <c r="BC459" s="511"/>
      <c r="BD459" s="511"/>
      <c r="BE459" s="511"/>
    </row>
    <row r="460" ht="15.75" customHeight="1">
      <c r="A460" s="511"/>
      <c r="B460" s="511"/>
      <c r="C460" s="511"/>
      <c r="D460" s="511"/>
      <c r="E460" s="511"/>
      <c r="F460" s="511"/>
      <c r="G460" s="511"/>
      <c r="H460" s="511"/>
      <c r="I460" s="511"/>
      <c r="J460" s="511"/>
      <c r="K460" s="511"/>
      <c r="L460" s="511"/>
      <c r="M460" s="511"/>
      <c r="N460" s="511"/>
      <c r="O460" s="511"/>
      <c r="P460" s="511"/>
      <c r="Q460" s="511"/>
      <c r="R460" s="511"/>
      <c r="S460" s="511"/>
      <c r="T460" s="511"/>
      <c r="U460" s="511"/>
      <c r="V460" s="511"/>
      <c r="W460" s="511"/>
      <c r="X460" s="511"/>
      <c r="Y460" s="511"/>
      <c r="Z460" s="511"/>
      <c r="AA460" s="511"/>
      <c r="AB460" s="511"/>
      <c r="AC460" s="511"/>
      <c r="AD460" s="511"/>
      <c r="AE460" s="511"/>
      <c r="AF460" s="511"/>
      <c r="AG460" s="511"/>
      <c r="AH460" s="511"/>
      <c r="AI460" s="511"/>
      <c r="AJ460" s="511"/>
      <c r="AK460" s="511"/>
      <c r="AL460" s="511"/>
      <c r="AM460" s="511"/>
      <c r="AN460" s="511"/>
      <c r="AO460" s="511"/>
      <c r="AP460" s="511"/>
      <c r="AQ460" s="511"/>
      <c r="AR460" s="511"/>
      <c r="AS460" s="511"/>
      <c r="AT460" s="511"/>
      <c r="AU460" s="511"/>
      <c r="AV460" s="511"/>
      <c r="AW460" s="511"/>
      <c r="AX460" s="511"/>
      <c r="AY460" s="511"/>
      <c r="AZ460" s="511"/>
      <c r="BA460" s="511"/>
      <c r="BB460" s="511"/>
      <c r="BC460" s="511"/>
      <c r="BD460" s="511"/>
      <c r="BE460" s="511"/>
    </row>
    <row r="461" ht="15.75" customHeight="1">
      <c r="A461" s="511"/>
      <c r="B461" s="511"/>
      <c r="C461" s="511"/>
      <c r="D461" s="511"/>
      <c r="E461" s="511"/>
      <c r="F461" s="511"/>
      <c r="G461" s="511"/>
      <c r="H461" s="511"/>
      <c r="I461" s="511"/>
      <c r="J461" s="511"/>
      <c r="K461" s="511"/>
      <c r="L461" s="511"/>
      <c r="M461" s="511"/>
      <c r="N461" s="511"/>
      <c r="O461" s="511"/>
      <c r="P461" s="511"/>
      <c r="Q461" s="511"/>
      <c r="R461" s="511"/>
      <c r="S461" s="511"/>
      <c r="T461" s="511"/>
      <c r="U461" s="511"/>
      <c r="V461" s="511"/>
      <c r="W461" s="511"/>
      <c r="X461" s="511"/>
      <c r="Y461" s="511"/>
      <c r="Z461" s="511"/>
      <c r="AA461" s="511"/>
      <c r="AB461" s="511"/>
      <c r="AC461" s="511"/>
      <c r="AD461" s="511"/>
      <c r="AE461" s="511"/>
      <c r="AF461" s="511"/>
      <c r="AG461" s="511"/>
      <c r="AH461" s="511"/>
      <c r="AI461" s="511"/>
      <c r="AJ461" s="511"/>
      <c r="AK461" s="511"/>
      <c r="AL461" s="511"/>
      <c r="AM461" s="511"/>
      <c r="AN461" s="511"/>
      <c r="AO461" s="511"/>
      <c r="AP461" s="511"/>
      <c r="AQ461" s="511"/>
      <c r="AR461" s="511"/>
      <c r="AS461" s="511"/>
      <c r="AT461" s="511"/>
      <c r="AU461" s="511"/>
      <c r="AV461" s="511"/>
      <c r="AW461" s="511"/>
      <c r="AX461" s="511"/>
      <c r="AY461" s="511"/>
      <c r="AZ461" s="511"/>
      <c r="BA461" s="511"/>
      <c r="BB461" s="511"/>
      <c r="BC461" s="511"/>
      <c r="BD461" s="511"/>
      <c r="BE461" s="511"/>
    </row>
    <row r="462" ht="15.75" customHeight="1">
      <c r="A462" s="511"/>
      <c r="B462" s="511"/>
      <c r="C462" s="511"/>
      <c r="D462" s="511"/>
      <c r="E462" s="511"/>
      <c r="F462" s="511"/>
      <c r="G462" s="511"/>
      <c r="H462" s="511"/>
      <c r="I462" s="511"/>
      <c r="J462" s="511"/>
      <c r="K462" s="511"/>
      <c r="L462" s="511"/>
      <c r="M462" s="511"/>
      <c r="N462" s="511"/>
      <c r="O462" s="511"/>
      <c r="P462" s="511"/>
      <c r="Q462" s="511"/>
      <c r="R462" s="511"/>
      <c r="S462" s="511"/>
      <c r="T462" s="511"/>
      <c r="U462" s="511"/>
      <c r="V462" s="511"/>
      <c r="W462" s="511"/>
      <c r="X462" s="511"/>
      <c r="Y462" s="511"/>
      <c r="Z462" s="511"/>
      <c r="AA462" s="511"/>
      <c r="AB462" s="511"/>
      <c r="AC462" s="511"/>
      <c r="AD462" s="511"/>
      <c r="AE462" s="511"/>
      <c r="AF462" s="511"/>
      <c r="AG462" s="511"/>
      <c r="AH462" s="511"/>
      <c r="AI462" s="511"/>
      <c r="AJ462" s="511"/>
      <c r="AK462" s="511"/>
      <c r="AL462" s="511"/>
      <c r="AM462" s="511"/>
      <c r="AN462" s="511"/>
      <c r="AO462" s="511"/>
      <c r="AP462" s="511"/>
      <c r="AQ462" s="511"/>
      <c r="AR462" s="511"/>
      <c r="AS462" s="511"/>
      <c r="AT462" s="511"/>
      <c r="AU462" s="511"/>
      <c r="AV462" s="511"/>
      <c r="AW462" s="511"/>
      <c r="AX462" s="511"/>
      <c r="AY462" s="511"/>
      <c r="AZ462" s="511"/>
      <c r="BA462" s="511"/>
      <c r="BB462" s="511"/>
      <c r="BC462" s="511"/>
      <c r="BD462" s="511"/>
      <c r="BE462" s="511"/>
    </row>
    <row r="463" ht="15.75" customHeight="1">
      <c r="A463" s="511"/>
      <c r="B463" s="511"/>
      <c r="C463" s="511"/>
      <c r="D463" s="511"/>
      <c r="E463" s="511"/>
      <c r="F463" s="511"/>
      <c r="G463" s="511"/>
      <c r="H463" s="511"/>
      <c r="I463" s="511"/>
      <c r="J463" s="511"/>
      <c r="K463" s="511"/>
      <c r="L463" s="511"/>
      <c r="M463" s="511"/>
      <c r="N463" s="511"/>
      <c r="O463" s="511"/>
      <c r="P463" s="511"/>
      <c r="Q463" s="511"/>
      <c r="R463" s="511"/>
      <c r="S463" s="511"/>
      <c r="T463" s="511"/>
      <c r="U463" s="511"/>
      <c r="V463" s="511"/>
      <c r="W463" s="511"/>
      <c r="X463" s="511"/>
      <c r="Y463" s="511"/>
      <c r="Z463" s="511"/>
      <c r="AA463" s="511"/>
      <c r="AB463" s="511"/>
      <c r="AC463" s="511"/>
      <c r="AD463" s="511"/>
      <c r="AE463" s="511"/>
      <c r="AF463" s="511"/>
      <c r="AG463" s="511"/>
      <c r="AH463" s="511"/>
      <c r="AI463" s="511"/>
      <c r="AJ463" s="511"/>
      <c r="AK463" s="511"/>
      <c r="AL463" s="511"/>
      <c r="AM463" s="511"/>
      <c r="AN463" s="511"/>
      <c r="AO463" s="511"/>
      <c r="AP463" s="511"/>
      <c r="AQ463" s="511"/>
      <c r="AR463" s="511"/>
      <c r="AS463" s="511"/>
      <c r="AT463" s="511"/>
      <c r="AU463" s="511"/>
      <c r="AV463" s="511"/>
      <c r="AW463" s="511"/>
      <c r="AX463" s="511"/>
      <c r="AY463" s="511"/>
      <c r="AZ463" s="511"/>
      <c r="BA463" s="511"/>
      <c r="BB463" s="511"/>
      <c r="BC463" s="511"/>
      <c r="BD463" s="511"/>
      <c r="BE463" s="511"/>
    </row>
    <row r="464" ht="15.75" customHeight="1">
      <c r="A464" s="511"/>
      <c r="B464" s="511"/>
      <c r="C464" s="511"/>
      <c r="D464" s="511"/>
      <c r="E464" s="511"/>
      <c r="F464" s="511"/>
      <c r="G464" s="511"/>
      <c r="H464" s="511"/>
      <c r="I464" s="511"/>
      <c r="J464" s="511"/>
      <c r="K464" s="511"/>
      <c r="L464" s="511"/>
      <c r="M464" s="511"/>
      <c r="N464" s="511"/>
      <c r="O464" s="511"/>
      <c r="P464" s="511"/>
      <c r="Q464" s="511"/>
      <c r="R464" s="511"/>
      <c r="S464" s="511"/>
      <c r="T464" s="511"/>
      <c r="U464" s="511"/>
      <c r="V464" s="511"/>
      <c r="W464" s="511"/>
      <c r="X464" s="511"/>
      <c r="Y464" s="511"/>
      <c r="Z464" s="511"/>
      <c r="AA464" s="511"/>
      <c r="AB464" s="511"/>
      <c r="AC464" s="511"/>
      <c r="AD464" s="511"/>
      <c r="AE464" s="511"/>
      <c r="AF464" s="511"/>
      <c r="AG464" s="511"/>
      <c r="AH464" s="511"/>
      <c r="AI464" s="511"/>
      <c r="AJ464" s="511"/>
      <c r="AK464" s="511"/>
      <c r="AL464" s="511"/>
      <c r="AM464" s="511"/>
      <c r="AN464" s="511"/>
      <c r="AO464" s="511"/>
      <c r="AP464" s="511"/>
      <c r="AQ464" s="511"/>
      <c r="AR464" s="511"/>
      <c r="AS464" s="511"/>
      <c r="AT464" s="511"/>
      <c r="AU464" s="511"/>
      <c r="AV464" s="511"/>
      <c r="AW464" s="511"/>
      <c r="AX464" s="511"/>
      <c r="AY464" s="511"/>
      <c r="AZ464" s="511"/>
      <c r="BA464" s="511"/>
      <c r="BB464" s="511"/>
      <c r="BC464" s="511"/>
      <c r="BD464" s="511"/>
      <c r="BE464" s="511"/>
    </row>
    <row r="465" ht="15.75" customHeight="1">
      <c r="A465" s="511"/>
      <c r="B465" s="511"/>
      <c r="C465" s="511"/>
      <c r="D465" s="511"/>
      <c r="E465" s="511"/>
      <c r="F465" s="511"/>
      <c r="G465" s="511"/>
      <c r="H465" s="511"/>
      <c r="I465" s="511"/>
      <c r="J465" s="511"/>
      <c r="K465" s="511"/>
      <c r="L465" s="511"/>
      <c r="M465" s="511"/>
      <c r="N465" s="511"/>
      <c r="O465" s="511"/>
      <c r="P465" s="511"/>
      <c r="Q465" s="511"/>
      <c r="R465" s="511"/>
      <c r="S465" s="511"/>
      <c r="T465" s="511"/>
      <c r="U465" s="511"/>
      <c r="V465" s="511"/>
      <c r="W465" s="511"/>
      <c r="X465" s="511"/>
      <c r="Y465" s="511"/>
      <c r="Z465" s="511"/>
      <c r="AA465" s="511"/>
      <c r="AB465" s="511"/>
      <c r="AC465" s="511"/>
      <c r="AD465" s="511"/>
      <c r="AE465" s="511"/>
      <c r="AF465" s="511"/>
      <c r="AG465" s="511"/>
      <c r="AH465" s="511"/>
      <c r="AI465" s="511"/>
      <c r="AJ465" s="511"/>
      <c r="AK465" s="511"/>
      <c r="AL465" s="511"/>
      <c r="AM465" s="511"/>
      <c r="AN465" s="511"/>
      <c r="AO465" s="511"/>
      <c r="AP465" s="511"/>
      <c r="AQ465" s="511"/>
      <c r="AR465" s="511"/>
      <c r="AS465" s="511"/>
      <c r="AT465" s="511"/>
      <c r="AU465" s="511"/>
      <c r="AV465" s="511"/>
      <c r="AW465" s="511"/>
      <c r="AX465" s="511"/>
      <c r="AY465" s="511"/>
      <c r="AZ465" s="511"/>
      <c r="BA465" s="511"/>
      <c r="BB465" s="511"/>
      <c r="BC465" s="511"/>
      <c r="BD465" s="511"/>
      <c r="BE465" s="511"/>
    </row>
    <row r="466" ht="15.75" customHeight="1">
      <c r="A466" s="511"/>
      <c r="B466" s="511"/>
      <c r="C466" s="511"/>
      <c r="D466" s="511"/>
      <c r="E466" s="511"/>
      <c r="F466" s="511"/>
      <c r="G466" s="511"/>
      <c r="H466" s="511"/>
      <c r="I466" s="511"/>
      <c r="J466" s="511"/>
      <c r="K466" s="511"/>
      <c r="L466" s="511"/>
      <c r="M466" s="511"/>
      <c r="N466" s="511"/>
      <c r="O466" s="511"/>
      <c r="P466" s="511"/>
      <c r="Q466" s="511"/>
      <c r="R466" s="511"/>
      <c r="S466" s="511"/>
      <c r="T466" s="511"/>
      <c r="U466" s="511"/>
      <c r="V466" s="511"/>
      <c r="W466" s="511"/>
      <c r="X466" s="511"/>
      <c r="Y466" s="511"/>
      <c r="Z466" s="511"/>
      <c r="AA466" s="511"/>
      <c r="AB466" s="511"/>
      <c r="AC466" s="511"/>
      <c r="AD466" s="511"/>
      <c r="AE466" s="511"/>
      <c r="AF466" s="511"/>
      <c r="AG466" s="511"/>
      <c r="AH466" s="511"/>
      <c r="AI466" s="511"/>
      <c r="AJ466" s="511"/>
      <c r="AK466" s="511"/>
      <c r="AL466" s="511"/>
      <c r="AM466" s="511"/>
      <c r="AN466" s="511"/>
      <c r="AO466" s="511"/>
      <c r="AP466" s="511"/>
      <c r="AQ466" s="511"/>
      <c r="AR466" s="511"/>
      <c r="AS466" s="511"/>
      <c r="AT466" s="511"/>
      <c r="AU466" s="511"/>
      <c r="AV466" s="511"/>
      <c r="AW466" s="511"/>
      <c r="AX466" s="511"/>
      <c r="AY466" s="511"/>
      <c r="AZ466" s="511"/>
      <c r="BA466" s="511"/>
      <c r="BB466" s="511"/>
      <c r="BC466" s="511"/>
      <c r="BD466" s="511"/>
      <c r="BE466" s="511"/>
    </row>
    <row r="467" ht="15.75" customHeight="1">
      <c r="A467" s="511"/>
      <c r="B467" s="511"/>
      <c r="C467" s="511"/>
      <c r="D467" s="511"/>
      <c r="E467" s="511"/>
      <c r="F467" s="511"/>
      <c r="G467" s="511"/>
      <c r="H467" s="511"/>
      <c r="I467" s="511"/>
      <c r="J467" s="511"/>
      <c r="K467" s="511"/>
      <c r="L467" s="511"/>
      <c r="M467" s="511"/>
      <c r="N467" s="511"/>
      <c r="O467" s="511"/>
      <c r="P467" s="511"/>
      <c r="Q467" s="511"/>
      <c r="R467" s="511"/>
      <c r="S467" s="511"/>
      <c r="T467" s="511"/>
      <c r="U467" s="511"/>
      <c r="V467" s="511"/>
      <c r="W467" s="511"/>
      <c r="X467" s="511"/>
      <c r="Y467" s="511"/>
      <c r="Z467" s="511"/>
      <c r="AA467" s="511"/>
      <c r="AB467" s="511"/>
      <c r="AC467" s="511"/>
      <c r="AD467" s="511"/>
      <c r="AE467" s="511"/>
      <c r="AF467" s="511"/>
      <c r="AG467" s="511"/>
      <c r="AH467" s="511"/>
      <c r="AI467" s="511"/>
      <c r="AJ467" s="511"/>
      <c r="AK467" s="511"/>
      <c r="AL467" s="511"/>
      <c r="AM467" s="511"/>
      <c r="AN467" s="511"/>
      <c r="AO467" s="511"/>
      <c r="AP467" s="511"/>
      <c r="AQ467" s="511"/>
      <c r="AR467" s="511"/>
      <c r="AS467" s="511"/>
      <c r="AT467" s="511"/>
      <c r="AU467" s="511"/>
      <c r="AV467" s="511"/>
      <c r="AW467" s="511"/>
      <c r="AX467" s="511"/>
      <c r="AY467" s="511"/>
      <c r="AZ467" s="511"/>
      <c r="BA467" s="511"/>
      <c r="BB467" s="511"/>
      <c r="BC467" s="511"/>
      <c r="BD467" s="511"/>
      <c r="BE467" s="511"/>
    </row>
    <row r="468" ht="15.75" customHeight="1">
      <c r="A468" s="511"/>
      <c r="B468" s="511"/>
      <c r="C468" s="511"/>
      <c r="D468" s="511"/>
      <c r="E468" s="511"/>
      <c r="F468" s="511"/>
      <c r="G468" s="511"/>
      <c r="H468" s="511"/>
      <c r="I468" s="511"/>
      <c r="J468" s="511"/>
      <c r="K468" s="511"/>
      <c r="L468" s="511"/>
      <c r="M468" s="511"/>
      <c r="N468" s="511"/>
      <c r="O468" s="511"/>
      <c r="P468" s="511"/>
      <c r="Q468" s="511"/>
      <c r="R468" s="511"/>
      <c r="S468" s="511"/>
      <c r="T468" s="511"/>
      <c r="U468" s="511"/>
      <c r="V468" s="511"/>
      <c r="W468" s="511"/>
      <c r="X468" s="511"/>
      <c r="Y468" s="511"/>
      <c r="Z468" s="511"/>
      <c r="AA468" s="511"/>
      <c r="AB468" s="511"/>
      <c r="AC468" s="511"/>
      <c r="AD468" s="511"/>
      <c r="AE468" s="511"/>
      <c r="AF468" s="511"/>
      <c r="AG468" s="511"/>
      <c r="AH468" s="511"/>
      <c r="AI468" s="511"/>
      <c r="AJ468" s="511"/>
      <c r="AK468" s="511"/>
      <c r="AL468" s="511"/>
      <c r="AM468" s="511"/>
      <c r="AN468" s="511"/>
      <c r="AO468" s="511"/>
      <c r="AP468" s="511"/>
      <c r="AQ468" s="511"/>
      <c r="AR468" s="511"/>
      <c r="AS468" s="511"/>
      <c r="AT468" s="511"/>
      <c r="AU468" s="511"/>
      <c r="AV468" s="511"/>
      <c r="AW468" s="511"/>
      <c r="AX468" s="511"/>
      <c r="AY468" s="511"/>
      <c r="AZ468" s="511"/>
      <c r="BA468" s="511"/>
      <c r="BB468" s="511"/>
      <c r="BC468" s="511"/>
      <c r="BD468" s="511"/>
      <c r="BE468" s="511"/>
    </row>
    <row r="469" ht="15.75" customHeight="1">
      <c r="A469" s="511"/>
      <c r="B469" s="511"/>
      <c r="C469" s="511"/>
      <c r="D469" s="511"/>
      <c r="E469" s="511"/>
      <c r="F469" s="511"/>
      <c r="G469" s="511"/>
      <c r="H469" s="511"/>
      <c r="I469" s="511"/>
      <c r="J469" s="511"/>
      <c r="K469" s="511"/>
      <c r="L469" s="511"/>
      <c r="M469" s="511"/>
      <c r="N469" s="511"/>
      <c r="O469" s="511"/>
      <c r="P469" s="511"/>
      <c r="Q469" s="511"/>
      <c r="R469" s="511"/>
      <c r="S469" s="511"/>
      <c r="T469" s="511"/>
      <c r="U469" s="511"/>
      <c r="V469" s="511"/>
      <c r="W469" s="511"/>
      <c r="X469" s="511"/>
      <c r="Y469" s="511"/>
      <c r="Z469" s="511"/>
      <c r="AA469" s="511"/>
      <c r="AB469" s="511"/>
      <c r="AC469" s="511"/>
      <c r="AD469" s="511"/>
      <c r="AE469" s="511"/>
      <c r="AF469" s="511"/>
      <c r="AG469" s="511"/>
      <c r="AH469" s="511"/>
      <c r="AI469" s="511"/>
      <c r="AJ469" s="511"/>
      <c r="AK469" s="511"/>
      <c r="AL469" s="511"/>
      <c r="AM469" s="511"/>
      <c r="AN469" s="511"/>
      <c r="AO469" s="511"/>
      <c r="AP469" s="511"/>
      <c r="AQ469" s="511"/>
      <c r="AR469" s="511"/>
      <c r="AS469" s="511"/>
      <c r="AT469" s="511"/>
      <c r="AU469" s="511"/>
      <c r="AV469" s="511"/>
      <c r="AW469" s="511"/>
      <c r="AX469" s="511"/>
      <c r="AY469" s="511"/>
      <c r="AZ469" s="511"/>
      <c r="BA469" s="511"/>
      <c r="BB469" s="511"/>
      <c r="BC469" s="511"/>
      <c r="BD469" s="511"/>
      <c r="BE469" s="511"/>
    </row>
    <row r="470" ht="15.75" customHeight="1">
      <c r="A470" s="511"/>
      <c r="B470" s="511"/>
      <c r="C470" s="511"/>
      <c r="D470" s="511"/>
      <c r="E470" s="511"/>
      <c r="F470" s="511"/>
      <c r="G470" s="511"/>
      <c r="H470" s="511"/>
      <c r="I470" s="511"/>
      <c r="J470" s="511"/>
      <c r="K470" s="511"/>
      <c r="L470" s="511"/>
      <c r="M470" s="511"/>
      <c r="N470" s="511"/>
      <c r="O470" s="511"/>
      <c r="P470" s="511"/>
      <c r="Q470" s="511"/>
      <c r="R470" s="511"/>
      <c r="S470" s="511"/>
      <c r="T470" s="511"/>
      <c r="U470" s="511"/>
      <c r="V470" s="511"/>
      <c r="W470" s="511"/>
      <c r="X470" s="511"/>
      <c r="Y470" s="511"/>
      <c r="Z470" s="511"/>
      <c r="AA470" s="511"/>
      <c r="AB470" s="511"/>
      <c r="AC470" s="511"/>
      <c r="AD470" s="511"/>
      <c r="AE470" s="511"/>
      <c r="AF470" s="511"/>
      <c r="AG470" s="511"/>
      <c r="AH470" s="511"/>
      <c r="AI470" s="511"/>
      <c r="AJ470" s="511"/>
      <c r="AK470" s="511"/>
      <c r="AL470" s="511"/>
      <c r="AM470" s="511"/>
      <c r="AN470" s="511"/>
      <c r="AO470" s="511"/>
      <c r="AP470" s="511"/>
      <c r="AQ470" s="511"/>
      <c r="AR470" s="511"/>
      <c r="AS470" s="511"/>
      <c r="AT470" s="511"/>
      <c r="AU470" s="511"/>
      <c r="AV470" s="511"/>
      <c r="AW470" s="511"/>
      <c r="AX470" s="511"/>
      <c r="AY470" s="511"/>
      <c r="AZ470" s="511"/>
      <c r="BA470" s="511"/>
      <c r="BB470" s="511"/>
      <c r="BC470" s="511"/>
      <c r="BD470" s="511"/>
      <c r="BE470" s="511"/>
    </row>
    <row r="471" ht="15.75" customHeight="1">
      <c r="A471" s="511"/>
      <c r="B471" s="511"/>
      <c r="C471" s="511"/>
      <c r="D471" s="511"/>
      <c r="E471" s="511"/>
      <c r="F471" s="511"/>
      <c r="G471" s="511"/>
      <c r="H471" s="511"/>
      <c r="I471" s="511"/>
      <c r="J471" s="511"/>
      <c r="K471" s="511"/>
      <c r="L471" s="511"/>
      <c r="M471" s="511"/>
      <c r="N471" s="511"/>
      <c r="O471" s="511"/>
      <c r="P471" s="511"/>
      <c r="Q471" s="511"/>
      <c r="R471" s="511"/>
      <c r="S471" s="511"/>
      <c r="T471" s="511"/>
      <c r="U471" s="511"/>
      <c r="V471" s="511"/>
      <c r="W471" s="511"/>
      <c r="X471" s="511"/>
      <c r="Y471" s="511"/>
      <c r="Z471" s="511"/>
      <c r="AA471" s="511"/>
      <c r="AB471" s="511"/>
      <c r="AC471" s="511"/>
      <c r="AD471" s="511"/>
      <c r="AE471" s="511"/>
      <c r="AF471" s="511"/>
      <c r="AG471" s="511"/>
      <c r="AH471" s="511"/>
      <c r="AI471" s="511"/>
      <c r="AJ471" s="511"/>
      <c r="AK471" s="511"/>
      <c r="AL471" s="511"/>
      <c r="AM471" s="511"/>
      <c r="AN471" s="511"/>
      <c r="AO471" s="511"/>
      <c r="AP471" s="511"/>
      <c r="AQ471" s="511"/>
      <c r="AR471" s="511"/>
      <c r="AS471" s="511"/>
      <c r="AT471" s="511"/>
      <c r="AU471" s="511"/>
      <c r="AV471" s="511"/>
      <c r="AW471" s="511"/>
      <c r="AX471" s="511"/>
      <c r="AY471" s="511"/>
      <c r="AZ471" s="511"/>
      <c r="BA471" s="511"/>
      <c r="BB471" s="511"/>
      <c r="BC471" s="511"/>
      <c r="BD471" s="511"/>
      <c r="BE471" s="511"/>
    </row>
    <row r="472" ht="15.75" customHeight="1">
      <c r="A472" s="511"/>
      <c r="B472" s="511"/>
      <c r="C472" s="511"/>
      <c r="D472" s="511"/>
      <c r="E472" s="511"/>
      <c r="F472" s="511"/>
      <c r="G472" s="511"/>
      <c r="H472" s="511"/>
      <c r="I472" s="511"/>
      <c r="J472" s="511"/>
      <c r="K472" s="511"/>
      <c r="L472" s="511"/>
      <c r="M472" s="511"/>
      <c r="N472" s="511"/>
      <c r="O472" s="511"/>
      <c r="P472" s="511"/>
      <c r="Q472" s="511"/>
      <c r="R472" s="511"/>
      <c r="S472" s="511"/>
      <c r="T472" s="511"/>
      <c r="U472" s="511"/>
      <c r="V472" s="511"/>
      <c r="W472" s="511"/>
      <c r="X472" s="511"/>
      <c r="Y472" s="511"/>
      <c r="Z472" s="511"/>
      <c r="AA472" s="511"/>
      <c r="AB472" s="511"/>
      <c r="AC472" s="511"/>
      <c r="AD472" s="511"/>
      <c r="AE472" s="511"/>
      <c r="AF472" s="511"/>
      <c r="AG472" s="511"/>
      <c r="AH472" s="511"/>
      <c r="AI472" s="511"/>
      <c r="AJ472" s="511"/>
      <c r="AK472" s="511"/>
      <c r="AL472" s="511"/>
      <c r="AM472" s="511"/>
      <c r="AN472" s="511"/>
      <c r="AO472" s="511"/>
      <c r="AP472" s="511"/>
      <c r="AQ472" s="511"/>
      <c r="AR472" s="511"/>
      <c r="AS472" s="511"/>
      <c r="AT472" s="511"/>
      <c r="AU472" s="511"/>
      <c r="AV472" s="511"/>
      <c r="AW472" s="511"/>
      <c r="AX472" s="511"/>
      <c r="AY472" s="511"/>
      <c r="AZ472" s="511"/>
      <c r="BA472" s="511"/>
      <c r="BB472" s="511"/>
      <c r="BC472" s="511"/>
      <c r="BD472" s="511"/>
      <c r="BE472" s="511"/>
    </row>
    <row r="473" ht="15.75" customHeight="1">
      <c r="A473" s="511"/>
      <c r="B473" s="511"/>
      <c r="C473" s="511"/>
      <c r="D473" s="511"/>
      <c r="E473" s="511"/>
      <c r="F473" s="511"/>
      <c r="G473" s="511"/>
      <c r="H473" s="511"/>
      <c r="I473" s="511"/>
      <c r="J473" s="511"/>
      <c r="K473" s="511"/>
      <c r="L473" s="511"/>
      <c r="M473" s="511"/>
      <c r="N473" s="511"/>
      <c r="O473" s="511"/>
      <c r="P473" s="511"/>
      <c r="Q473" s="511"/>
      <c r="R473" s="511"/>
      <c r="S473" s="511"/>
      <c r="T473" s="511"/>
      <c r="U473" s="511"/>
      <c r="V473" s="511"/>
      <c r="W473" s="511"/>
      <c r="X473" s="511"/>
      <c r="Y473" s="511"/>
      <c r="Z473" s="511"/>
      <c r="AA473" s="511"/>
      <c r="AB473" s="511"/>
      <c r="AC473" s="511"/>
      <c r="AD473" s="511"/>
      <c r="AE473" s="511"/>
      <c r="AF473" s="511"/>
      <c r="AG473" s="511"/>
      <c r="AH473" s="511"/>
      <c r="AI473" s="511"/>
      <c r="AJ473" s="511"/>
      <c r="AK473" s="511"/>
      <c r="AL473" s="511"/>
      <c r="AM473" s="511"/>
      <c r="AN473" s="511"/>
      <c r="AO473" s="511"/>
      <c r="AP473" s="511"/>
      <c r="AQ473" s="511"/>
      <c r="AR473" s="511"/>
      <c r="AS473" s="511"/>
      <c r="AT473" s="511"/>
      <c r="AU473" s="511"/>
      <c r="AV473" s="511"/>
      <c r="AW473" s="511"/>
      <c r="AX473" s="511"/>
      <c r="AY473" s="511"/>
      <c r="AZ473" s="511"/>
      <c r="BA473" s="511"/>
      <c r="BB473" s="511"/>
      <c r="BC473" s="511"/>
      <c r="BD473" s="511"/>
      <c r="BE473" s="511"/>
    </row>
    <row r="474" ht="15.75" customHeight="1">
      <c r="A474" s="511"/>
      <c r="B474" s="511"/>
      <c r="C474" s="511"/>
      <c r="D474" s="511"/>
      <c r="E474" s="511"/>
      <c r="F474" s="511"/>
      <c r="G474" s="511"/>
      <c r="H474" s="511"/>
      <c r="I474" s="511"/>
      <c r="J474" s="511"/>
      <c r="K474" s="511"/>
      <c r="L474" s="511"/>
      <c r="M474" s="511"/>
      <c r="N474" s="511"/>
      <c r="O474" s="511"/>
      <c r="P474" s="511"/>
      <c r="Q474" s="511"/>
      <c r="R474" s="511"/>
      <c r="S474" s="511"/>
      <c r="T474" s="511"/>
      <c r="U474" s="511"/>
      <c r="V474" s="511"/>
      <c r="W474" s="511"/>
      <c r="X474" s="511"/>
      <c r="Y474" s="511"/>
      <c r="Z474" s="511"/>
      <c r="AA474" s="511"/>
      <c r="AB474" s="511"/>
      <c r="AC474" s="511"/>
      <c r="AD474" s="511"/>
      <c r="AE474" s="511"/>
      <c r="AF474" s="511"/>
      <c r="AG474" s="511"/>
      <c r="AH474" s="511"/>
      <c r="AI474" s="511"/>
      <c r="AJ474" s="511"/>
      <c r="AK474" s="511"/>
      <c r="AL474" s="511"/>
      <c r="AM474" s="511"/>
      <c r="AN474" s="511"/>
      <c r="AO474" s="511"/>
      <c r="AP474" s="511"/>
      <c r="AQ474" s="511"/>
      <c r="AR474" s="511"/>
      <c r="AS474" s="511"/>
      <c r="AT474" s="511"/>
      <c r="AU474" s="511"/>
      <c r="AV474" s="511"/>
      <c r="AW474" s="511"/>
      <c r="AX474" s="511"/>
      <c r="AY474" s="511"/>
      <c r="AZ474" s="511"/>
      <c r="BA474" s="511"/>
      <c r="BB474" s="511"/>
      <c r="BC474" s="511"/>
      <c r="BD474" s="511"/>
      <c r="BE474" s="511"/>
    </row>
    <row r="475" ht="15.75" customHeight="1">
      <c r="A475" s="511"/>
      <c r="B475" s="511"/>
      <c r="C475" s="511"/>
      <c r="D475" s="511"/>
      <c r="E475" s="511"/>
      <c r="F475" s="511"/>
      <c r="G475" s="511"/>
      <c r="H475" s="511"/>
      <c r="I475" s="511"/>
      <c r="J475" s="511"/>
      <c r="K475" s="511"/>
      <c r="L475" s="511"/>
      <c r="M475" s="511"/>
      <c r="N475" s="511"/>
      <c r="O475" s="511"/>
      <c r="P475" s="511"/>
      <c r="Q475" s="511"/>
      <c r="R475" s="511"/>
      <c r="S475" s="511"/>
      <c r="T475" s="511"/>
      <c r="U475" s="511"/>
      <c r="V475" s="511"/>
      <c r="W475" s="511"/>
      <c r="X475" s="511"/>
      <c r="Y475" s="511"/>
      <c r="Z475" s="511"/>
      <c r="AA475" s="511"/>
      <c r="AB475" s="511"/>
      <c r="AC475" s="511"/>
      <c r="AD475" s="511"/>
      <c r="AE475" s="511"/>
      <c r="AF475" s="511"/>
      <c r="AG475" s="511"/>
      <c r="AH475" s="511"/>
      <c r="AI475" s="511"/>
      <c r="AJ475" s="511"/>
      <c r="AK475" s="511"/>
      <c r="AL475" s="511"/>
      <c r="AM475" s="511"/>
      <c r="AN475" s="511"/>
      <c r="AO475" s="511"/>
      <c r="AP475" s="511"/>
      <c r="AQ475" s="511"/>
      <c r="AR475" s="511"/>
      <c r="AS475" s="511"/>
      <c r="AT475" s="511"/>
      <c r="AU475" s="511"/>
      <c r="AV475" s="511"/>
      <c r="AW475" s="511"/>
      <c r="AX475" s="511"/>
      <c r="AY475" s="511"/>
      <c r="AZ475" s="511"/>
      <c r="BA475" s="511"/>
      <c r="BB475" s="511"/>
      <c r="BC475" s="511"/>
      <c r="BD475" s="511"/>
      <c r="BE475" s="511"/>
    </row>
    <row r="476" ht="15.75" customHeight="1">
      <c r="A476" s="511"/>
      <c r="B476" s="511"/>
      <c r="C476" s="511"/>
      <c r="D476" s="511"/>
      <c r="E476" s="511"/>
      <c r="F476" s="511"/>
      <c r="G476" s="511"/>
      <c r="H476" s="511"/>
      <c r="I476" s="511"/>
      <c r="J476" s="511"/>
      <c r="K476" s="511"/>
      <c r="L476" s="511"/>
      <c r="M476" s="511"/>
      <c r="N476" s="511"/>
      <c r="O476" s="511"/>
      <c r="P476" s="511"/>
      <c r="Q476" s="511"/>
      <c r="R476" s="511"/>
      <c r="S476" s="511"/>
      <c r="T476" s="511"/>
      <c r="U476" s="511"/>
      <c r="V476" s="511"/>
      <c r="W476" s="511"/>
      <c r="X476" s="511"/>
      <c r="Y476" s="511"/>
      <c r="Z476" s="511"/>
      <c r="AA476" s="511"/>
      <c r="AB476" s="511"/>
      <c r="AC476" s="511"/>
      <c r="AD476" s="511"/>
      <c r="AE476" s="511"/>
      <c r="AF476" s="511"/>
      <c r="AG476" s="511"/>
      <c r="AH476" s="511"/>
      <c r="AI476" s="511"/>
      <c r="AJ476" s="511"/>
      <c r="AK476" s="511"/>
      <c r="AL476" s="511"/>
      <c r="AM476" s="511"/>
      <c r="AN476" s="511"/>
      <c r="AO476" s="511"/>
      <c r="AP476" s="511"/>
      <c r="AQ476" s="511"/>
      <c r="AR476" s="511"/>
      <c r="AS476" s="511"/>
      <c r="AT476" s="511"/>
      <c r="AU476" s="511"/>
      <c r="AV476" s="511"/>
      <c r="AW476" s="511"/>
      <c r="AX476" s="511"/>
      <c r="AY476" s="511"/>
      <c r="AZ476" s="511"/>
      <c r="BA476" s="511"/>
      <c r="BB476" s="511"/>
      <c r="BC476" s="511"/>
      <c r="BD476" s="511"/>
      <c r="BE476" s="511"/>
    </row>
    <row r="477" ht="15.75" customHeight="1">
      <c r="A477" s="511"/>
      <c r="B477" s="511"/>
      <c r="C477" s="511"/>
      <c r="D477" s="511"/>
      <c r="E477" s="511"/>
      <c r="F477" s="511"/>
      <c r="G477" s="511"/>
      <c r="H477" s="511"/>
      <c r="I477" s="511"/>
      <c r="J477" s="511"/>
      <c r="K477" s="511"/>
      <c r="L477" s="511"/>
      <c r="M477" s="511"/>
      <c r="N477" s="511"/>
      <c r="O477" s="511"/>
      <c r="P477" s="511"/>
      <c r="Q477" s="511"/>
      <c r="R477" s="511"/>
      <c r="S477" s="511"/>
      <c r="T477" s="511"/>
      <c r="U477" s="511"/>
      <c r="V477" s="511"/>
      <c r="W477" s="511"/>
      <c r="X477" s="511"/>
      <c r="Y477" s="511"/>
      <c r="Z477" s="511"/>
      <c r="AA477" s="511"/>
      <c r="AB477" s="511"/>
      <c r="AC477" s="511"/>
      <c r="AD477" s="511"/>
      <c r="AE477" s="511"/>
      <c r="AF477" s="511"/>
      <c r="AG477" s="511"/>
      <c r="AH477" s="511"/>
      <c r="AI477" s="511"/>
      <c r="AJ477" s="511"/>
      <c r="AK477" s="511"/>
      <c r="AL477" s="511"/>
      <c r="AM477" s="511"/>
      <c r="AN477" s="511"/>
      <c r="AO477" s="511"/>
      <c r="AP477" s="511"/>
      <c r="AQ477" s="511"/>
      <c r="AR477" s="511"/>
      <c r="AS477" s="511"/>
      <c r="AT477" s="511"/>
      <c r="AU477" s="511"/>
      <c r="AV477" s="511"/>
      <c r="AW477" s="511"/>
      <c r="AX477" s="511"/>
      <c r="AY477" s="511"/>
      <c r="AZ477" s="511"/>
      <c r="BA477" s="511"/>
      <c r="BB477" s="511"/>
      <c r="BC477" s="511"/>
      <c r="BD477" s="511"/>
      <c r="BE477" s="511"/>
    </row>
    <row r="478" ht="15.75" customHeight="1">
      <c r="A478" s="511"/>
      <c r="B478" s="511"/>
      <c r="C478" s="511"/>
      <c r="D478" s="511"/>
      <c r="E478" s="511"/>
      <c r="F478" s="511"/>
      <c r="G478" s="511"/>
      <c r="H478" s="511"/>
      <c r="I478" s="511"/>
      <c r="J478" s="511"/>
      <c r="K478" s="511"/>
      <c r="L478" s="511"/>
      <c r="M478" s="511"/>
      <c r="N478" s="511"/>
      <c r="O478" s="511"/>
      <c r="P478" s="511"/>
      <c r="Q478" s="511"/>
      <c r="R478" s="511"/>
      <c r="S478" s="511"/>
      <c r="T478" s="511"/>
      <c r="U478" s="511"/>
      <c r="V478" s="511"/>
      <c r="W478" s="511"/>
      <c r="X478" s="511"/>
      <c r="Y478" s="511"/>
      <c r="Z478" s="511"/>
      <c r="AA478" s="511"/>
      <c r="AB478" s="511"/>
      <c r="AC478" s="511"/>
      <c r="AD478" s="511"/>
      <c r="AE478" s="511"/>
      <c r="AF478" s="511"/>
      <c r="AG478" s="511"/>
      <c r="AH478" s="511"/>
      <c r="AI478" s="511"/>
      <c r="AJ478" s="511"/>
      <c r="AK478" s="511"/>
      <c r="AL478" s="511"/>
      <c r="AM478" s="511"/>
      <c r="AN478" s="511"/>
      <c r="AO478" s="511"/>
      <c r="AP478" s="511"/>
      <c r="AQ478" s="511"/>
      <c r="AR478" s="511"/>
      <c r="AS478" s="511"/>
      <c r="AT478" s="511"/>
      <c r="AU478" s="511"/>
      <c r="AV478" s="511"/>
      <c r="AW478" s="511"/>
      <c r="AX478" s="511"/>
      <c r="AY478" s="511"/>
      <c r="AZ478" s="511"/>
      <c r="BA478" s="511"/>
      <c r="BB478" s="511"/>
      <c r="BC478" s="511"/>
      <c r="BD478" s="511"/>
      <c r="BE478" s="511"/>
    </row>
    <row r="479" ht="15.75" customHeight="1">
      <c r="A479" s="511"/>
      <c r="B479" s="511"/>
      <c r="C479" s="511"/>
      <c r="D479" s="511"/>
      <c r="E479" s="511"/>
      <c r="F479" s="511"/>
      <c r="G479" s="511"/>
      <c r="H479" s="511"/>
      <c r="I479" s="511"/>
      <c r="J479" s="511"/>
      <c r="K479" s="511"/>
      <c r="L479" s="511"/>
      <c r="M479" s="511"/>
      <c r="N479" s="511"/>
      <c r="O479" s="511"/>
      <c r="P479" s="511"/>
      <c r="Q479" s="511"/>
      <c r="R479" s="511"/>
      <c r="S479" s="511"/>
      <c r="T479" s="511"/>
      <c r="U479" s="511"/>
      <c r="V479" s="511"/>
      <c r="W479" s="511"/>
      <c r="X479" s="511"/>
      <c r="Y479" s="511"/>
      <c r="Z479" s="511"/>
      <c r="AA479" s="511"/>
      <c r="AB479" s="511"/>
      <c r="AC479" s="511"/>
      <c r="AD479" s="511"/>
      <c r="AE479" s="511"/>
      <c r="AF479" s="511"/>
      <c r="AG479" s="511"/>
      <c r="AH479" s="511"/>
      <c r="AI479" s="511"/>
      <c r="AJ479" s="511"/>
      <c r="AK479" s="511"/>
      <c r="AL479" s="511"/>
      <c r="AM479" s="511"/>
      <c r="AN479" s="511"/>
      <c r="AO479" s="511"/>
      <c r="AP479" s="511"/>
      <c r="AQ479" s="511"/>
      <c r="AR479" s="511"/>
      <c r="AS479" s="511"/>
      <c r="AT479" s="511"/>
      <c r="AU479" s="511"/>
      <c r="AV479" s="511"/>
      <c r="AW479" s="511"/>
      <c r="AX479" s="511"/>
      <c r="AY479" s="511"/>
      <c r="AZ479" s="511"/>
      <c r="BA479" s="511"/>
      <c r="BB479" s="511"/>
      <c r="BC479" s="511"/>
      <c r="BD479" s="511"/>
      <c r="BE479" s="511"/>
    </row>
    <row r="480" ht="15.75" customHeight="1">
      <c r="A480" s="511"/>
      <c r="B480" s="511"/>
      <c r="C480" s="511"/>
      <c r="D480" s="511"/>
      <c r="E480" s="511"/>
      <c r="F480" s="511"/>
      <c r="G480" s="511"/>
      <c r="H480" s="511"/>
      <c r="I480" s="511"/>
      <c r="J480" s="511"/>
      <c r="K480" s="511"/>
      <c r="L480" s="511"/>
      <c r="M480" s="511"/>
      <c r="N480" s="511"/>
      <c r="O480" s="511"/>
      <c r="P480" s="511"/>
      <c r="Q480" s="511"/>
      <c r="R480" s="511"/>
      <c r="S480" s="511"/>
      <c r="T480" s="511"/>
      <c r="U480" s="511"/>
      <c r="V480" s="511"/>
      <c r="W480" s="511"/>
      <c r="X480" s="511"/>
      <c r="Y480" s="511"/>
      <c r="Z480" s="511"/>
      <c r="AA480" s="511"/>
      <c r="AB480" s="511"/>
      <c r="AC480" s="511"/>
      <c r="AD480" s="511"/>
      <c r="AE480" s="511"/>
      <c r="AF480" s="511"/>
      <c r="AG480" s="511"/>
      <c r="AH480" s="511"/>
      <c r="AI480" s="511"/>
      <c r="AJ480" s="511"/>
      <c r="AK480" s="511"/>
      <c r="AL480" s="511"/>
      <c r="AM480" s="511"/>
      <c r="AN480" s="511"/>
      <c r="AO480" s="511"/>
      <c r="AP480" s="511"/>
      <c r="AQ480" s="511"/>
      <c r="AR480" s="511"/>
      <c r="AS480" s="511"/>
      <c r="AT480" s="511"/>
      <c r="AU480" s="511"/>
      <c r="AV480" s="511"/>
      <c r="AW480" s="511"/>
      <c r="AX480" s="511"/>
      <c r="AY480" s="511"/>
      <c r="AZ480" s="511"/>
      <c r="BA480" s="511"/>
      <c r="BB480" s="511"/>
      <c r="BC480" s="511"/>
      <c r="BD480" s="511"/>
      <c r="BE480" s="511"/>
    </row>
    <row r="481" ht="15.75" customHeight="1">
      <c r="A481" s="511"/>
      <c r="B481" s="511"/>
      <c r="C481" s="511"/>
      <c r="D481" s="511"/>
      <c r="E481" s="511"/>
      <c r="F481" s="511"/>
      <c r="G481" s="511"/>
      <c r="H481" s="511"/>
      <c r="I481" s="511"/>
      <c r="J481" s="511"/>
      <c r="K481" s="511"/>
      <c r="L481" s="511"/>
      <c r="M481" s="511"/>
      <c r="N481" s="511"/>
      <c r="O481" s="511"/>
      <c r="P481" s="511"/>
      <c r="Q481" s="511"/>
      <c r="R481" s="511"/>
      <c r="S481" s="511"/>
      <c r="T481" s="511"/>
      <c r="U481" s="511"/>
      <c r="V481" s="511"/>
      <c r="W481" s="511"/>
      <c r="X481" s="511"/>
      <c r="Y481" s="511"/>
      <c r="Z481" s="511"/>
      <c r="AA481" s="511"/>
      <c r="AB481" s="511"/>
      <c r="AC481" s="511"/>
      <c r="AD481" s="511"/>
      <c r="AE481" s="511"/>
      <c r="AF481" s="511"/>
      <c r="AG481" s="511"/>
      <c r="AH481" s="511"/>
      <c r="AI481" s="511"/>
      <c r="AJ481" s="511"/>
      <c r="AK481" s="511"/>
      <c r="AL481" s="511"/>
      <c r="AM481" s="511"/>
      <c r="AN481" s="511"/>
      <c r="AO481" s="511"/>
      <c r="AP481" s="511"/>
      <c r="AQ481" s="511"/>
      <c r="AR481" s="511"/>
      <c r="AS481" s="511"/>
      <c r="AT481" s="511"/>
      <c r="AU481" s="511"/>
      <c r="AV481" s="511"/>
      <c r="AW481" s="511"/>
      <c r="AX481" s="511"/>
      <c r="AY481" s="511"/>
      <c r="AZ481" s="511"/>
      <c r="BA481" s="511"/>
      <c r="BB481" s="511"/>
      <c r="BC481" s="511"/>
      <c r="BD481" s="511"/>
      <c r="BE481" s="511"/>
    </row>
    <row r="482" ht="15.75" customHeight="1">
      <c r="A482" s="511"/>
      <c r="B482" s="511"/>
      <c r="C482" s="511"/>
      <c r="D482" s="511"/>
      <c r="E482" s="511"/>
      <c r="F482" s="511"/>
      <c r="G482" s="511"/>
      <c r="H482" s="511"/>
      <c r="I482" s="511"/>
      <c r="J482" s="511"/>
      <c r="K482" s="511"/>
      <c r="L482" s="511"/>
      <c r="M482" s="511"/>
      <c r="N482" s="511"/>
      <c r="O482" s="511"/>
      <c r="P482" s="511"/>
      <c r="Q482" s="511"/>
      <c r="R482" s="511"/>
      <c r="S482" s="511"/>
      <c r="T482" s="511"/>
      <c r="U482" s="511"/>
      <c r="V482" s="511"/>
      <c r="W482" s="511"/>
      <c r="X482" s="511"/>
      <c r="Y482" s="511"/>
      <c r="Z482" s="511"/>
      <c r="AA482" s="511"/>
      <c r="AB482" s="511"/>
      <c r="AC482" s="511"/>
      <c r="AD482" s="511"/>
      <c r="AE482" s="511"/>
      <c r="AF482" s="511"/>
      <c r="AG482" s="511"/>
      <c r="AH482" s="511"/>
      <c r="AI482" s="511"/>
      <c r="AJ482" s="511"/>
      <c r="AK482" s="511"/>
      <c r="AL482" s="511"/>
      <c r="AM482" s="511"/>
      <c r="AN482" s="511"/>
      <c r="AO482" s="511"/>
      <c r="AP482" s="511"/>
      <c r="AQ482" s="511"/>
      <c r="AR482" s="511"/>
      <c r="AS482" s="511"/>
      <c r="AT482" s="511"/>
      <c r="AU482" s="511"/>
      <c r="AV482" s="511"/>
      <c r="AW482" s="511"/>
      <c r="AX482" s="511"/>
      <c r="AY482" s="511"/>
      <c r="AZ482" s="511"/>
      <c r="BA482" s="511"/>
      <c r="BB482" s="511"/>
      <c r="BC482" s="511"/>
      <c r="BD482" s="511"/>
      <c r="BE482" s="511"/>
    </row>
    <row r="483" ht="15.75" customHeight="1">
      <c r="A483" s="511"/>
      <c r="B483" s="511"/>
      <c r="C483" s="511"/>
      <c r="D483" s="511"/>
      <c r="E483" s="511"/>
      <c r="F483" s="511"/>
      <c r="G483" s="511"/>
      <c r="H483" s="511"/>
      <c r="I483" s="511"/>
      <c r="J483" s="511"/>
      <c r="K483" s="511"/>
      <c r="L483" s="511"/>
      <c r="M483" s="511"/>
      <c r="N483" s="511"/>
      <c r="O483" s="511"/>
      <c r="P483" s="511"/>
      <c r="Q483" s="511"/>
      <c r="R483" s="511"/>
      <c r="S483" s="511"/>
      <c r="T483" s="511"/>
      <c r="U483" s="511"/>
      <c r="V483" s="511"/>
      <c r="W483" s="511"/>
      <c r="X483" s="511"/>
      <c r="Y483" s="511"/>
      <c r="Z483" s="511"/>
      <c r="AA483" s="511"/>
      <c r="AB483" s="511"/>
      <c r="AC483" s="511"/>
      <c r="AD483" s="511"/>
      <c r="AE483" s="511"/>
      <c r="AF483" s="511"/>
      <c r="AG483" s="511"/>
      <c r="AH483" s="511"/>
      <c r="AI483" s="511"/>
      <c r="AJ483" s="511"/>
      <c r="AK483" s="511"/>
      <c r="AL483" s="511"/>
      <c r="AM483" s="511"/>
      <c r="AN483" s="511"/>
      <c r="AO483" s="511"/>
      <c r="AP483" s="511"/>
      <c r="AQ483" s="511"/>
      <c r="AR483" s="511"/>
      <c r="AS483" s="511"/>
      <c r="AT483" s="511"/>
      <c r="AU483" s="511"/>
      <c r="AV483" s="511"/>
      <c r="AW483" s="511"/>
      <c r="AX483" s="511"/>
      <c r="AY483" s="511"/>
      <c r="AZ483" s="511"/>
      <c r="BA483" s="511"/>
      <c r="BB483" s="511"/>
      <c r="BC483" s="511"/>
      <c r="BD483" s="511"/>
      <c r="BE483" s="511"/>
    </row>
    <row r="484" ht="15.75" customHeight="1">
      <c r="A484" s="511"/>
      <c r="B484" s="511"/>
      <c r="C484" s="511"/>
      <c r="D484" s="511"/>
      <c r="E484" s="511"/>
      <c r="F484" s="511"/>
      <c r="G484" s="511"/>
      <c r="H484" s="511"/>
      <c r="I484" s="511"/>
      <c r="J484" s="511"/>
      <c r="K484" s="511"/>
      <c r="L484" s="511"/>
      <c r="M484" s="511"/>
      <c r="N484" s="511"/>
      <c r="O484" s="511"/>
      <c r="P484" s="511"/>
      <c r="Q484" s="511"/>
      <c r="R484" s="511"/>
      <c r="S484" s="511"/>
      <c r="T484" s="511"/>
      <c r="U484" s="511"/>
      <c r="V484" s="511"/>
      <c r="W484" s="511"/>
      <c r="X484" s="511"/>
      <c r="Y484" s="511"/>
      <c r="Z484" s="511"/>
      <c r="AA484" s="511"/>
      <c r="AB484" s="511"/>
      <c r="AC484" s="511"/>
      <c r="AD484" s="511"/>
      <c r="AE484" s="511"/>
      <c r="AF484" s="511"/>
      <c r="AG484" s="511"/>
      <c r="AH484" s="511"/>
      <c r="AI484" s="511"/>
      <c r="AJ484" s="511"/>
      <c r="AK484" s="511"/>
      <c r="AL484" s="511"/>
      <c r="AM484" s="511"/>
      <c r="AN484" s="511"/>
      <c r="AO484" s="511"/>
      <c r="AP484" s="511"/>
      <c r="AQ484" s="511"/>
      <c r="AR484" s="511"/>
      <c r="AS484" s="511"/>
      <c r="AT484" s="511"/>
      <c r="AU484" s="511"/>
      <c r="AV484" s="511"/>
      <c r="AW484" s="511"/>
      <c r="AX484" s="511"/>
      <c r="AY484" s="511"/>
      <c r="AZ484" s="511"/>
      <c r="BA484" s="511"/>
      <c r="BB484" s="511"/>
      <c r="BC484" s="511"/>
      <c r="BD484" s="511"/>
      <c r="BE484" s="511"/>
    </row>
    <row r="485" ht="15.75" customHeight="1">
      <c r="A485" s="511"/>
      <c r="B485" s="511"/>
      <c r="C485" s="511"/>
      <c r="D485" s="511"/>
      <c r="E485" s="511"/>
      <c r="F485" s="511"/>
      <c r="G485" s="511"/>
      <c r="H485" s="511"/>
      <c r="I485" s="511"/>
      <c r="J485" s="511"/>
      <c r="K485" s="511"/>
      <c r="L485" s="511"/>
      <c r="M485" s="511"/>
      <c r="N485" s="511"/>
      <c r="O485" s="511"/>
      <c r="P485" s="511"/>
      <c r="Q485" s="511"/>
      <c r="R485" s="511"/>
      <c r="S485" s="511"/>
      <c r="T485" s="511"/>
      <c r="U485" s="511"/>
      <c r="V485" s="511"/>
      <c r="W485" s="511"/>
      <c r="X485" s="511"/>
      <c r="Y485" s="511"/>
      <c r="Z485" s="511"/>
      <c r="AA485" s="511"/>
      <c r="AB485" s="511"/>
      <c r="AC485" s="511"/>
      <c r="AD485" s="511"/>
      <c r="AE485" s="511"/>
      <c r="AF485" s="511"/>
      <c r="AG485" s="511"/>
      <c r="AH485" s="511"/>
      <c r="AI485" s="511"/>
      <c r="AJ485" s="511"/>
      <c r="AK485" s="511"/>
      <c r="AL485" s="511"/>
      <c r="AM485" s="511"/>
      <c r="AN485" s="511"/>
      <c r="AO485" s="511"/>
      <c r="AP485" s="511"/>
      <c r="AQ485" s="511"/>
      <c r="AR485" s="511"/>
      <c r="AS485" s="511"/>
      <c r="AT485" s="511"/>
      <c r="AU485" s="511"/>
      <c r="AV485" s="511"/>
      <c r="AW485" s="511"/>
      <c r="AX485" s="511"/>
      <c r="AY485" s="511"/>
      <c r="AZ485" s="511"/>
      <c r="BA485" s="511"/>
      <c r="BB485" s="511"/>
      <c r="BC485" s="511"/>
      <c r="BD485" s="511"/>
      <c r="BE485" s="511"/>
    </row>
    <row r="486" ht="15.75" customHeight="1">
      <c r="A486" s="511"/>
      <c r="B486" s="511"/>
      <c r="C486" s="511"/>
      <c r="D486" s="511"/>
      <c r="E486" s="511"/>
      <c r="F486" s="511"/>
      <c r="G486" s="511"/>
      <c r="H486" s="511"/>
      <c r="I486" s="511"/>
      <c r="J486" s="511"/>
      <c r="K486" s="511"/>
      <c r="L486" s="511"/>
      <c r="M486" s="511"/>
      <c r="N486" s="511"/>
      <c r="O486" s="511"/>
      <c r="P486" s="511"/>
      <c r="Q486" s="511"/>
      <c r="R486" s="511"/>
      <c r="S486" s="511"/>
      <c r="T486" s="511"/>
      <c r="U486" s="511"/>
      <c r="V486" s="511"/>
      <c r="W486" s="511"/>
      <c r="X486" s="511"/>
      <c r="Y486" s="511"/>
      <c r="Z486" s="511"/>
      <c r="AA486" s="511"/>
      <c r="AB486" s="511"/>
      <c r="AC486" s="511"/>
      <c r="AD486" s="511"/>
      <c r="AE486" s="511"/>
      <c r="AF486" s="511"/>
      <c r="AG486" s="511"/>
      <c r="AH486" s="511"/>
      <c r="AI486" s="511"/>
      <c r="AJ486" s="511"/>
      <c r="AK486" s="511"/>
      <c r="AL486" s="511"/>
      <c r="AM486" s="511"/>
      <c r="AN486" s="511"/>
      <c r="AO486" s="511"/>
      <c r="AP486" s="511"/>
      <c r="AQ486" s="511"/>
      <c r="AR486" s="511"/>
      <c r="AS486" s="511"/>
      <c r="AT486" s="511"/>
      <c r="AU486" s="511"/>
      <c r="AV486" s="511"/>
      <c r="AW486" s="511"/>
      <c r="AX486" s="511"/>
      <c r="AY486" s="511"/>
      <c r="AZ486" s="511"/>
      <c r="BA486" s="511"/>
      <c r="BB486" s="511"/>
      <c r="BC486" s="511"/>
      <c r="BD486" s="511"/>
      <c r="BE486" s="511"/>
    </row>
    <row r="487" ht="15.75" customHeight="1">
      <c r="A487" s="511"/>
      <c r="B487" s="511"/>
      <c r="C487" s="511"/>
      <c r="D487" s="511"/>
      <c r="E487" s="511"/>
      <c r="F487" s="511"/>
      <c r="G487" s="511"/>
      <c r="H487" s="511"/>
      <c r="I487" s="511"/>
      <c r="J487" s="511"/>
      <c r="K487" s="511"/>
      <c r="L487" s="511"/>
      <c r="M487" s="511"/>
      <c r="N487" s="511"/>
      <c r="O487" s="511"/>
      <c r="P487" s="511"/>
      <c r="Q487" s="511"/>
      <c r="R487" s="511"/>
      <c r="S487" s="511"/>
      <c r="T487" s="511"/>
      <c r="U487" s="511"/>
      <c r="V487" s="511"/>
      <c r="W487" s="511"/>
      <c r="X487" s="511"/>
      <c r="Y487" s="511"/>
      <c r="Z487" s="511"/>
      <c r="AA487" s="511"/>
      <c r="AB487" s="511"/>
      <c r="AC487" s="511"/>
      <c r="AD487" s="511"/>
      <c r="AE487" s="511"/>
      <c r="AF487" s="511"/>
      <c r="AG487" s="511"/>
      <c r="AH487" s="511"/>
      <c r="AI487" s="511"/>
      <c r="AJ487" s="511"/>
      <c r="AK487" s="511"/>
      <c r="AL487" s="511"/>
      <c r="AM487" s="511"/>
      <c r="AN487" s="511"/>
      <c r="AO487" s="511"/>
      <c r="AP487" s="511"/>
      <c r="AQ487" s="511"/>
      <c r="AR487" s="511"/>
      <c r="AS487" s="511"/>
      <c r="AT487" s="511"/>
      <c r="AU487" s="511"/>
      <c r="AV487" s="511"/>
      <c r="AW487" s="511"/>
      <c r="AX487" s="511"/>
      <c r="AY487" s="511"/>
      <c r="AZ487" s="511"/>
      <c r="BA487" s="511"/>
      <c r="BB487" s="511"/>
      <c r="BC487" s="511"/>
      <c r="BD487" s="511"/>
      <c r="BE487" s="511"/>
    </row>
    <row r="488" ht="15.75" customHeight="1">
      <c r="A488" s="511"/>
      <c r="B488" s="511"/>
      <c r="C488" s="511"/>
      <c r="D488" s="511"/>
      <c r="E488" s="511"/>
      <c r="F488" s="511"/>
      <c r="G488" s="511"/>
      <c r="H488" s="511"/>
      <c r="I488" s="511"/>
      <c r="J488" s="511"/>
      <c r="K488" s="511"/>
      <c r="L488" s="511"/>
      <c r="M488" s="511"/>
      <c r="N488" s="511"/>
      <c r="O488" s="511"/>
      <c r="P488" s="511"/>
      <c r="Q488" s="511"/>
      <c r="R488" s="511"/>
      <c r="S488" s="511"/>
      <c r="T488" s="511"/>
      <c r="U488" s="511"/>
      <c r="V488" s="511"/>
      <c r="W488" s="511"/>
      <c r="X488" s="511"/>
      <c r="Y488" s="511"/>
      <c r="Z488" s="511"/>
      <c r="AA488" s="511"/>
      <c r="AB488" s="511"/>
      <c r="AC488" s="511"/>
      <c r="AD488" s="511"/>
      <c r="AE488" s="511"/>
      <c r="AF488" s="511"/>
      <c r="AG488" s="511"/>
      <c r="AH488" s="511"/>
      <c r="AI488" s="511"/>
      <c r="AJ488" s="511"/>
      <c r="AK488" s="511"/>
      <c r="AL488" s="511"/>
      <c r="AM488" s="511"/>
      <c r="AN488" s="511"/>
      <c r="AO488" s="511"/>
      <c r="AP488" s="511"/>
      <c r="AQ488" s="511"/>
      <c r="AR488" s="511"/>
      <c r="AS488" s="511"/>
      <c r="AT488" s="511"/>
      <c r="AU488" s="511"/>
      <c r="AV488" s="511"/>
      <c r="AW488" s="511"/>
      <c r="AX488" s="511"/>
      <c r="AY488" s="511"/>
      <c r="AZ488" s="511"/>
      <c r="BA488" s="511"/>
      <c r="BB488" s="511"/>
      <c r="BC488" s="511"/>
      <c r="BD488" s="511"/>
      <c r="BE488" s="511"/>
    </row>
    <row r="489" ht="15.75" customHeight="1">
      <c r="A489" s="511"/>
      <c r="B489" s="511"/>
      <c r="C489" s="511"/>
      <c r="D489" s="511"/>
      <c r="E489" s="511"/>
      <c r="F489" s="511"/>
      <c r="G489" s="511"/>
      <c r="H489" s="511"/>
      <c r="I489" s="511"/>
      <c r="J489" s="511"/>
      <c r="K489" s="511"/>
      <c r="L489" s="511"/>
      <c r="M489" s="511"/>
      <c r="N489" s="511"/>
      <c r="O489" s="511"/>
      <c r="P489" s="511"/>
      <c r="Q489" s="511"/>
      <c r="R489" s="511"/>
      <c r="S489" s="511"/>
      <c r="T489" s="511"/>
      <c r="U489" s="511"/>
      <c r="V489" s="511"/>
      <c r="W489" s="511"/>
      <c r="X489" s="511"/>
      <c r="Y489" s="511"/>
      <c r="Z489" s="511"/>
      <c r="AA489" s="511"/>
      <c r="AB489" s="511"/>
      <c r="AC489" s="511"/>
      <c r="AD489" s="511"/>
      <c r="AE489" s="511"/>
      <c r="AF489" s="511"/>
      <c r="AG489" s="511"/>
      <c r="AH489" s="511"/>
      <c r="AI489" s="511"/>
      <c r="AJ489" s="511"/>
      <c r="AK489" s="511"/>
      <c r="AL489" s="511"/>
      <c r="AM489" s="511"/>
      <c r="AN489" s="511"/>
      <c r="AO489" s="511"/>
      <c r="AP489" s="511"/>
      <c r="AQ489" s="511"/>
      <c r="AR489" s="511"/>
      <c r="AS489" s="511"/>
      <c r="AT489" s="511"/>
      <c r="AU489" s="511"/>
      <c r="AV489" s="511"/>
      <c r="AW489" s="511"/>
      <c r="AX489" s="511"/>
      <c r="AY489" s="511"/>
      <c r="AZ489" s="511"/>
      <c r="BA489" s="511"/>
      <c r="BB489" s="511"/>
      <c r="BC489" s="511"/>
      <c r="BD489" s="511"/>
      <c r="BE489" s="511"/>
    </row>
    <row r="490" ht="15.75" customHeight="1">
      <c r="A490" s="511"/>
      <c r="B490" s="511"/>
      <c r="C490" s="511"/>
      <c r="D490" s="511"/>
      <c r="E490" s="511"/>
      <c r="F490" s="511"/>
      <c r="G490" s="511"/>
      <c r="H490" s="511"/>
      <c r="I490" s="511"/>
      <c r="J490" s="511"/>
      <c r="K490" s="511"/>
      <c r="L490" s="511"/>
      <c r="M490" s="511"/>
      <c r="N490" s="511"/>
      <c r="O490" s="511"/>
      <c r="P490" s="511"/>
      <c r="Q490" s="511"/>
      <c r="R490" s="511"/>
      <c r="S490" s="511"/>
      <c r="T490" s="511"/>
      <c r="U490" s="511"/>
      <c r="V490" s="511"/>
      <c r="W490" s="511"/>
      <c r="X490" s="511"/>
      <c r="Y490" s="511"/>
      <c r="Z490" s="511"/>
      <c r="AA490" s="511"/>
      <c r="AB490" s="511"/>
      <c r="AC490" s="511"/>
      <c r="AD490" s="511"/>
      <c r="AE490" s="511"/>
      <c r="AF490" s="511"/>
      <c r="AG490" s="511"/>
      <c r="AH490" s="511"/>
      <c r="AI490" s="511"/>
      <c r="AJ490" s="511"/>
      <c r="AK490" s="511"/>
      <c r="AL490" s="511"/>
      <c r="AM490" s="511"/>
      <c r="AN490" s="511"/>
      <c r="AO490" s="511"/>
      <c r="AP490" s="511"/>
      <c r="AQ490" s="511"/>
      <c r="AR490" s="511"/>
      <c r="AS490" s="511"/>
      <c r="AT490" s="511"/>
      <c r="AU490" s="511"/>
      <c r="AV490" s="511"/>
      <c r="AW490" s="511"/>
      <c r="AX490" s="511"/>
      <c r="AY490" s="511"/>
      <c r="AZ490" s="511"/>
      <c r="BA490" s="511"/>
      <c r="BB490" s="511"/>
      <c r="BC490" s="511"/>
      <c r="BD490" s="511"/>
      <c r="BE490" s="511"/>
    </row>
    <row r="491" ht="15.75" customHeight="1">
      <c r="A491" s="511"/>
      <c r="B491" s="511"/>
      <c r="C491" s="511"/>
      <c r="D491" s="511"/>
      <c r="E491" s="511"/>
      <c r="F491" s="511"/>
      <c r="G491" s="511"/>
      <c r="H491" s="511"/>
      <c r="I491" s="511"/>
      <c r="J491" s="511"/>
      <c r="K491" s="511"/>
      <c r="L491" s="511"/>
      <c r="M491" s="511"/>
      <c r="N491" s="511"/>
      <c r="O491" s="511"/>
      <c r="P491" s="511"/>
      <c r="Q491" s="511"/>
      <c r="R491" s="511"/>
      <c r="S491" s="511"/>
      <c r="T491" s="511"/>
      <c r="U491" s="511"/>
      <c r="V491" s="511"/>
      <c r="W491" s="511"/>
      <c r="X491" s="511"/>
      <c r="Y491" s="511"/>
      <c r="Z491" s="511"/>
      <c r="AA491" s="511"/>
      <c r="AB491" s="511"/>
      <c r="AC491" s="511"/>
      <c r="AD491" s="511"/>
      <c r="AE491" s="511"/>
      <c r="AF491" s="511"/>
      <c r="AG491" s="511"/>
      <c r="AH491" s="511"/>
      <c r="AI491" s="511"/>
      <c r="AJ491" s="511"/>
      <c r="AK491" s="511"/>
      <c r="AL491" s="511"/>
      <c r="AM491" s="511"/>
      <c r="AN491" s="511"/>
      <c r="AO491" s="511"/>
      <c r="AP491" s="511"/>
      <c r="AQ491" s="511"/>
      <c r="AR491" s="511"/>
      <c r="AS491" s="511"/>
      <c r="AT491" s="511"/>
      <c r="AU491" s="511"/>
      <c r="AV491" s="511"/>
      <c r="AW491" s="511"/>
      <c r="AX491" s="511"/>
      <c r="AY491" s="511"/>
      <c r="AZ491" s="511"/>
      <c r="BA491" s="511"/>
      <c r="BB491" s="511"/>
      <c r="BC491" s="511"/>
      <c r="BD491" s="511"/>
      <c r="BE491" s="511"/>
    </row>
    <row r="492" ht="15.75" customHeight="1">
      <c r="A492" s="511"/>
      <c r="B492" s="511"/>
      <c r="C492" s="511"/>
      <c r="D492" s="511"/>
      <c r="E492" s="511"/>
      <c r="F492" s="511"/>
      <c r="G492" s="511"/>
      <c r="H492" s="511"/>
      <c r="I492" s="511"/>
      <c r="J492" s="511"/>
      <c r="K492" s="511"/>
      <c r="L492" s="511"/>
      <c r="M492" s="511"/>
      <c r="N492" s="511"/>
      <c r="O492" s="511"/>
      <c r="P492" s="511"/>
      <c r="Q492" s="511"/>
      <c r="R492" s="511"/>
      <c r="S492" s="511"/>
      <c r="T492" s="511"/>
      <c r="U492" s="511"/>
      <c r="V492" s="511"/>
      <c r="W492" s="511"/>
      <c r="X492" s="511"/>
      <c r="Y492" s="511"/>
      <c r="Z492" s="511"/>
      <c r="AA492" s="511"/>
      <c r="AB492" s="511"/>
      <c r="AC492" s="511"/>
      <c r="AD492" s="511"/>
      <c r="AE492" s="511"/>
      <c r="AF492" s="511"/>
      <c r="AG492" s="511"/>
      <c r="AH492" s="511"/>
      <c r="AI492" s="511"/>
      <c r="AJ492" s="511"/>
      <c r="AK492" s="511"/>
      <c r="AL492" s="511"/>
      <c r="AM492" s="511"/>
      <c r="AN492" s="511"/>
      <c r="AO492" s="511"/>
      <c r="AP492" s="511"/>
      <c r="AQ492" s="511"/>
      <c r="AR492" s="511"/>
      <c r="AS492" s="511"/>
      <c r="AT492" s="511"/>
      <c r="AU492" s="511"/>
      <c r="AV492" s="511"/>
      <c r="AW492" s="511"/>
      <c r="AX492" s="511"/>
      <c r="AY492" s="511"/>
      <c r="AZ492" s="511"/>
      <c r="BA492" s="511"/>
      <c r="BB492" s="511"/>
      <c r="BC492" s="511"/>
      <c r="BD492" s="511"/>
      <c r="BE492" s="511"/>
    </row>
    <row r="493" ht="15.75" customHeight="1">
      <c r="A493" s="511"/>
      <c r="B493" s="511"/>
      <c r="C493" s="511"/>
      <c r="D493" s="511"/>
      <c r="E493" s="511"/>
      <c r="F493" s="511"/>
      <c r="G493" s="511"/>
      <c r="H493" s="511"/>
      <c r="I493" s="511"/>
      <c r="J493" s="511"/>
      <c r="K493" s="511"/>
      <c r="L493" s="511"/>
      <c r="M493" s="511"/>
      <c r="N493" s="511"/>
      <c r="O493" s="511"/>
      <c r="P493" s="511"/>
      <c r="Q493" s="511"/>
      <c r="R493" s="511"/>
      <c r="S493" s="511"/>
      <c r="T493" s="511"/>
      <c r="U493" s="511"/>
      <c r="V493" s="511"/>
      <c r="W493" s="511"/>
      <c r="X493" s="511"/>
      <c r="Y493" s="511"/>
      <c r="Z493" s="511"/>
      <c r="AA493" s="511"/>
      <c r="AB493" s="511"/>
      <c r="AC493" s="511"/>
      <c r="AD493" s="511"/>
      <c r="AE493" s="511"/>
      <c r="AF493" s="511"/>
      <c r="AG493" s="511"/>
      <c r="AH493" s="511"/>
      <c r="AI493" s="511"/>
      <c r="AJ493" s="511"/>
      <c r="AK493" s="511"/>
      <c r="AL493" s="511"/>
      <c r="AM493" s="511"/>
      <c r="AN493" s="511"/>
      <c r="AO493" s="511"/>
      <c r="AP493" s="511"/>
      <c r="AQ493" s="511"/>
      <c r="AR493" s="511"/>
      <c r="AS493" s="511"/>
      <c r="AT493" s="511"/>
      <c r="AU493" s="511"/>
      <c r="AV493" s="511"/>
      <c r="AW493" s="511"/>
      <c r="AX493" s="511"/>
      <c r="AY493" s="511"/>
      <c r="AZ493" s="511"/>
      <c r="BA493" s="511"/>
      <c r="BB493" s="511"/>
      <c r="BC493" s="511"/>
      <c r="BD493" s="511"/>
      <c r="BE493" s="511"/>
    </row>
    <row r="494" ht="15.75" customHeight="1">
      <c r="A494" s="511"/>
      <c r="B494" s="511"/>
      <c r="C494" s="511"/>
      <c r="D494" s="511"/>
      <c r="E494" s="511"/>
      <c r="F494" s="511"/>
      <c r="G494" s="511"/>
      <c r="H494" s="511"/>
      <c r="I494" s="511"/>
      <c r="J494" s="511"/>
      <c r="K494" s="511"/>
      <c r="L494" s="511"/>
      <c r="M494" s="511"/>
      <c r="N494" s="511"/>
      <c r="O494" s="511"/>
      <c r="P494" s="511"/>
      <c r="Q494" s="511"/>
      <c r="R494" s="511"/>
      <c r="S494" s="511"/>
      <c r="T494" s="511"/>
      <c r="U494" s="511"/>
      <c r="V494" s="511"/>
      <c r="W494" s="511"/>
      <c r="X494" s="511"/>
      <c r="Y494" s="511"/>
      <c r="Z494" s="511"/>
      <c r="AA494" s="511"/>
      <c r="AB494" s="511"/>
      <c r="AC494" s="511"/>
      <c r="AD494" s="511"/>
      <c r="AE494" s="511"/>
      <c r="AF494" s="511"/>
      <c r="AG494" s="511"/>
      <c r="AH494" s="511"/>
      <c r="AI494" s="511"/>
      <c r="AJ494" s="511"/>
      <c r="AK494" s="511"/>
      <c r="AL494" s="511"/>
      <c r="AM494" s="511"/>
      <c r="AN494" s="511"/>
      <c r="AO494" s="511"/>
      <c r="AP494" s="511"/>
      <c r="AQ494" s="511"/>
      <c r="AR494" s="511"/>
      <c r="AS494" s="511"/>
      <c r="AT494" s="511"/>
      <c r="AU494" s="511"/>
      <c r="AV494" s="511"/>
      <c r="AW494" s="511"/>
      <c r="AX494" s="511"/>
      <c r="AY494" s="511"/>
      <c r="AZ494" s="511"/>
      <c r="BA494" s="511"/>
      <c r="BB494" s="511"/>
      <c r="BC494" s="511"/>
      <c r="BD494" s="511"/>
      <c r="BE494" s="511"/>
    </row>
    <row r="495" ht="15.75" customHeight="1">
      <c r="A495" s="511"/>
      <c r="B495" s="511"/>
      <c r="C495" s="511"/>
      <c r="D495" s="511"/>
      <c r="E495" s="511"/>
      <c r="F495" s="511"/>
      <c r="G495" s="511"/>
      <c r="H495" s="511"/>
      <c r="I495" s="511"/>
      <c r="J495" s="511"/>
      <c r="K495" s="511"/>
      <c r="L495" s="511"/>
      <c r="M495" s="511"/>
      <c r="N495" s="511"/>
      <c r="O495" s="511"/>
      <c r="P495" s="511"/>
      <c r="Q495" s="511"/>
      <c r="R495" s="511"/>
      <c r="S495" s="511"/>
      <c r="T495" s="511"/>
      <c r="U495" s="511"/>
      <c r="V495" s="511"/>
      <c r="W495" s="511"/>
      <c r="X495" s="511"/>
      <c r="Y495" s="511"/>
      <c r="Z495" s="511"/>
      <c r="AA495" s="511"/>
      <c r="AB495" s="511"/>
      <c r="AC495" s="511"/>
      <c r="AD495" s="511"/>
      <c r="AE495" s="511"/>
      <c r="AF495" s="511"/>
      <c r="AG495" s="511"/>
      <c r="AH495" s="511"/>
      <c r="AI495" s="511"/>
      <c r="AJ495" s="511"/>
      <c r="AK495" s="511"/>
      <c r="AL495" s="511"/>
      <c r="AM495" s="511"/>
      <c r="AN495" s="511"/>
      <c r="AO495" s="511"/>
      <c r="AP495" s="511"/>
      <c r="AQ495" s="511"/>
      <c r="AR495" s="511"/>
      <c r="AS495" s="511"/>
      <c r="AT495" s="511"/>
      <c r="AU495" s="511"/>
      <c r="AV495" s="511"/>
      <c r="AW495" s="511"/>
      <c r="AX495" s="511"/>
      <c r="AY495" s="511"/>
      <c r="AZ495" s="511"/>
      <c r="BA495" s="511"/>
      <c r="BB495" s="511"/>
      <c r="BC495" s="511"/>
      <c r="BD495" s="511"/>
      <c r="BE495" s="511"/>
    </row>
    <row r="496" ht="15.75" customHeight="1">
      <c r="A496" s="511"/>
      <c r="B496" s="511"/>
      <c r="C496" s="511"/>
      <c r="D496" s="511"/>
      <c r="E496" s="511"/>
      <c r="F496" s="511"/>
      <c r="G496" s="511"/>
      <c r="H496" s="511"/>
      <c r="I496" s="511"/>
      <c r="J496" s="511"/>
      <c r="K496" s="511"/>
      <c r="L496" s="511"/>
      <c r="M496" s="511"/>
      <c r="N496" s="511"/>
      <c r="O496" s="511"/>
      <c r="P496" s="511"/>
      <c r="Q496" s="511"/>
      <c r="R496" s="511"/>
      <c r="S496" s="511"/>
      <c r="T496" s="511"/>
      <c r="U496" s="511"/>
      <c r="V496" s="511"/>
      <c r="W496" s="511"/>
      <c r="X496" s="511"/>
      <c r="Y496" s="511"/>
      <c r="Z496" s="511"/>
      <c r="AA496" s="511"/>
      <c r="AB496" s="511"/>
      <c r="AC496" s="511"/>
      <c r="AD496" s="511"/>
      <c r="AE496" s="511"/>
      <c r="AF496" s="511"/>
      <c r="AG496" s="511"/>
      <c r="AH496" s="511"/>
      <c r="AI496" s="511"/>
      <c r="AJ496" s="511"/>
      <c r="AK496" s="511"/>
      <c r="AL496" s="511"/>
      <c r="AM496" s="511"/>
      <c r="AN496" s="511"/>
      <c r="AO496" s="511"/>
      <c r="AP496" s="511"/>
      <c r="AQ496" s="511"/>
      <c r="AR496" s="511"/>
      <c r="AS496" s="511"/>
      <c r="AT496" s="511"/>
      <c r="AU496" s="511"/>
      <c r="AV496" s="511"/>
      <c r="AW496" s="511"/>
      <c r="AX496" s="511"/>
      <c r="AY496" s="511"/>
      <c r="AZ496" s="511"/>
      <c r="BA496" s="511"/>
      <c r="BB496" s="511"/>
      <c r="BC496" s="511"/>
      <c r="BD496" s="511"/>
      <c r="BE496" s="511"/>
    </row>
    <row r="497" ht="15.75" customHeight="1">
      <c r="A497" s="511"/>
      <c r="B497" s="511"/>
      <c r="C497" s="511"/>
      <c r="D497" s="511"/>
      <c r="E497" s="511"/>
      <c r="F497" s="511"/>
      <c r="G497" s="511"/>
      <c r="H497" s="511"/>
      <c r="I497" s="511"/>
      <c r="J497" s="511"/>
      <c r="K497" s="511"/>
      <c r="L497" s="511"/>
      <c r="M497" s="511"/>
      <c r="N497" s="511"/>
      <c r="O497" s="511"/>
      <c r="P497" s="511"/>
      <c r="Q497" s="511"/>
      <c r="R497" s="511"/>
      <c r="S497" s="511"/>
      <c r="T497" s="511"/>
      <c r="U497" s="511"/>
      <c r="V497" s="511"/>
      <c r="W497" s="511"/>
      <c r="X497" s="511"/>
      <c r="Y497" s="511"/>
      <c r="Z497" s="511"/>
      <c r="AA497" s="511"/>
      <c r="AB497" s="511"/>
      <c r="AC497" s="511"/>
      <c r="AD497" s="511"/>
      <c r="AE497" s="511"/>
      <c r="AF497" s="511"/>
      <c r="AG497" s="511"/>
      <c r="AH497" s="511"/>
      <c r="AI497" s="511"/>
      <c r="AJ497" s="511"/>
      <c r="AK497" s="511"/>
      <c r="AL497" s="511"/>
      <c r="AM497" s="511"/>
      <c r="AN497" s="511"/>
      <c r="AO497" s="511"/>
      <c r="AP497" s="511"/>
      <c r="AQ497" s="511"/>
      <c r="AR497" s="511"/>
      <c r="AS497" s="511"/>
      <c r="AT497" s="511"/>
      <c r="AU497" s="511"/>
      <c r="AV497" s="511"/>
      <c r="AW497" s="511"/>
      <c r="AX497" s="511"/>
      <c r="AY497" s="511"/>
      <c r="AZ497" s="511"/>
      <c r="BA497" s="511"/>
      <c r="BB497" s="511"/>
      <c r="BC497" s="511"/>
      <c r="BD497" s="511"/>
      <c r="BE497" s="511"/>
    </row>
    <row r="498" ht="15.75" customHeight="1">
      <c r="A498" s="511"/>
      <c r="B498" s="511"/>
      <c r="C498" s="511"/>
      <c r="D498" s="511"/>
      <c r="E498" s="511"/>
      <c r="F498" s="511"/>
      <c r="G498" s="511"/>
      <c r="H498" s="511"/>
      <c r="I498" s="511"/>
      <c r="J498" s="511"/>
      <c r="K498" s="511"/>
      <c r="L498" s="511"/>
      <c r="M498" s="511"/>
      <c r="N498" s="511"/>
      <c r="O498" s="511"/>
      <c r="P498" s="511"/>
      <c r="Q498" s="511"/>
      <c r="R498" s="511"/>
      <c r="S498" s="511"/>
      <c r="T498" s="511"/>
      <c r="U498" s="511"/>
      <c r="V498" s="511"/>
      <c r="W498" s="511"/>
      <c r="X498" s="511"/>
      <c r="Y498" s="511"/>
      <c r="Z498" s="511"/>
      <c r="AA498" s="511"/>
      <c r="AB498" s="511"/>
      <c r="AC498" s="511"/>
      <c r="AD498" s="511"/>
      <c r="AE498" s="511"/>
      <c r="AF498" s="511"/>
      <c r="AG498" s="511"/>
      <c r="AH498" s="511"/>
      <c r="AI498" s="511"/>
      <c r="AJ498" s="511"/>
      <c r="AK498" s="511"/>
      <c r="AL498" s="511"/>
      <c r="AM498" s="511"/>
      <c r="AN498" s="511"/>
      <c r="AO498" s="511"/>
      <c r="AP498" s="511"/>
      <c r="AQ498" s="511"/>
      <c r="AR498" s="511"/>
      <c r="AS498" s="511"/>
      <c r="AT498" s="511"/>
      <c r="AU498" s="511"/>
      <c r="AV498" s="511"/>
      <c r="AW498" s="511"/>
      <c r="AX498" s="511"/>
      <c r="AY498" s="511"/>
      <c r="AZ498" s="511"/>
      <c r="BA498" s="511"/>
      <c r="BB498" s="511"/>
      <c r="BC498" s="511"/>
      <c r="BD498" s="511"/>
      <c r="BE498" s="511"/>
    </row>
    <row r="499" ht="15.75" customHeight="1">
      <c r="A499" s="511"/>
      <c r="B499" s="511"/>
      <c r="C499" s="511"/>
      <c r="D499" s="511"/>
      <c r="E499" s="511"/>
      <c r="F499" s="511"/>
      <c r="G499" s="511"/>
      <c r="H499" s="511"/>
      <c r="I499" s="511"/>
      <c r="J499" s="511"/>
      <c r="K499" s="511"/>
      <c r="L499" s="511"/>
      <c r="M499" s="511"/>
      <c r="N499" s="511"/>
      <c r="O499" s="511"/>
      <c r="P499" s="511"/>
      <c r="Q499" s="511"/>
      <c r="R499" s="511"/>
      <c r="S499" s="511"/>
      <c r="T499" s="511"/>
      <c r="U499" s="511"/>
      <c r="V499" s="511"/>
      <c r="W499" s="511"/>
      <c r="X499" s="511"/>
      <c r="Y499" s="511"/>
      <c r="Z499" s="511"/>
      <c r="AA499" s="511"/>
      <c r="AB499" s="511"/>
      <c r="AC499" s="511"/>
      <c r="AD499" s="511"/>
      <c r="AE499" s="511"/>
      <c r="AF499" s="511"/>
      <c r="AG499" s="511"/>
      <c r="AH499" s="511"/>
      <c r="AI499" s="511"/>
      <c r="AJ499" s="511"/>
      <c r="AK499" s="511"/>
      <c r="AL499" s="511"/>
      <c r="AM499" s="511"/>
      <c r="AN499" s="511"/>
      <c r="AO499" s="511"/>
      <c r="AP499" s="511"/>
      <c r="AQ499" s="511"/>
      <c r="AR499" s="511"/>
      <c r="AS499" s="511"/>
      <c r="AT499" s="511"/>
      <c r="AU499" s="511"/>
      <c r="AV499" s="511"/>
      <c r="AW499" s="511"/>
      <c r="AX499" s="511"/>
      <c r="AY499" s="511"/>
      <c r="AZ499" s="511"/>
      <c r="BA499" s="511"/>
      <c r="BB499" s="511"/>
      <c r="BC499" s="511"/>
      <c r="BD499" s="511"/>
      <c r="BE499" s="511"/>
    </row>
    <row r="500" ht="15.75" customHeight="1">
      <c r="A500" s="511"/>
      <c r="B500" s="511"/>
      <c r="C500" s="511"/>
      <c r="D500" s="511"/>
      <c r="E500" s="511"/>
      <c r="F500" s="511"/>
      <c r="G500" s="511"/>
      <c r="H500" s="511"/>
      <c r="I500" s="511"/>
      <c r="J500" s="511"/>
      <c r="K500" s="511"/>
      <c r="L500" s="511"/>
      <c r="M500" s="511"/>
      <c r="N500" s="511"/>
      <c r="O500" s="511"/>
      <c r="P500" s="511"/>
      <c r="Q500" s="511"/>
      <c r="R500" s="511"/>
      <c r="S500" s="511"/>
      <c r="T500" s="511"/>
      <c r="U500" s="511"/>
      <c r="V500" s="511"/>
      <c r="W500" s="511"/>
      <c r="X500" s="511"/>
      <c r="Y500" s="511"/>
      <c r="Z500" s="511"/>
      <c r="AA500" s="511"/>
      <c r="AB500" s="511"/>
      <c r="AC500" s="511"/>
      <c r="AD500" s="511"/>
      <c r="AE500" s="511"/>
      <c r="AF500" s="511"/>
      <c r="AG500" s="511"/>
      <c r="AH500" s="511"/>
      <c r="AI500" s="511"/>
      <c r="AJ500" s="511"/>
      <c r="AK500" s="511"/>
      <c r="AL500" s="511"/>
      <c r="AM500" s="511"/>
      <c r="AN500" s="511"/>
      <c r="AO500" s="511"/>
      <c r="AP500" s="511"/>
      <c r="AQ500" s="511"/>
      <c r="AR500" s="511"/>
      <c r="AS500" s="511"/>
      <c r="AT500" s="511"/>
      <c r="AU500" s="511"/>
      <c r="AV500" s="511"/>
      <c r="AW500" s="511"/>
      <c r="AX500" s="511"/>
      <c r="AY500" s="511"/>
      <c r="AZ500" s="511"/>
      <c r="BA500" s="511"/>
      <c r="BB500" s="511"/>
      <c r="BC500" s="511"/>
      <c r="BD500" s="511"/>
      <c r="BE500" s="511"/>
    </row>
    <row r="501" ht="15.75" customHeight="1">
      <c r="A501" s="511"/>
      <c r="B501" s="511"/>
      <c r="C501" s="511"/>
      <c r="D501" s="511"/>
      <c r="E501" s="511"/>
      <c r="F501" s="511"/>
      <c r="G501" s="511"/>
      <c r="H501" s="511"/>
      <c r="I501" s="511"/>
      <c r="J501" s="511"/>
      <c r="K501" s="511"/>
      <c r="L501" s="511"/>
      <c r="M501" s="511"/>
      <c r="N501" s="511"/>
      <c r="O501" s="511"/>
      <c r="P501" s="511"/>
      <c r="Q501" s="511"/>
      <c r="R501" s="511"/>
      <c r="S501" s="511"/>
      <c r="T501" s="511"/>
      <c r="U501" s="511"/>
      <c r="V501" s="511"/>
      <c r="W501" s="511"/>
      <c r="X501" s="511"/>
      <c r="Y501" s="511"/>
      <c r="Z501" s="511"/>
      <c r="AA501" s="511"/>
      <c r="AB501" s="511"/>
      <c r="AC501" s="511"/>
      <c r="AD501" s="511"/>
      <c r="AE501" s="511"/>
      <c r="AF501" s="511"/>
      <c r="AG501" s="511"/>
      <c r="AH501" s="511"/>
      <c r="AI501" s="511"/>
      <c r="AJ501" s="511"/>
      <c r="AK501" s="511"/>
      <c r="AL501" s="511"/>
      <c r="AM501" s="511"/>
      <c r="AN501" s="511"/>
      <c r="AO501" s="511"/>
      <c r="AP501" s="511"/>
      <c r="AQ501" s="511"/>
      <c r="AR501" s="511"/>
      <c r="AS501" s="511"/>
      <c r="AT501" s="511"/>
      <c r="AU501" s="511"/>
      <c r="AV501" s="511"/>
      <c r="AW501" s="511"/>
      <c r="AX501" s="511"/>
      <c r="AY501" s="511"/>
      <c r="AZ501" s="511"/>
      <c r="BA501" s="511"/>
      <c r="BB501" s="511"/>
      <c r="BC501" s="511"/>
      <c r="BD501" s="511"/>
      <c r="BE501" s="511"/>
    </row>
    <row r="502" ht="15.75" customHeight="1">
      <c r="A502" s="511"/>
      <c r="B502" s="511"/>
      <c r="C502" s="511"/>
      <c r="D502" s="511"/>
      <c r="E502" s="511"/>
      <c r="F502" s="511"/>
      <c r="G502" s="511"/>
      <c r="H502" s="511"/>
      <c r="I502" s="511"/>
      <c r="J502" s="511"/>
      <c r="K502" s="511"/>
      <c r="L502" s="511"/>
      <c r="M502" s="511"/>
      <c r="N502" s="511"/>
      <c r="O502" s="511"/>
      <c r="P502" s="511"/>
      <c r="Q502" s="511"/>
      <c r="R502" s="511"/>
      <c r="S502" s="511"/>
      <c r="T502" s="511"/>
      <c r="U502" s="511"/>
      <c r="V502" s="511"/>
      <c r="W502" s="511"/>
      <c r="X502" s="511"/>
      <c r="Y502" s="511"/>
      <c r="Z502" s="511"/>
      <c r="AA502" s="511"/>
      <c r="AB502" s="511"/>
      <c r="AC502" s="511"/>
      <c r="AD502" s="511"/>
      <c r="AE502" s="511"/>
      <c r="AF502" s="511"/>
      <c r="AG502" s="511"/>
      <c r="AH502" s="511"/>
      <c r="AI502" s="511"/>
      <c r="AJ502" s="511"/>
      <c r="AK502" s="511"/>
      <c r="AL502" s="511"/>
      <c r="AM502" s="511"/>
      <c r="AN502" s="511"/>
      <c r="AO502" s="511"/>
      <c r="AP502" s="511"/>
      <c r="AQ502" s="511"/>
      <c r="AR502" s="511"/>
      <c r="AS502" s="511"/>
      <c r="AT502" s="511"/>
      <c r="AU502" s="511"/>
      <c r="AV502" s="511"/>
      <c r="AW502" s="511"/>
      <c r="AX502" s="511"/>
      <c r="AY502" s="511"/>
      <c r="AZ502" s="511"/>
      <c r="BA502" s="511"/>
      <c r="BB502" s="511"/>
      <c r="BC502" s="511"/>
      <c r="BD502" s="511"/>
      <c r="BE502" s="511"/>
    </row>
    <row r="503" ht="15.75" customHeight="1">
      <c r="A503" s="511"/>
      <c r="B503" s="511"/>
      <c r="C503" s="511"/>
      <c r="D503" s="511"/>
      <c r="E503" s="511"/>
      <c r="F503" s="511"/>
      <c r="G503" s="511"/>
      <c r="H503" s="511"/>
      <c r="I503" s="511"/>
      <c r="J503" s="511"/>
      <c r="K503" s="511"/>
      <c r="L503" s="511"/>
      <c r="M503" s="511"/>
      <c r="N503" s="511"/>
      <c r="O503" s="511"/>
      <c r="P503" s="511"/>
      <c r="Q503" s="511"/>
      <c r="R503" s="511"/>
      <c r="S503" s="511"/>
      <c r="T503" s="511"/>
      <c r="U503" s="511"/>
      <c r="V503" s="511"/>
      <c r="W503" s="511"/>
      <c r="X503" s="511"/>
      <c r="Y503" s="511"/>
      <c r="Z503" s="511"/>
      <c r="AA503" s="511"/>
      <c r="AB503" s="511"/>
      <c r="AC503" s="511"/>
      <c r="AD503" s="511"/>
      <c r="AE503" s="511"/>
      <c r="AF503" s="511"/>
      <c r="AG503" s="511"/>
      <c r="AH503" s="511"/>
      <c r="AI503" s="511"/>
      <c r="AJ503" s="511"/>
      <c r="AK503" s="511"/>
      <c r="AL503" s="511"/>
      <c r="AM503" s="511"/>
      <c r="AN503" s="511"/>
      <c r="AO503" s="511"/>
      <c r="AP503" s="511"/>
      <c r="AQ503" s="511"/>
      <c r="AR503" s="511"/>
      <c r="AS503" s="511"/>
      <c r="AT503" s="511"/>
      <c r="AU503" s="511"/>
      <c r="AV503" s="511"/>
      <c r="AW503" s="511"/>
      <c r="AX503" s="511"/>
      <c r="AY503" s="511"/>
      <c r="AZ503" s="511"/>
      <c r="BA503" s="511"/>
      <c r="BB503" s="511"/>
      <c r="BC503" s="511"/>
      <c r="BD503" s="511"/>
      <c r="BE503" s="511"/>
    </row>
    <row r="504" ht="15.75" customHeight="1">
      <c r="A504" s="511"/>
      <c r="B504" s="511"/>
      <c r="C504" s="511"/>
      <c r="D504" s="511"/>
      <c r="E504" s="511"/>
      <c r="F504" s="511"/>
      <c r="G504" s="511"/>
      <c r="H504" s="511"/>
      <c r="I504" s="511"/>
      <c r="J504" s="511"/>
      <c r="K504" s="511"/>
      <c r="L504" s="511"/>
      <c r="M504" s="511"/>
      <c r="N504" s="511"/>
      <c r="O504" s="511"/>
      <c r="P504" s="511"/>
      <c r="Q504" s="511"/>
      <c r="R504" s="511"/>
      <c r="S504" s="511"/>
      <c r="T504" s="511"/>
      <c r="U504" s="511"/>
      <c r="V504" s="511"/>
      <c r="W504" s="511"/>
      <c r="X504" s="511"/>
      <c r="Y504" s="511"/>
      <c r="Z504" s="511"/>
      <c r="AA504" s="511"/>
      <c r="AB504" s="511"/>
      <c r="AC504" s="511"/>
      <c r="AD504" s="511"/>
      <c r="AE504" s="511"/>
      <c r="AF504" s="511"/>
      <c r="AG504" s="511"/>
      <c r="AH504" s="511"/>
      <c r="AI504" s="511"/>
      <c r="AJ504" s="511"/>
      <c r="AK504" s="511"/>
      <c r="AL504" s="511"/>
      <c r="AM504" s="511"/>
      <c r="AN504" s="511"/>
      <c r="AO504" s="511"/>
      <c r="AP504" s="511"/>
      <c r="AQ504" s="511"/>
      <c r="AR504" s="511"/>
      <c r="AS504" s="511"/>
      <c r="AT504" s="511"/>
      <c r="AU504" s="511"/>
      <c r="AV504" s="511"/>
      <c r="AW504" s="511"/>
      <c r="AX504" s="511"/>
      <c r="AY504" s="511"/>
      <c r="AZ504" s="511"/>
      <c r="BA504" s="511"/>
      <c r="BB504" s="511"/>
      <c r="BC504" s="511"/>
      <c r="BD504" s="511"/>
      <c r="BE504" s="511"/>
    </row>
    <row r="505" ht="15.75" customHeight="1">
      <c r="A505" s="511"/>
      <c r="B505" s="511"/>
      <c r="C505" s="511"/>
      <c r="D505" s="511"/>
      <c r="E505" s="511"/>
      <c r="F505" s="511"/>
      <c r="G505" s="511"/>
      <c r="H505" s="511"/>
      <c r="I505" s="511"/>
      <c r="J505" s="511"/>
      <c r="K505" s="511"/>
      <c r="L505" s="511"/>
      <c r="M505" s="511"/>
      <c r="N505" s="511"/>
      <c r="O505" s="511"/>
      <c r="P505" s="511"/>
      <c r="Q505" s="511"/>
      <c r="R505" s="511"/>
      <c r="S505" s="511"/>
      <c r="T505" s="511"/>
      <c r="U505" s="511"/>
      <c r="V505" s="511"/>
      <c r="W505" s="511"/>
      <c r="X505" s="511"/>
      <c r="Y505" s="511"/>
      <c r="Z505" s="511"/>
      <c r="AA505" s="511"/>
      <c r="AB505" s="511"/>
      <c r="AC505" s="511"/>
      <c r="AD505" s="511"/>
      <c r="AE505" s="511"/>
      <c r="AF505" s="511"/>
      <c r="AG505" s="511"/>
      <c r="AH505" s="511"/>
      <c r="AI505" s="511"/>
      <c r="AJ505" s="511"/>
      <c r="AK505" s="511"/>
      <c r="AL505" s="511"/>
      <c r="AM505" s="511"/>
      <c r="AN505" s="511"/>
      <c r="AO505" s="511"/>
      <c r="AP505" s="511"/>
      <c r="AQ505" s="511"/>
      <c r="AR505" s="511"/>
      <c r="AS505" s="511"/>
      <c r="AT505" s="511"/>
      <c r="AU505" s="511"/>
      <c r="AV505" s="511"/>
      <c r="AW505" s="511"/>
      <c r="AX505" s="511"/>
      <c r="AY505" s="511"/>
      <c r="AZ505" s="511"/>
      <c r="BA505" s="511"/>
      <c r="BB505" s="511"/>
      <c r="BC505" s="511"/>
      <c r="BD505" s="511"/>
      <c r="BE505" s="511"/>
    </row>
    <row r="506" ht="15.75" customHeight="1">
      <c r="A506" s="511"/>
      <c r="B506" s="511"/>
      <c r="C506" s="511"/>
      <c r="D506" s="511"/>
      <c r="E506" s="511"/>
      <c r="F506" s="511"/>
      <c r="G506" s="511"/>
      <c r="H506" s="511"/>
      <c r="I506" s="511"/>
      <c r="J506" s="511"/>
      <c r="K506" s="511"/>
      <c r="L506" s="511"/>
      <c r="M506" s="511"/>
      <c r="N506" s="511"/>
      <c r="O506" s="511"/>
      <c r="P506" s="511"/>
      <c r="Q506" s="511"/>
      <c r="R506" s="511"/>
      <c r="S506" s="511"/>
      <c r="T506" s="511"/>
      <c r="U506" s="511"/>
      <c r="V506" s="511"/>
      <c r="W506" s="511"/>
      <c r="X506" s="511"/>
      <c r="Y506" s="511"/>
      <c r="Z506" s="511"/>
      <c r="AA506" s="511"/>
      <c r="AB506" s="511"/>
      <c r="AC506" s="511"/>
      <c r="AD506" s="511"/>
      <c r="AE506" s="511"/>
      <c r="AF506" s="511"/>
      <c r="AG506" s="511"/>
      <c r="AH506" s="511"/>
      <c r="AI506" s="511"/>
      <c r="AJ506" s="511"/>
      <c r="AK506" s="511"/>
      <c r="AL506" s="511"/>
      <c r="AM506" s="511"/>
      <c r="AN506" s="511"/>
      <c r="AO506" s="511"/>
      <c r="AP506" s="511"/>
      <c r="AQ506" s="511"/>
      <c r="AR506" s="511"/>
      <c r="AS506" s="511"/>
      <c r="AT506" s="511"/>
      <c r="AU506" s="511"/>
      <c r="AV506" s="511"/>
      <c r="AW506" s="511"/>
      <c r="AX506" s="511"/>
      <c r="AY506" s="511"/>
      <c r="AZ506" s="511"/>
      <c r="BA506" s="511"/>
      <c r="BB506" s="511"/>
      <c r="BC506" s="511"/>
      <c r="BD506" s="511"/>
      <c r="BE506" s="511"/>
    </row>
    <row r="507" ht="15.75" customHeight="1">
      <c r="A507" s="511"/>
      <c r="B507" s="511"/>
      <c r="C507" s="511"/>
      <c r="D507" s="511"/>
      <c r="E507" s="511"/>
      <c r="F507" s="511"/>
      <c r="G507" s="511"/>
      <c r="H507" s="511"/>
      <c r="I507" s="511"/>
      <c r="J507" s="511"/>
      <c r="K507" s="511"/>
      <c r="L507" s="511"/>
      <c r="M507" s="511"/>
      <c r="N507" s="511"/>
      <c r="O507" s="511"/>
      <c r="P507" s="511"/>
      <c r="Q507" s="511"/>
      <c r="R507" s="511"/>
      <c r="S507" s="511"/>
      <c r="T507" s="511"/>
      <c r="U507" s="511"/>
      <c r="V507" s="511"/>
      <c r="W507" s="511"/>
      <c r="X507" s="511"/>
      <c r="Y507" s="511"/>
      <c r="Z507" s="511"/>
      <c r="AA507" s="511"/>
      <c r="AB507" s="511"/>
      <c r="AC507" s="511"/>
      <c r="AD507" s="511"/>
      <c r="AE507" s="511"/>
      <c r="AF507" s="511"/>
      <c r="AG507" s="511"/>
      <c r="AH507" s="511"/>
      <c r="AI507" s="511"/>
      <c r="AJ507" s="511"/>
      <c r="AK507" s="511"/>
      <c r="AL507" s="511"/>
      <c r="AM507" s="511"/>
      <c r="AN507" s="511"/>
      <c r="AO507" s="511"/>
      <c r="AP507" s="511"/>
      <c r="AQ507" s="511"/>
      <c r="AR507" s="511"/>
      <c r="AS507" s="511"/>
      <c r="AT507" s="511"/>
      <c r="AU507" s="511"/>
      <c r="AV507" s="511"/>
      <c r="AW507" s="511"/>
      <c r="AX507" s="511"/>
      <c r="AY507" s="511"/>
      <c r="AZ507" s="511"/>
      <c r="BA507" s="511"/>
      <c r="BB507" s="511"/>
      <c r="BC507" s="511"/>
      <c r="BD507" s="511"/>
      <c r="BE507" s="511"/>
    </row>
    <row r="508" ht="15.75" customHeight="1">
      <c r="A508" s="511"/>
      <c r="B508" s="511"/>
      <c r="C508" s="511"/>
      <c r="D508" s="511"/>
      <c r="E508" s="511"/>
      <c r="F508" s="511"/>
      <c r="G508" s="511"/>
      <c r="H508" s="511"/>
      <c r="I508" s="511"/>
      <c r="J508" s="511"/>
      <c r="K508" s="511"/>
      <c r="L508" s="511"/>
      <c r="M508" s="511"/>
      <c r="N508" s="511"/>
      <c r="O508" s="511"/>
      <c r="P508" s="511"/>
      <c r="Q508" s="511"/>
      <c r="R508" s="511"/>
      <c r="S508" s="511"/>
      <c r="T508" s="511"/>
      <c r="U508" s="511"/>
      <c r="V508" s="511"/>
      <c r="W508" s="511"/>
      <c r="X508" s="511"/>
      <c r="Y508" s="511"/>
      <c r="Z508" s="511"/>
      <c r="AA508" s="511"/>
      <c r="AB508" s="511"/>
      <c r="AC508" s="511"/>
      <c r="AD508" s="511"/>
      <c r="AE508" s="511"/>
      <c r="AF508" s="511"/>
      <c r="AG508" s="511"/>
      <c r="AH508" s="511"/>
      <c r="AI508" s="511"/>
      <c r="AJ508" s="511"/>
      <c r="AK508" s="511"/>
      <c r="AL508" s="511"/>
      <c r="AM508" s="511"/>
      <c r="AN508" s="511"/>
      <c r="AO508" s="511"/>
      <c r="AP508" s="511"/>
      <c r="AQ508" s="511"/>
      <c r="AR508" s="511"/>
      <c r="AS508" s="511"/>
      <c r="AT508" s="511"/>
      <c r="AU508" s="511"/>
      <c r="AV508" s="511"/>
      <c r="AW508" s="511"/>
      <c r="AX508" s="511"/>
      <c r="AY508" s="511"/>
      <c r="AZ508" s="511"/>
      <c r="BA508" s="511"/>
      <c r="BB508" s="511"/>
      <c r="BC508" s="511"/>
      <c r="BD508" s="511"/>
      <c r="BE508" s="511"/>
    </row>
    <row r="509" ht="15.75" customHeight="1">
      <c r="A509" s="511"/>
      <c r="B509" s="511"/>
      <c r="C509" s="511"/>
      <c r="D509" s="511"/>
      <c r="E509" s="511"/>
      <c r="F509" s="511"/>
      <c r="G509" s="511"/>
      <c r="H509" s="511"/>
      <c r="I509" s="511"/>
      <c r="J509" s="511"/>
      <c r="K509" s="511"/>
      <c r="L509" s="511"/>
      <c r="M509" s="511"/>
      <c r="N509" s="511"/>
      <c r="O509" s="511"/>
      <c r="P509" s="511"/>
      <c r="Q509" s="511"/>
      <c r="R509" s="511"/>
      <c r="S509" s="511"/>
      <c r="T509" s="511"/>
      <c r="U509" s="511"/>
      <c r="V509" s="511"/>
      <c r="W509" s="511"/>
      <c r="X509" s="511"/>
      <c r="Y509" s="511"/>
      <c r="Z509" s="511"/>
      <c r="AA509" s="511"/>
      <c r="AB509" s="511"/>
      <c r="AC509" s="511"/>
      <c r="AD509" s="511"/>
      <c r="AE509" s="511"/>
      <c r="AF509" s="511"/>
      <c r="AG509" s="511"/>
      <c r="AH509" s="511"/>
      <c r="AI509" s="511"/>
      <c r="AJ509" s="511"/>
      <c r="AK509" s="511"/>
      <c r="AL509" s="511"/>
      <c r="AM509" s="511"/>
      <c r="AN509" s="511"/>
      <c r="AO509" s="511"/>
      <c r="AP509" s="511"/>
      <c r="AQ509" s="511"/>
      <c r="AR509" s="511"/>
      <c r="AS509" s="511"/>
      <c r="AT509" s="511"/>
      <c r="AU509" s="511"/>
      <c r="AV509" s="511"/>
      <c r="AW509" s="511"/>
      <c r="AX509" s="511"/>
      <c r="AY509" s="511"/>
      <c r="AZ509" s="511"/>
      <c r="BA509" s="511"/>
      <c r="BB509" s="511"/>
      <c r="BC509" s="511"/>
      <c r="BD509" s="511"/>
      <c r="BE509" s="511"/>
    </row>
    <row r="510" ht="15.75" customHeight="1">
      <c r="A510" s="511"/>
      <c r="B510" s="511"/>
      <c r="C510" s="511"/>
      <c r="D510" s="511"/>
      <c r="E510" s="511"/>
      <c r="F510" s="511"/>
      <c r="G510" s="511"/>
      <c r="H510" s="511"/>
      <c r="I510" s="511"/>
      <c r="J510" s="511"/>
      <c r="K510" s="511"/>
      <c r="L510" s="511"/>
      <c r="M510" s="511"/>
      <c r="N510" s="511"/>
      <c r="O510" s="511"/>
      <c r="P510" s="511"/>
      <c r="Q510" s="511"/>
      <c r="R510" s="511"/>
      <c r="S510" s="511"/>
      <c r="T510" s="511"/>
      <c r="U510" s="511"/>
      <c r="V510" s="511"/>
      <c r="W510" s="511"/>
      <c r="X510" s="511"/>
      <c r="Y510" s="511"/>
      <c r="Z510" s="511"/>
      <c r="AA510" s="511"/>
      <c r="AB510" s="511"/>
      <c r="AC510" s="511"/>
      <c r="AD510" s="511"/>
      <c r="AE510" s="511"/>
      <c r="AF510" s="511"/>
      <c r="AG510" s="511"/>
      <c r="AH510" s="511"/>
      <c r="AI510" s="511"/>
      <c r="AJ510" s="511"/>
      <c r="AK510" s="511"/>
      <c r="AL510" s="511"/>
      <c r="AM510" s="511"/>
      <c r="AN510" s="511"/>
      <c r="AO510" s="511"/>
      <c r="AP510" s="511"/>
      <c r="AQ510" s="511"/>
      <c r="AR510" s="511"/>
      <c r="AS510" s="511"/>
      <c r="AT510" s="511"/>
      <c r="AU510" s="511"/>
      <c r="AV510" s="511"/>
      <c r="AW510" s="511"/>
      <c r="AX510" s="511"/>
      <c r="AY510" s="511"/>
      <c r="AZ510" s="511"/>
      <c r="BA510" s="511"/>
      <c r="BB510" s="511"/>
      <c r="BC510" s="511"/>
      <c r="BD510" s="511"/>
      <c r="BE510" s="511"/>
    </row>
    <row r="511" ht="15.75" customHeight="1">
      <c r="A511" s="511"/>
      <c r="B511" s="511"/>
      <c r="C511" s="511"/>
      <c r="D511" s="511"/>
      <c r="E511" s="511"/>
      <c r="F511" s="511"/>
      <c r="G511" s="511"/>
      <c r="H511" s="511"/>
      <c r="I511" s="511"/>
      <c r="J511" s="511"/>
      <c r="K511" s="511"/>
      <c r="L511" s="511"/>
      <c r="M511" s="511"/>
      <c r="N511" s="511"/>
      <c r="O511" s="511"/>
      <c r="P511" s="511"/>
      <c r="Q511" s="511"/>
      <c r="R511" s="511"/>
      <c r="S511" s="511"/>
      <c r="T511" s="511"/>
      <c r="U511" s="511"/>
      <c r="V511" s="511"/>
      <c r="W511" s="511"/>
      <c r="X511" s="511"/>
      <c r="Y511" s="511"/>
      <c r="Z511" s="511"/>
      <c r="AA511" s="511"/>
      <c r="AB511" s="511"/>
      <c r="AC511" s="511"/>
      <c r="AD511" s="511"/>
      <c r="AE511" s="511"/>
      <c r="AF511" s="511"/>
      <c r="AG511" s="511"/>
      <c r="AH511" s="511"/>
      <c r="AI511" s="511"/>
      <c r="AJ511" s="511"/>
      <c r="AK511" s="511"/>
      <c r="AL511" s="511"/>
      <c r="AM511" s="511"/>
      <c r="AN511" s="511"/>
      <c r="AO511" s="511"/>
      <c r="AP511" s="511"/>
      <c r="AQ511" s="511"/>
      <c r="AR511" s="511"/>
      <c r="AS511" s="511"/>
      <c r="AT511" s="511"/>
      <c r="AU511" s="511"/>
      <c r="AV511" s="511"/>
      <c r="AW511" s="511"/>
      <c r="AX511" s="511"/>
      <c r="AY511" s="511"/>
      <c r="AZ511" s="511"/>
      <c r="BA511" s="511"/>
      <c r="BB511" s="511"/>
      <c r="BC511" s="511"/>
      <c r="BD511" s="511"/>
      <c r="BE511" s="511"/>
    </row>
    <row r="512" ht="15.75" customHeight="1">
      <c r="A512" s="511"/>
      <c r="B512" s="511"/>
      <c r="C512" s="511"/>
      <c r="D512" s="511"/>
      <c r="E512" s="511"/>
      <c r="F512" s="511"/>
      <c r="G512" s="511"/>
      <c r="H512" s="511"/>
      <c r="I512" s="511"/>
      <c r="J512" s="511"/>
      <c r="K512" s="511"/>
      <c r="L512" s="511"/>
      <c r="M512" s="511"/>
      <c r="N512" s="511"/>
      <c r="O512" s="511"/>
      <c r="P512" s="511"/>
      <c r="Q512" s="511"/>
      <c r="R512" s="511"/>
      <c r="S512" s="511"/>
      <c r="T512" s="511"/>
      <c r="U512" s="511"/>
      <c r="V512" s="511"/>
      <c r="W512" s="511"/>
      <c r="X512" s="511"/>
      <c r="Y512" s="511"/>
      <c r="Z512" s="511"/>
      <c r="AA512" s="511"/>
      <c r="AB512" s="511"/>
      <c r="AC512" s="511"/>
      <c r="AD512" s="511"/>
      <c r="AE512" s="511"/>
      <c r="AF512" s="511"/>
      <c r="AG512" s="511"/>
      <c r="AH512" s="511"/>
      <c r="AI512" s="511"/>
      <c r="AJ512" s="511"/>
      <c r="AK512" s="511"/>
      <c r="AL512" s="511"/>
      <c r="AM512" s="511"/>
      <c r="AN512" s="511"/>
      <c r="AO512" s="511"/>
      <c r="AP512" s="511"/>
      <c r="AQ512" s="511"/>
      <c r="AR512" s="511"/>
      <c r="AS512" s="511"/>
      <c r="AT512" s="511"/>
      <c r="AU512" s="511"/>
      <c r="AV512" s="511"/>
      <c r="AW512" s="511"/>
      <c r="AX512" s="511"/>
      <c r="AY512" s="511"/>
      <c r="AZ512" s="511"/>
      <c r="BA512" s="511"/>
      <c r="BB512" s="511"/>
      <c r="BC512" s="511"/>
      <c r="BD512" s="511"/>
      <c r="BE512" s="511"/>
    </row>
    <row r="513" ht="15.75" customHeight="1">
      <c r="A513" s="511"/>
      <c r="B513" s="511"/>
      <c r="C513" s="511"/>
      <c r="D513" s="511"/>
      <c r="E513" s="511"/>
      <c r="F513" s="511"/>
      <c r="G513" s="511"/>
      <c r="H513" s="511"/>
      <c r="I513" s="511"/>
      <c r="J513" s="511"/>
      <c r="K513" s="511"/>
      <c r="L513" s="511"/>
      <c r="M513" s="511"/>
      <c r="N513" s="511"/>
      <c r="O513" s="511"/>
      <c r="P513" s="511"/>
      <c r="Q513" s="511"/>
      <c r="R513" s="511"/>
      <c r="S513" s="511"/>
      <c r="T513" s="511"/>
      <c r="U513" s="511"/>
      <c r="V513" s="511"/>
      <c r="W513" s="511"/>
      <c r="X513" s="511"/>
      <c r="Y513" s="511"/>
      <c r="Z513" s="511"/>
      <c r="AA513" s="511"/>
      <c r="AB513" s="511"/>
      <c r="AC513" s="511"/>
      <c r="AD513" s="511"/>
      <c r="AE513" s="511"/>
      <c r="AF513" s="511"/>
      <c r="AG513" s="511"/>
      <c r="AH513" s="511"/>
      <c r="AI513" s="511"/>
      <c r="AJ513" s="511"/>
      <c r="AK513" s="511"/>
      <c r="AL513" s="511"/>
      <c r="AM513" s="511"/>
      <c r="AN513" s="511"/>
      <c r="AO513" s="511"/>
      <c r="AP513" s="511"/>
      <c r="AQ513" s="511"/>
      <c r="AR513" s="511"/>
      <c r="AS513" s="511"/>
      <c r="AT513" s="511"/>
      <c r="AU513" s="511"/>
      <c r="AV513" s="511"/>
      <c r="AW513" s="511"/>
      <c r="AX513" s="511"/>
      <c r="AY513" s="511"/>
      <c r="AZ513" s="511"/>
      <c r="BA513" s="511"/>
      <c r="BB513" s="511"/>
      <c r="BC513" s="511"/>
      <c r="BD513" s="511"/>
      <c r="BE513" s="511"/>
    </row>
    <row r="514" ht="15.75" customHeight="1">
      <c r="A514" s="511"/>
      <c r="B514" s="511"/>
      <c r="C514" s="511"/>
      <c r="D514" s="511"/>
      <c r="E514" s="511"/>
      <c r="F514" s="511"/>
      <c r="G514" s="511"/>
      <c r="H514" s="511"/>
      <c r="I514" s="511"/>
      <c r="J514" s="511"/>
      <c r="K514" s="511"/>
      <c r="L514" s="511"/>
      <c r="M514" s="511"/>
      <c r="N514" s="511"/>
      <c r="O514" s="511"/>
      <c r="P514" s="511"/>
      <c r="Q514" s="511"/>
      <c r="R514" s="511"/>
      <c r="S514" s="511"/>
      <c r="T514" s="511"/>
      <c r="U514" s="511"/>
      <c r="V514" s="511"/>
      <c r="W514" s="511"/>
      <c r="X514" s="511"/>
      <c r="Y514" s="511"/>
      <c r="Z514" s="511"/>
      <c r="AA514" s="511"/>
      <c r="AB514" s="511"/>
      <c r="AC514" s="511"/>
      <c r="AD514" s="511"/>
      <c r="AE514" s="511"/>
      <c r="AF514" s="511"/>
      <c r="AG514" s="511"/>
      <c r="AH514" s="511"/>
      <c r="AI514" s="511"/>
      <c r="AJ514" s="511"/>
      <c r="AK514" s="511"/>
      <c r="AL514" s="511"/>
      <c r="AM514" s="511"/>
      <c r="AN514" s="511"/>
      <c r="AO514" s="511"/>
      <c r="AP514" s="511"/>
      <c r="AQ514" s="511"/>
      <c r="AR514" s="511"/>
      <c r="AS514" s="511"/>
      <c r="AT514" s="511"/>
      <c r="AU514" s="511"/>
      <c r="AV514" s="511"/>
      <c r="AW514" s="511"/>
      <c r="AX514" s="511"/>
      <c r="AY514" s="511"/>
      <c r="AZ514" s="511"/>
      <c r="BA514" s="511"/>
      <c r="BB514" s="511"/>
      <c r="BC514" s="511"/>
      <c r="BD514" s="511"/>
      <c r="BE514" s="511"/>
    </row>
    <row r="515" ht="15.75" customHeight="1">
      <c r="A515" s="511"/>
      <c r="B515" s="511"/>
      <c r="C515" s="511"/>
      <c r="D515" s="511"/>
      <c r="E515" s="511"/>
      <c r="F515" s="511"/>
      <c r="G515" s="511"/>
      <c r="H515" s="511"/>
      <c r="I515" s="511"/>
      <c r="J515" s="511"/>
      <c r="K515" s="511"/>
      <c r="L515" s="511"/>
      <c r="M515" s="511"/>
      <c r="N515" s="511"/>
      <c r="O515" s="511"/>
      <c r="P515" s="511"/>
      <c r="Q515" s="511"/>
      <c r="R515" s="511"/>
      <c r="S515" s="511"/>
      <c r="T515" s="511"/>
      <c r="U515" s="511"/>
      <c r="V515" s="511"/>
      <c r="W515" s="511"/>
      <c r="X515" s="511"/>
      <c r="Y515" s="511"/>
      <c r="Z515" s="511"/>
      <c r="AA515" s="511"/>
      <c r="AB515" s="511"/>
      <c r="AC515" s="511"/>
      <c r="AD515" s="511"/>
      <c r="AE515" s="511"/>
      <c r="AF515" s="511"/>
      <c r="AG515" s="511"/>
      <c r="AH515" s="511"/>
      <c r="AI515" s="511"/>
      <c r="AJ515" s="511"/>
      <c r="AK515" s="511"/>
      <c r="AL515" s="511"/>
      <c r="AM515" s="511"/>
      <c r="AN515" s="511"/>
      <c r="AO515" s="511"/>
      <c r="AP515" s="511"/>
      <c r="AQ515" s="511"/>
      <c r="AR515" s="511"/>
      <c r="AS515" s="511"/>
      <c r="AT515" s="511"/>
      <c r="AU515" s="511"/>
      <c r="AV515" s="511"/>
      <c r="AW515" s="511"/>
      <c r="AX515" s="511"/>
      <c r="AY515" s="511"/>
      <c r="AZ515" s="511"/>
      <c r="BA515" s="511"/>
      <c r="BB515" s="511"/>
      <c r="BC515" s="511"/>
      <c r="BD515" s="511"/>
      <c r="BE515" s="511"/>
    </row>
    <row r="516" ht="15.75" customHeight="1">
      <c r="A516" s="511"/>
      <c r="B516" s="511"/>
      <c r="C516" s="511"/>
      <c r="D516" s="511"/>
      <c r="E516" s="511"/>
      <c r="F516" s="511"/>
      <c r="G516" s="511"/>
      <c r="H516" s="511"/>
      <c r="I516" s="511"/>
      <c r="J516" s="511"/>
      <c r="K516" s="511"/>
      <c r="L516" s="511"/>
      <c r="M516" s="511"/>
      <c r="N516" s="511"/>
      <c r="O516" s="511"/>
      <c r="P516" s="511"/>
      <c r="Q516" s="511"/>
      <c r="R516" s="511"/>
      <c r="S516" s="511"/>
      <c r="T516" s="511"/>
      <c r="U516" s="511"/>
      <c r="V516" s="511"/>
      <c r="W516" s="511"/>
      <c r="X516" s="511"/>
      <c r="Y516" s="511"/>
      <c r="Z516" s="511"/>
      <c r="AA516" s="511"/>
      <c r="AB516" s="511"/>
      <c r="AC516" s="511"/>
      <c r="AD516" s="511"/>
      <c r="AE516" s="511"/>
      <c r="AF516" s="511"/>
      <c r="AG516" s="511"/>
      <c r="AH516" s="511"/>
      <c r="AI516" s="511"/>
      <c r="AJ516" s="511"/>
      <c r="AK516" s="511"/>
      <c r="AL516" s="511"/>
      <c r="AM516" s="511"/>
      <c r="AN516" s="511"/>
      <c r="AO516" s="511"/>
      <c r="AP516" s="511"/>
      <c r="AQ516" s="511"/>
      <c r="AR516" s="511"/>
      <c r="AS516" s="511"/>
      <c r="AT516" s="511"/>
      <c r="AU516" s="511"/>
      <c r="AV516" s="511"/>
      <c r="AW516" s="511"/>
      <c r="AX516" s="511"/>
      <c r="AY516" s="511"/>
      <c r="AZ516" s="511"/>
      <c r="BA516" s="511"/>
      <c r="BB516" s="511"/>
      <c r="BC516" s="511"/>
      <c r="BD516" s="511"/>
      <c r="BE516" s="511"/>
    </row>
    <row r="517" ht="15.75" customHeight="1">
      <c r="A517" s="511"/>
      <c r="B517" s="511"/>
      <c r="C517" s="511"/>
      <c r="D517" s="511"/>
      <c r="E517" s="511"/>
      <c r="F517" s="511"/>
      <c r="G517" s="511"/>
      <c r="H517" s="511"/>
      <c r="I517" s="511"/>
      <c r="J517" s="511"/>
      <c r="K517" s="511"/>
      <c r="L517" s="511"/>
      <c r="M517" s="511"/>
      <c r="N517" s="511"/>
      <c r="O517" s="511"/>
      <c r="P517" s="511"/>
      <c r="Q517" s="511"/>
      <c r="R517" s="511"/>
      <c r="S517" s="511"/>
      <c r="T517" s="511"/>
      <c r="U517" s="511"/>
      <c r="V517" s="511"/>
      <c r="W517" s="511"/>
      <c r="X517" s="511"/>
      <c r="Y517" s="511"/>
      <c r="Z517" s="511"/>
      <c r="AA517" s="511"/>
      <c r="AB517" s="511"/>
      <c r="AC517" s="511"/>
      <c r="AD517" s="511"/>
      <c r="AE517" s="511"/>
      <c r="AF517" s="511"/>
      <c r="AG517" s="511"/>
      <c r="AH517" s="511"/>
      <c r="AI517" s="511"/>
      <c r="AJ517" s="511"/>
      <c r="AK517" s="511"/>
      <c r="AL517" s="511"/>
      <c r="AM517" s="511"/>
      <c r="AN517" s="511"/>
      <c r="AO517" s="511"/>
      <c r="AP517" s="511"/>
      <c r="AQ517" s="511"/>
      <c r="AR517" s="511"/>
      <c r="AS517" s="511"/>
      <c r="AT517" s="511"/>
      <c r="AU517" s="511"/>
      <c r="AV517" s="511"/>
      <c r="AW517" s="511"/>
      <c r="AX517" s="511"/>
      <c r="AY517" s="511"/>
      <c r="AZ517" s="511"/>
      <c r="BA517" s="511"/>
      <c r="BB517" s="511"/>
      <c r="BC517" s="511"/>
      <c r="BD517" s="511"/>
      <c r="BE517" s="511"/>
    </row>
    <row r="518" ht="15.75" customHeight="1">
      <c r="A518" s="511"/>
      <c r="B518" s="511"/>
      <c r="C518" s="511"/>
      <c r="D518" s="511"/>
      <c r="E518" s="511"/>
      <c r="F518" s="511"/>
      <c r="G518" s="511"/>
      <c r="H518" s="511"/>
      <c r="I518" s="511"/>
      <c r="J518" s="511"/>
      <c r="K518" s="511"/>
      <c r="L518" s="511"/>
      <c r="M518" s="511"/>
      <c r="N518" s="511"/>
      <c r="O518" s="511"/>
      <c r="P518" s="511"/>
      <c r="Q518" s="511"/>
      <c r="R518" s="511"/>
      <c r="S518" s="511"/>
      <c r="T518" s="511"/>
      <c r="U518" s="511"/>
      <c r="V518" s="511"/>
      <c r="W518" s="511"/>
      <c r="X518" s="511"/>
      <c r="Y518" s="511"/>
      <c r="Z518" s="511"/>
      <c r="AA518" s="511"/>
      <c r="AB518" s="511"/>
      <c r="AC518" s="511"/>
      <c r="AD518" s="511"/>
      <c r="AE518" s="511"/>
      <c r="AF518" s="511"/>
      <c r="AG518" s="511"/>
      <c r="AH518" s="511"/>
      <c r="AI518" s="511"/>
      <c r="AJ518" s="511"/>
      <c r="AK518" s="511"/>
      <c r="AL518" s="511"/>
      <c r="AM518" s="511"/>
      <c r="AN518" s="511"/>
      <c r="AO518" s="511"/>
      <c r="AP518" s="511"/>
      <c r="AQ518" s="511"/>
      <c r="AR518" s="511"/>
      <c r="AS518" s="511"/>
      <c r="AT518" s="511"/>
      <c r="AU518" s="511"/>
      <c r="AV518" s="511"/>
      <c r="AW518" s="511"/>
      <c r="AX518" s="511"/>
      <c r="AY518" s="511"/>
      <c r="AZ518" s="511"/>
      <c r="BA518" s="511"/>
      <c r="BB518" s="511"/>
      <c r="BC518" s="511"/>
      <c r="BD518" s="511"/>
      <c r="BE518" s="511"/>
    </row>
    <row r="519" ht="15.75" customHeight="1">
      <c r="A519" s="511"/>
      <c r="B519" s="511"/>
      <c r="C519" s="511"/>
      <c r="D519" s="511"/>
      <c r="E519" s="511"/>
      <c r="F519" s="511"/>
      <c r="G519" s="511"/>
      <c r="H519" s="511"/>
      <c r="I519" s="511"/>
      <c r="J519" s="511"/>
      <c r="K519" s="511"/>
      <c r="L519" s="511"/>
      <c r="M519" s="511"/>
      <c r="N519" s="511"/>
      <c r="O519" s="511"/>
      <c r="P519" s="511"/>
      <c r="Q519" s="511"/>
      <c r="R519" s="511"/>
      <c r="S519" s="511"/>
      <c r="T519" s="511"/>
      <c r="U519" s="511"/>
      <c r="V519" s="511"/>
      <c r="W519" s="511"/>
      <c r="X519" s="511"/>
      <c r="Y519" s="511"/>
      <c r="Z519" s="511"/>
      <c r="AA519" s="511"/>
      <c r="AB519" s="511"/>
      <c r="AC519" s="511"/>
      <c r="AD519" s="511"/>
      <c r="AE519" s="511"/>
      <c r="AF519" s="511"/>
      <c r="AG519" s="511"/>
      <c r="AH519" s="511"/>
      <c r="AI519" s="511"/>
      <c r="AJ519" s="511"/>
      <c r="AK519" s="511"/>
      <c r="AL519" s="511"/>
      <c r="AM519" s="511"/>
      <c r="AN519" s="511"/>
      <c r="AO519" s="511"/>
      <c r="AP519" s="511"/>
      <c r="AQ519" s="511"/>
      <c r="AR519" s="511"/>
      <c r="AS519" s="511"/>
      <c r="AT519" s="511"/>
      <c r="AU519" s="511"/>
      <c r="AV519" s="511"/>
      <c r="AW519" s="511"/>
      <c r="AX519" s="511"/>
      <c r="AY519" s="511"/>
      <c r="AZ519" s="511"/>
      <c r="BA519" s="511"/>
      <c r="BB519" s="511"/>
      <c r="BC519" s="511"/>
      <c r="BD519" s="511"/>
      <c r="BE519" s="511"/>
    </row>
    <row r="520" ht="15.75" customHeight="1">
      <c r="A520" s="511"/>
      <c r="B520" s="511"/>
      <c r="C520" s="511"/>
      <c r="D520" s="511"/>
      <c r="E520" s="511"/>
      <c r="F520" s="511"/>
      <c r="G520" s="511"/>
      <c r="H520" s="511"/>
      <c r="I520" s="511"/>
      <c r="J520" s="511"/>
      <c r="K520" s="511"/>
      <c r="L520" s="511"/>
      <c r="M520" s="511"/>
      <c r="N520" s="511"/>
      <c r="O520" s="511"/>
      <c r="P520" s="511"/>
      <c r="Q520" s="511"/>
      <c r="R520" s="511"/>
      <c r="S520" s="511"/>
      <c r="T520" s="511"/>
      <c r="U520" s="511"/>
      <c r="V520" s="511"/>
      <c r="W520" s="511"/>
      <c r="X520" s="511"/>
      <c r="Y520" s="511"/>
      <c r="Z520" s="511"/>
      <c r="AA520" s="511"/>
      <c r="AB520" s="511"/>
      <c r="AC520" s="511"/>
      <c r="AD520" s="511"/>
      <c r="AE520" s="511"/>
      <c r="AF520" s="511"/>
      <c r="AG520" s="511"/>
      <c r="AH520" s="511"/>
      <c r="AI520" s="511"/>
      <c r="AJ520" s="511"/>
      <c r="AK520" s="511"/>
      <c r="AL520" s="511"/>
      <c r="AM520" s="511"/>
      <c r="AN520" s="511"/>
      <c r="AO520" s="511"/>
      <c r="AP520" s="511"/>
      <c r="AQ520" s="511"/>
      <c r="AR520" s="511"/>
      <c r="AS520" s="511"/>
      <c r="AT520" s="511"/>
      <c r="AU520" s="511"/>
      <c r="AV520" s="511"/>
      <c r="AW520" s="511"/>
      <c r="AX520" s="511"/>
      <c r="AY520" s="511"/>
      <c r="AZ520" s="511"/>
      <c r="BA520" s="511"/>
      <c r="BB520" s="511"/>
      <c r="BC520" s="511"/>
      <c r="BD520" s="511"/>
      <c r="BE520" s="511"/>
    </row>
    <row r="521" ht="15.75" customHeight="1">
      <c r="A521" s="511"/>
      <c r="B521" s="511"/>
      <c r="C521" s="511"/>
      <c r="D521" s="511"/>
      <c r="E521" s="511"/>
      <c r="F521" s="511"/>
      <c r="G521" s="511"/>
      <c r="H521" s="511"/>
      <c r="I521" s="511"/>
      <c r="J521" s="511"/>
      <c r="K521" s="511"/>
      <c r="L521" s="511"/>
      <c r="M521" s="511"/>
      <c r="N521" s="511"/>
      <c r="O521" s="511"/>
      <c r="P521" s="511"/>
      <c r="Q521" s="511"/>
      <c r="R521" s="511"/>
      <c r="S521" s="511"/>
      <c r="T521" s="511"/>
      <c r="U521" s="511"/>
      <c r="V521" s="511"/>
      <c r="W521" s="511"/>
      <c r="X521" s="511"/>
      <c r="Y521" s="511"/>
      <c r="Z521" s="511"/>
      <c r="AA521" s="511"/>
      <c r="AB521" s="511"/>
      <c r="AC521" s="511"/>
      <c r="AD521" s="511"/>
      <c r="AE521" s="511"/>
      <c r="AF521" s="511"/>
      <c r="AG521" s="511"/>
      <c r="AH521" s="511"/>
      <c r="AI521" s="511"/>
      <c r="AJ521" s="511"/>
      <c r="AK521" s="511"/>
      <c r="AL521" s="511"/>
      <c r="AM521" s="511"/>
      <c r="AN521" s="511"/>
      <c r="AO521" s="511"/>
      <c r="AP521" s="511"/>
      <c r="AQ521" s="511"/>
      <c r="AR521" s="511"/>
      <c r="AS521" s="511"/>
      <c r="AT521" s="511"/>
      <c r="AU521" s="511"/>
      <c r="AV521" s="511"/>
      <c r="AW521" s="511"/>
      <c r="AX521" s="511"/>
      <c r="AY521" s="511"/>
      <c r="AZ521" s="511"/>
      <c r="BA521" s="511"/>
      <c r="BB521" s="511"/>
      <c r="BC521" s="511"/>
      <c r="BD521" s="511"/>
      <c r="BE521" s="511"/>
    </row>
    <row r="522" ht="15.75" customHeight="1">
      <c r="A522" s="511"/>
      <c r="B522" s="511"/>
      <c r="C522" s="511"/>
      <c r="D522" s="511"/>
      <c r="E522" s="511"/>
      <c r="F522" s="511"/>
      <c r="G522" s="511"/>
      <c r="H522" s="511"/>
      <c r="I522" s="511"/>
      <c r="J522" s="511"/>
      <c r="K522" s="511"/>
      <c r="L522" s="511"/>
      <c r="M522" s="511"/>
      <c r="N522" s="511"/>
      <c r="O522" s="511"/>
      <c r="P522" s="511"/>
      <c r="Q522" s="511"/>
      <c r="R522" s="511"/>
      <c r="S522" s="511"/>
      <c r="T522" s="511"/>
      <c r="U522" s="511"/>
      <c r="V522" s="511"/>
      <c r="W522" s="511"/>
      <c r="X522" s="511"/>
      <c r="Y522" s="511"/>
      <c r="Z522" s="511"/>
      <c r="AA522" s="511"/>
      <c r="AB522" s="511"/>
      <c r="AC522" s="511"/>
      <c r="AD522" s="511"/>
      <c r="AE522" s="511"/>
      <c r="AF522" s="511"/>
      <c r="AG522" s="511"/>
      <c r="AH522" s="511"/>
      <c r="AI522" s="511"/>
      <c r="AJ522" s="511"/>
      <c r="AK522" s="511"/>
      <c r="AL522" s="511"/>
      <c r="AM522" s="511"/>
      <c r="AN522" s="511"/>
      <c r="AO522" s="511"/>
      <c r="AP522" s="511"/>
      <c r="AQ522" s="511"/>
      <c r="AR522" s="511"/>
      <c r="AS522" s="511"/>
      <c r="AT522" s="511"/>
      <c r="AU522" s="511"/>
      <c r="AV522" s="511"/>
      <c r="AW522" s="511"/>
      <c r="AX522" s="511"/>
      <c r="AY522" s="511"/>
      <c r="AZ522" s="511"/>
      <c r="BA522" s="511"/>
      <c r="BB522" s="511"/>
      <c r="BC522" s="511"/>
      <c r="BD522" s="511"/>
      <c r="BE522" s="511"/>
    </row>
    <row r="523" ht="15.75" customHeight="1">
      <c r="A523" s="511"/>
      <c r="B523" s="511"/>
      <c r="C523" s="511"/>
      <c r="D523" s="511"/>
      <c r="E523" s="511"/>
      <c r="F523" s="511"/>
      <c r="G523" s="511"/>
      <c r="H523" s="511"/>
      <c r="I523" s="511"/>
      <c r="J523" s="511"/>
      <c r="K523" s="511"/>
      <c r="L523" s="511"/>
      <c r="M523" s="511"/>
      <c r="N523" s="511"/>
      <c r="O523" s="511"/>
      <c r="P523" s="511"/>
      <c r="Q523" s="511"/>
      <c r="R523" s="511"/>
      <c r="S523" s="511"/>
      <c r="T523" s="511"/>
      <c r="U523" s="511"/>
      <c r="V523" s="511"/>
      <c r="W523" s="511"/>
      <c r="X523" s="511"/>
      <c r="Y523" s="511"/>
      <c r="Z523" s="511"/>
      <c r="AA523" s="511"/>
      <c r="AB523" s="511"/>
      <c r="AC523" s="511"/>
      <c r="AD523" s="511"/>
      <c r="AE523" s="511"/>
      <c r="AF523" s="511"/>
      <c r="AG523" s="511"/>
      <c r="AH523" s="511"/>
      <c r="AI523" s="511"/>
      <c r="AJ523" s="511"/>
      <c r="AK523" s="511"/>
      <c r="AL523" s="511"/>
      <c r="AM523" s="511"/>
      <c r="AN523" s="511"/>
      <c r="AO523" s="511"/>
      <c r="AP523" s="511"/>
      <c r="AQ523" s="511"/>
      <c r="AR523" s="511"/>
      <c r="AS523" s="511"/>
      <c r="AT523" s="511"/>
      <c r="AU523" s="511"/>
      <c r="AV523" s="511"/>
      <c r="AW523" s="511"/>
      <c r="AX523" s="511"/>
      <c r="AY523" s="511"/>
      <c r="AZ523" s="511"/>
      <c r="BA523" s="511"/>
      <c r="BB523" s="511"/>
      <c r="BC523" s="511"/>
      <c r="BD523" s="511"/>
      <c r="BE523" s="511"/>
    </row>
    <row r="524" ht="15.75" customHeight="1">
      <c r="A524" s="511"/>
      <c r="B524" s="511"/>
      <c r="C524" s="511"/>
      <c r="D524" s="511"/>
      <c r="E524" s="511"/>
      <c r="F524" s="511"/>
      <c r="G524" s="511"/>
      <c r="H524" s="511"/>
      <c r="I524" s="511"/>
      <c r="J524" s="511"/>
      <c r="K524" s="511"/>
      <c r="L524" s="511"/>
      <c r="M524" s="511"/>
      <c r="N524" s="511"/>
      <c r="O524" s="511"/>
      <c r="P524" s="511"/>
      <c r="Q524" s="511"/>
      <c r="R524" s="511"/>
      <c r="S524" s="511"/>
      <c r="T524" s="511"/>
      <c r="U524" s="511"/>
      <c r="V524" s="511"/>
      <c r="W524" s="511"/>
      <c r="X524" s="511"/>
      <c r="Y524" s="511"/>
      <c r="Z524" s="511"/>
      <c r="AA524" s="511"/>
      <c r="AB524" s="511"/>
      <c r="AC524" s="511"/>
      <c r="AD524" s="511"/>
      <c r="AE524" s="511"/>
      <c r="AF524" s="511"/>
      <c r="AG524" s="511"/>
      <c r="AH524" s="511"/>
      <c r="AI524" s="511"/>
      <c r="AJ524" s="511"/>
      <c r="AK524" s="511"/>
      <c r="AL524" s="511"/>
      <c r="AM524" s="511"/>
      <c r="AN524" s="511"/>
      <c r="AO524" s="511"/>
      <c r="AP524" s="511"/>
      <c r="AQ524" s="511"/>
      <c r="AR524" s="511"/>
      <c r="AS524" s="511"/>
      <c r="AT524" s="511"/>
      <c r="AU524" s="511"/>
      <c r="AV524" s="511"/>
      <c r="AW524" s="511"/>
      <c r="AX524" s="511"/>
      <c r="AY524" s="511"/>
      <c r="AZ524" s="511"/>
      <c r="BA524" s="511"/>
      <c r="BB524" s="511"/>
      <c r="BC524" s="511"/>
      <c r="BD524" s="511"/>
      <c r="BE524" s="511"/>
    </row>
    <row r="525" ht="15.75" customHeight="1">
      <c r="A525" s="511"/>
      <c r="B525" s="511"/>
      <c r="C525" s="511"/>
      <c r="D525" s="511"/>
      <c r="E525" s="511"/>
      <c r="F525" s="511"/>
      <c r="G525" s="511"/>
      <c r="H525" s="511"/>
      <c r="I525" s="511"/>
      <c r="J525" s="511"/>
      <c r="K525" s="511"/>
      <c r="L525" s="511"/>
      <c r="M525" s="511"/>
      <c r="N525" s="511"/>
      <c r="O525" s="511"/>
      <c r="P525" s="511"/>
      <c r="Q525" s="511"/>
      <c r="R525" s="511"/>
      <c r="S525" s="511"/>
      <c r="T525" s="511"/>
      <c r="U525" s="511"/>
      <c r="V525" s="511"/>
      <c r="W525" s="511"/>
      <c r="X525" s="511"/>
      <c r="Y525" s="511"/>
      <c r="Z525" s="511"/>
      <c r="AA525" s="511"/>
      <c r="AB525" s="511"/>
      <c r="AC525" s="511"/>
      <c r="AD525" s="511"/>
      <c r="AE525" s="511"/>
      <c r="AF525" s="511"/>
      <c r="AG525" s="511"/>
      <c r="AH525" s="511"/>
      <c r="AI525" s="511"/>
      <c r="AJ525" s="511"/>
      <c r="AK525" s="511"/>
      <c r="AL525" s="511"/>
      <c r="AM525" s="511"/>
      <c r="AN525" s="511"/>
      <c r="AO525" s="511"/>
      <c r="AP525" s="511"/>
      <c r="AQ525" s="511"/>
      <c r="AR525" s="511"/>
      <c r="AS525" s="511"/>
      <c r="AT525" s="511"/>
      <c r="AU525" s="511"/>
      <c r="AV525" s="511"/>
      <c r="AW525" s="511"/>
      <c r="AX525" s="511"/>
      <c r="AY525" s="511"/>
      <c r="AZ525" s="511"/>
      <c r="BA525" s="511"/>
      <c r="BB525" s="511"/>
      <c r="BC525" s="511"/>
      <c r="BD525" s="511"/>
      <c r="BE525" s="511"/>
    </row>
    <row r="526" ht="15.75" customHeight="1">
      <c r="A526" s="511"/>
      <c r="B526" s="511"/>
      <c r="C526" s="511"/>
      <c r="D526" s="511"/>
      <c r="E526" s="511"/>
      <c r="F526" s="511"/>
      <c r="G526" s="511"/>
      <c r="H526" s="511"/>
      <c r="I526" s="511"/>
      <c r="J526" s="511"/>
      <c r="K526" s="511"/>
      <c r="L526" s="511"/>
      <c r="M526" s="511"/>
      <c r="N526" s="511"/>
      <c r="O526" s="511"/>
      <c r="P526" s="511"/>
      <c r="Q526" s="511"/>
      <c r="R526" s="511"/>
      <c r="S526" s="511"/>
      <c r="T526" s="511"/>
      <c r="U526" s="511"/>
      <c r="V526" s="511"/>
      <c r="W526" s="511"/>
      <c r="X526" s="511"/>
      <c r="Y526" s="511"/>
      <c r="Z526" s="511"/>
      <c r="AA526" s="511"/>
      <c r="AB526" s="511"/>
      <c r="AC526" s="511"/>
      <c r="AD526" s="511"/>
      <c r="AE526" s="511"/>
      <c r="AF526" s="511"/>
      <c r="AG526" s="511"/>
      <c r="AH526" s="511"/>
      <c r="AI526" s="511"/>
      <c r="AJ526" s="511"/>
      <c r="AK526" s="511"/>
      <c r="AL526" s="511"/>
      <c r="AM526" s="511"/>
      <c r="AN526" s="511"/>
      <c r="AO526" s="511"/>
      <c r="AP526" s="511"/>
      <c r="AQ526" s="511"/>
      <c r="AR526" s="511"/>
      <c r="AS526" s="511"/>
      <c r="AT526" s="511"/>
      <c r="AU526" s="511"/>
      <c r="AV526" s="511"/>
      <c r="AW526" s="511"/>
      <c r="AX526" s="511"/>
      <c r="AY526" s="511"/>
      <c r="AZ526" s="511"/>
      <c r="BA526" s="511"/>
      <c r="BB526" s="511"/>
      <c r="BC526" s="511"/>
      <c r="BD526" s="511"/>
      <c r="BE526" s="511"/>
    </row>
    <row r="527" ht="15.75" customHeight="1">
      <c r="A527" s="511"/>
      <c r="B527" s="511"/>
      <c r="C527" s="511"/>
      <c r="D527" s="511"/>
      <c r="E527" s="511"/>
      <c r="F527" s="511"/>
      <c r="G527" s="511"/>
      <c r="H527" s="511"/>
      <c r="I527" s="511"/>
      <c r="J527" s="511"/>
      <c r="K527" s="511"/>
      <c r="L527" s="511"/>
      <c r="M527" s="511"/>
      <c r="N527" s="511"/>
      <c r="O527" s="511"/>
      <c r="P527" s="511"/>
      <c r="Q527" s="511"/>
      <c r="R527" s="511"/>
      <c r="S527" s="511"/>
      <c r="T527" s="511"/>
      <c r="U527" s="511"/>
      <c r="V527" s="511"/>
      <c r="W527" s="511"/>
      <c r="X527" s="511"/>
      <c r="Y527" s="511"/>
      <c r="Z527" s="511"/>
      <c r="AA527" s="511"/>
      <c r="AB527" s="511"/>
      <c r="AC527" s="511"/>
      <c r="AD527" s="511"/>
      <c r="AE527" s="511"/>
      <c r="AF527" s="511"/>
      <c r="AG527" s="511"/>
      <c r="AH527" s="511"/>
      <c r="AI527" s="511"/>
      <c r="AJ527" s="511"/>
      <c r="AK527" s="511"/>
      <c r="AL527" s="511"/>
      <c r="AM527" s="511"/>
      <c r="AN527" s="511"/>
      <c r="AO527" s="511"/>
      <c r="AP527" s="511"/>
      <c r="AQ527" s="511"/>
      <c r="AR527" s="511"/>
      <c r="AS527" s="511"/>
      <c r="AT527" s="511"/>
      <c r="AU527" s="511"/>
      <c r="AV527" s="511"/>
      <c r="AW527" s="511"/>
      <c r="AX527" s="511"/>
      <c r="AY527" s="511"/>
      <c r="AZ527" s="511"/>
      <c r="BA527" s="511"/>
      <c r="BB527" s="511"/>
      <c r="BC527" s="511"/>
      <c r="BD527" s="511"/>
      <c r="BE527" s="511"/>
    </row>
    <row r="528" ht="15.75" customHeight="1">
      <c r="A528" s="511"/>
      <c r="B528" s="511"/>
      <c r="C528" s="511"/>
      <c r="D528" s="511"/>
      <c r="E528" s="511"/>
      <c r="F528" s="511"/>
      <c r="G528" s="511"/>
      <c r="H528" s="511"/>
      <c r="I528" s="511"/>
      <c r="J528" s="511"/>
      <c r="K528" s="511"/>
      <c r="L528" s="511"/>
      <c r="M528" s="511"/>
      <c r="N528" s="511"/>
      <c r="O528" s="511"/>
      <c r="P528" s="511"/>
      <c r="Q528" s="511"/>
      <c r="R528" s="511"/>
      <c r="S528" s="511"/>
      <c r="T528" s="511"/>
      <c r="U528" s="511"/>
      <c r="V528" s="511"/>
      <c r="W528" s="511"/>
      <c r="X528" s="511"/>
      <c r="Y528" s="511"/>
      <c r="Z528" s="511"/>
      <c r="AA528" s="511"/>
      <c r="AB528" s="511"/>
      <c r="AC528" s="511"/>
      <c r="AD528" s="511"/>
      <c r="AE528" s="511"/>
      <c r="AF528" s="511"/>
      <c r="AG528" s="511"/>
      <c r="AH528" s="511"/>
      <c r="AI528" s="511"/>
      <c r="AJ528" s="511"/>
      <c r="AK528" s="511"/>
      <c r="AL528" s="511"/>
      <c r="AM528" s="511"/>
      <c r="AN528" s="511"/>
      <c r="AO528" s="511"/>
      <c r="AP528" s="511"/>
      <c r="AQ528" s="511"/>
      <c r="AR528" s="511"/>
      <c r="AS528" s="511"/>
      <c r="AT528" s="511"/>
      <c r="AU528" s="511"/>
      <c r="AV528" s="511"/>
      <c r="AW528" s="511"/>
      <c r="AX528" s="511"/>
      <c r="AY528" s="511"/>
      <c r="AZ528" s="511"/>
      <c r="BA528" s="511"/>
      <c r="BB528" s="511"/>
      <c r="BC528" s="511"/>
      <c r="BD528" s="511"/>
      <c r="BE528" s="511"/>
    </row>
    <row r="529" ht="15.75" customHeight="1">
      <c r="A529" s="511"/>
      <c r="B529" s="511"/>
      <c r="C529" s="511"/>
      <c r="D529" s="511"/>
      <c r="E529" s="511"/>
      <c r="F529" s="511"/>
      <c r="G529" s="511"/>
      <c r="H529" s="511"/>
      <c r="I529" s="511"/>
      <c r="J529" s="511"/>
      <c r="K529" s="511"/>
      <c r="L529" s="511"/>
      <c r="M529" s="511"/>
      <c r="N529" s="511"/>
      <c r="O529" s="511"/>
      <c r="P529" s="511"/>
      <c r="Q529" s="511"/>
      <c r="R529" s="511"/>
      <c r="S529" s="511"/>
      <c r="T529" s="511"/>
      <c r="U529" s="511"/>
      <c r="V529" s="511"/>
      <c r="W529" s="511"/>
      <c r="X529" s="511"/>
      <c r="Y529" s="511"/>
      <c r="Z529" s="511"/>
      <c r="AA529" s="511"/>
      <c r="AB529" s="511"/>
      <c r="AC529" s="511"/>
      <c r="AD529" s="511"/>
      <c r="AE529" s="511"/>
      <c r="AF529" s="511"/>
      <c r="AG529" s="511"/>
      <c r="AH529" s="511"/>
      <c r="AI529" s="511"/>
      <c r="AJ529" s="511"/>
      <c r="AK529" s="511"/>
      <c r="AL529" s="511"/>
      <c r="AM529" s="511"/>
      <c r="AN529" s="511"/>
      <c r="AO529" s="511"/>
      <c r="AP529" s="511"/>
      <c r="AQ529" s="511"/>
      <c r="AR529" s="511"/>
      <c r="AS529" s="511"/>
      <c r="AT529" s="511"/>
      <c r="AU529" s="511"/>
      <c r="AV529" s="511"/>
      <c r="AW529" s="511"/>
      <c r="AX529" s="511"/>
      <c r="AY529" s="511"/>
      <c r="AZ529" s="511"/>
      <c r="BA529" s="511"/>
      <c r="BB529" s="511"/>
      <c r="BC529" s="511"/>
      <c r="BD529" s="511"/>
      <c r="BE529" s="511"/>
    </row>
    <row r="530" ht="15.75" customHeight="1">
      <c r="A530" s="511"/>
      <c r="B530" s="511"/>
      <c r="C530" s="511"/>
      <c r="D530" s="511"/>
      <c r="E530" s="511"/>
      <c r="F530" s="511"/>
      <c r="G530" s="511"/>
      <c r="H530" s="511"/>
      <c r="I530" s="511"/>
      <c r="J530" s="511"/>
      <c r="K530" s="511"/>
      <c r="L530" s="511"/>
      <c r="M530" s="511"/>
      <c r="N530" s="511"/>
      <c r="O530" s="511"/>
      <c r="P530" s="511"/>
      <c r="Q530" s="511"/>
      <c r="R530" s="511"/>
      <c r="S530" s="511"/>
      <c r="T530" s="511"/>
      <c r="U530" s="511"/>
      <c r="V530" s="511"/>
      <c r="W530" s="511"/>
      <c r="X530" s="511"/>
      <c r="Y530" s="511"/>
      <c r="Z530" s="511"/>
      <c r="AA530" s="511"/>
      <c r="AB530" s="511"/>
      <c r="AC530" s="511"/>
      <c r="AD530" s="511"/>
      <c r="AE530" s="511"/>
      <c r="AF530" s="511"/>
      <c r="AG530" s="511"/>
      <c r="AH530" s="511"/>
      <c r="AI530" s="511"/>
      <c r="AJ530" s="511"/>
      <c r="AK530" s="511"/>
      <c r="AL530" s="511"/>
      <c r="AM530" s="511"/>
      <c r="AN530" s="511"/>
      <c r="AO530" s="511"/>
      <c r="AP530" s="511"/>
      <c r="AQ530" s="511"/>
      <c r="AR530" s="511"/>
      <c r="AS530" s="511"/>
      <c r="AT530" s="511"/>
      <c r="AU530" s="511"/>
      <c r="AV530" s="511"/>
      <c r="AW530" s="511"/>
      <c r="AX530" s="511"/>
      <c r="AY530" s="511"/>
      <c r="AZ530" s="511"/>
      <c r="BA530" s="511"/>
      <c r="BB530" s="511"/>
      <c r="BC530" s="511"/>
      <c r="BD530" s="511"/>
      <c r="BE530" s="511"/>
    </row>
    <row r="531" ht="15.75" customHeight="1">
      <c r="A531" s="511"/>
      <c r="B531" s="511"/>
      <c r="C531" s="511"/>
      <c r="D531" s="511"/>
      <c r="E531" s="511"/>
      <c r="F531" s="511"/>
      <c r="G531" s="511"/>
      <c r="H531" s="511"/>
      <c r="I531" s="511"/>
      <c r="J531" s="511"/>
      <c r="K531" s="511"/>
      <c r="L531" s="511"/>
      <c r="M531" s="511"/>
      <c r="N531" s="511"/>
      <c r="O531" s="511"/>
      <c r="P531" s="511"/>
      <c r="Q531" s="511"/>
      <c r="R531" s="511"/>
      <c r="S531" s="511"/>
      <c r="T531" s="511"/>
      <c r="U531" s="511"/>
      <c r="V531" s="511"/>
      <c r="W531" s="511"/>
      <c r="X531" s="511"/>
      <c r="Y531" s="511"/>
      <c r="Z531" s="511"/>
      <c r="AA531" s="511"/>
      <c r="AB531" s="511"/>
      <c r="AC531" s="511"/>
      <c r="AD531" s="511"/>
      <c r="AE531" s="511"/>
      <c r="AF531" s="511"/>
      <c r="AG531" s="511"/>
      <c r="AH531" s="511"/>
      <c r="AI531" s="511"/>
      <c r="AJ531" s="511"/>
      <c r="AK531" s="511"/>
      <c r="AL531" s="511"/>
      <c r="AM531" s="511"/>
      <c r="AN531" s="511"/>
      <c r="AO531" s="511"/>
      <c r="AP531" s="511"/>
      <c r="AQ531" s="511"/>
      <c r="AR531" s="511"/>
      <c r="AS531" s="511"/>
      <c r="AT531" s="511"/>
      <c r="AU531" s="511"/>
      <c r="AV531" s="511"/>
      <c r="AW531" s="511"/>
      <c r="AX531" s="511"/>
      <c r="AY531" s="511"/>
      <c r="AZ531" s="511"/>
      <c r="BA531" s="511"/>
      <c r="BB531" s="511"/>
      <c r="BC531" s="511"/>
      <c r="BD531" s="511"/>
      <c r="BE531" s="511"/>
    </row>
    <row r="532" ht="15.75" customHeight="1">
      <c r="A532" s="511"/>
      <c r="B532" s="511"/>
      <c r="C532" s="511"/>
      <c r="D532" s="511"/>
      <c r="E532" s="511"/>
      <c r="F532" s="511"/>
      <c r="G532" s="511"/>
      <c r="H532" s="511"/>
      <c r="I532" s="511"/>
      <c r="J532" s="511"/>
      <c r="K532" s="511"/>
      <c r="L532" s="511"/>
      <c r="M532" s="511"/>
      <c r="N532" s="511"/>
      <c r="O532" s="511"/>
      <c r="P532" s="511"/>
      <c r="Q532" s="511"/>
      <c r="R532" s="511"/>
      <c r="S532" s="511"/>
      <c r="T532" s="511"/>
      <c r="U532" s="511"/>
      <c r="V532" s="511"/>
      <c r="W532" s="511"/>
      <c r="X532" s="511"/>
      <c r="Y532" s="511"/>
      <c r="Z532" s="511"/>
      <c r="AA532" s="511"/>
      <c r="AB532" s="511"/>
      <c r="AC532" s="511"/>
      <c r="AD532" s="511"/>
      <c r="AE532" s="511"/>
      <c r="AF532" s="511"/>
      <c r="AG532" s="511"/>
      <c r="AH532" s="511"/>
      <c r="AI532" s="511"/>
      <c r="AJ532" s="511"/>
      <c r="AK532" s="511"/>
      <c r="AL532" s="511"/>
      <c r="AM532" s="511"/>
      <c r="AN532" s="511"/>
      <c r="AO532" s="511"/>
      <c r="AP532" s="511"/>
      <c r="AQ532" s="511"/>
      <c r="AR532" s="511"/>
      <c r="AS532" s="511"/>
      <c r="AT532" s="511"/>
      <c r="AU532" s="511"/>
      <c r="AV532" s="511"/>
      <c r="AW532" s="511"/>
      <c r="AX532" s="511"/>
      <c r="AY532" s="511"/>
      <c r="AZ532" s="511"/>
      <c r="BA532" s="511"/>
      <c r="BB532" s="511"/>
      <c r="BC532" s="511"/>
      <c r="BD532" s="511"/>
      <c r="BE532" s="511"/>
    </row>
    <row r="533" ht="15.75" customHeight="1">
      <c r="A533" s="511"/>
      <c r="B533" s="511"/>
      <c r="C533" s="511"/>
      <c r="D533" s="511"/>
      <c r="E533" s="511"/>
      <c r="F533" s="511"/>
      <c r="G533" s="511"/>
      <c r="H533" s="511"/>
      <c r="I533" s="511"/>
      <c r="J533" s="511"/>
      <c r="K533" s="511"/>
      <c r="L533" s="511"/>
      <c r="M533" s="511"/>
      <c r="N533" s="511"/>
      <c r="O533" s="511"/>
      <c r="P533" s="511"/>
      <c r="Q533" s="511"/>
      <c r="R533" s="511"/>
      <c r="S533" s="511"/>
      <c r="T533" s="511"/>
      <c r="U533" s="511"/>
      <c r="V533" s="511"/>
      <c r="W533" s="511"/>
      <c r="X533" s="511"/>
      <c r="Y533" s="511"/>
      <c r="Z533" s="511"/>
      <c r="AA533" s="511"/>
      <c r="AB533" s="511"/>
      <c r="AC533" s="511"/>
      <c r="AD533" s="511"/>
      <c r="AE533" s="511"/>
      <c r="AF533" s="511"/>
      <c r="AG533" s="511"/>
      <c r="AH533" s="511"/>
      <c r="AI533" s="511"/>
      <c r="AJ533" s="511"/>
      <c r="AK533" s="511"/>
      <c r="AL533" s="511"/>
      <c r="AM533" s="511"/>
      <c r="AN533" s="511"/>
      <c r="AO533" s="511"/>
      <c r="AP533" s="511"/>
      <c r="AQ533" s="511"/>
      <c r="AR533" s="511"/>
      <c r="AS533" s="511"/>
      <c r="AT533" s="511"/>
      <c r="AU533" s="511"/>
      <c r="AV533" s="511"/>
      <c r="AW533" s="511"/>
      <c r="AX533" s="511"/>
      <c r="AY533" s="511"/>
      <c r="AZ533" s="511"/>
      <c r="BA533" s="511"/>
      <c r="BB533" s="511"/>
      <c r="BC533" s="511"/>
      <c r="BD533" s="511"/>
      <c r="BE533" s="511"/>
    </row>
    <row r="534" ht="15.75" customHeight="1">
      <c r="A534" s="511"/>
      <c r="B534" s="511"/>
      <c r="C534" s="511"/>
      <c r="D534" s="511"/>
      <c r="E534" s="511"/>
      <c r="F534" s="511"/>
      <c r="G534" s="511"/>
      <c r="H534" s="511"/>
      <c r="I534" s="511"/>
      <c r="J534" s="511"/>
      <c r="K534" s="511"/>
      <c r="L534" s="511"/>
      <c r="M534" s="511"/>
      <c r="N534" s="511"/>
      <c r="O534" s="511"/>
      <c r="P534" s="511"/>
      <c r="Q534" s="511"/>
      <c r="R534" s="511"/>
      <c r="S534" s="511"/>
      <c r="T534" s="511"/>
      <c r="U534" s="511"/>
      <c r="V534" s="511"/>
      <c r="W534" s="511"/>
      <c r="X534" s="511"/>
      <c r="Y534" s="511"/>
      <c r="Z534" s="511"/>
      <c r="AA534" s="511"/>
      <c r="AB534" s="511"/>
      <c r="AC534" s="511"/>
      <c r="AD534" s="511"/>
      <c r="AE534" s="511"/>
      <c r="AF534" s="511"/>
      <c r="AG534" s="511"/>
      <c r="AH534" s="511"/>
      <c r="AI534" s="511"/>
      <c r="AJ534" s="511"/>
      <c r="AK534" s="511"/>
      <c r="AL534" s="511"/>
      <c r="AM534" s="511"/>
      <c r="AN534" s="511"/>
      <c r="AO534" s="511"/>
      <c r="AP534" s="511"/>
      <c r="AQ534" s="511"/>
      <c r="AR534" s="511"/>
      <c r="AS534" s="511"/>
      <c r="AT534" s="511"/>
      <c r="AU534" s="511"/>
      <c r="AV534" s="511"/>
      <c r="AW534" s="511"/>
      <c r="AX534" s="511"/>
      <c r="AY534" s="511"/>
      <c r="AZ534" s="511"/>
      <c r="BA534" s="511"/>
      <c r="BB534" s="511"/>
      <c r="BC534" s="511"/>
      <c r="BD534" s="511"/>
      <c r="BE534" s="511"/>
    </row>
    <row r="535" ht="15.75" customHeight="1">
      <c r="A535" s="511"/>
      <c r="B535" s="511"/>
      <c r="C535" s="511"/>
      <c r="D535" s="511"/>
      <c r="E535" s="511"/>
      <c r="F535" s="511"/>
      <c r="G535" s="511"/>
      <c r="H535" s="511"/>
      <c r="I535" s="511"/>
      <c r="J535" s="511"/>
      <c r="K535" s="511"/>
      <c r="L535" s="511"/>
      <c r="M535" s="511"/>
      <c r="N535" s="511"/>
      <c r="O535" s="511"/>
      <c r="P535" s="511"/>
      <c r="Q535" s="511"/>
      <c r="R535" s="511"/>
      <c r="S535" s="511"/>
      <c r="T535" s="511"/>
      <c r="U535" s="511"/>
      <c r="V535" s="511"/>
      <c r="W535" s="511"/>
      <c r="X535" s="511"/>
      <c r="Y535" s="511"/>
      <c r="Z535" s="511"/>
      <c r="AA535" s="511"/>
      <c r="AB535" s="511"/>
      <c r="AC535" s="511"/>
      <c r="AD535" s="511"/>
      <c r="AE535" s="511"/>
      <c r="AF535" s="511"/>
      <c r="AG535" s="511"/>
      <c r="AH535" s="511"/>
      <c r="AI535" s="511"/>
      <c r="AJ535" s="511"/>
      <c r="AK535" s="511"/>
      <c r="AL535" s="511"/>
      <c r="AM535" s="511"/>
      <c r="AN535" s="511"/>
      <c r="AO535" s="511"/>
      <c r="AP535" s="511"/>
      <c r="AQ535" s="511"/>
      <c r="AR535" s="511"/>
      <c r="AS535" s="511"/>
      <c r="AT535" s="511"/>
      <c r="AU535" s="511"/>
      <c r="AV535" s="511"/>
      <c r="AW535" s="511"/>
      <c r="AX535" s="511"/>
      <c r="AY535" s="511"/>
      <c r="AZ535" s="511"/>
      <c r="BA535" s="511"/>
      <c r="BB535" s="511"/>
      <c r="BC535" s="511"/>
      <c r="BD535" s="511"/>
      <c r="BE535" s="511"/>
    </row>
    <row r="536" ht="15.75" customHeight="1">
      <c r="A536" s="511"/>
      <c r="B536" s="511"/>
      <c r="C536" s="511"/>
      <c r="D536" s="511"/>
      <c r="E536" s="511"/>
      <c r="F536" s="511"/>
      <c r="G536" s="511"/>
      <c r="H536" s="511"/>
      <c r="I536" s="511"/>
      <c r="J536" s="511"/>
      <c r="K536" s="511"/>
      <c r="L536" s="511"/>
      <c r="M536" s="511"/>
      <c r="N536" s="511"/>
      <c r="O536" s="511"/>
      <c r="P536" s="511"/>
      <c r="Q536" s="511"/>
      <c r="R536" s="511"/>
      <c r="S536" s="511"/>
      <c r="T536" s="511"/>
      <c r="U536" s="511"/>
      <c r="V536" s="511"/>
      <c r="W536" s="511"/>
      <c r="X536" s="511"/>
      <c r="Y536" s="511"/>
      <c r="Z536" s="511"/>
      <c r="AA536" s="511"/>
      <c r="AB536" s="511"/>
      <c r="AC536" s="511"/>
      <c r="AD536" s="511"/>
      <c r="AE536" s="511"/>
      <c r="AF536" s="511"/>
      <c r="AG536" s="511"/>
      <c r="AH536" s="511"/>
      <c r="AI536" s="511"/>
      <c r="AJ536" s="511"/>
      <c r="AK536" s="511"/>
      <c r="AL536" s="511"/>
      <c r="AM536" s="511"/>
      <c r="AN536" s="511"/>
      <c r="AO536" s="511"/>
      <c r="AP536" s="511"/>
      <c r="AQ536" s="511"/>
      <c r="AR536" s="511"/>
      <c r="AS536" s="511"/>
      <c r="AT536" s="511"/>
      <c r="AU536" s="511"/>
      <c r="AV536" s="511"/>
      <c r="AW536" s="511"/>
      <c r="AX536" s="511"/>
      <c r="AY536" s="511"/>
      <c r="AZ536" s="511"/>
      <c r="BA536" s="511"/>
      <c r="BB536" s="511"/>
      <c r="BC536" s="511"/>
      <c r="BD536" s="511"/>
      <c r="BE536" s="511"/>
    </row>
    <row r="537" ht="15.75" customHeight="1">
      <c r="A537" s="511"/>
      <c r="B537" s="511"/>
      <c r="C537" s="511"/>
      <c r="D537" s="511"/>
      <c r="E537" s="511"/>
      <c r="F537" s="511"/>
      <c r="G537" s="511"/>
      <c r="H537" s="511"/>
      <c r="I537" s="511"/>
      <c r="J537" s="511"/>
      <c r="K537" s="511"/>
      <c r="L537" s="511"/>
      <c r="M537" s="511"/>
      <c r="N537" s="511"/>
      <c r="O537" s="511"/>
      <c r="P537" s="511"/>
      <c r="Q537" s="511"/>
      <c r="R537" s="511"/>
      <c r="S537" s="511"/>
      <c r="T537" s="511"/>
      <c r="U537" s="511"/>
      <c r="V537" s="511"/>
      <c r="W537" s="511"/>
      <c r="X537" s="511"/>
      <c r="Y537" s="511"/>
      <c r="Z537" s="511"/>
      <c r="AA537" s="511"/>
      <c r="AB537" s="511"/>
      <c r="AC537" s="511"/>
      <c r="AD537" s="511"/>
      <c r="AE537" s="511"/>
      <c r="AF537" s="511"/>
      <c r="AG537" s="511"/>
      <c r="AH537" s="511"/>
      <c r="AI537" s="511"/>
      <c r="AJ537" s="511"/>
      <c r="AK537" s="511"/>
      <c r="AL537" s="511"/>
      <c r="AM537" s="511"/>
      <c r="AN537" s="511"/>
      <c r="AO537" s="511"/>
      <c r="AP537" s="511"/>
      <c r="AQ537" s="511"/>
      <c r="AR537" s="511"/>
      <c r="AS537" s="511"/>
      <c r="AT537" s="511"/>
      <c r="AU537" s="511"/>
      <c r="AV537" s="511"/>
      <c r="AW537" s="511"/>
      <c r="AX537" s="511"/>
      <c r="AY537" s="511"/>
      <c r="AZ537" s="511"/>
      <c r="BA537" s="511"/>
      <c r="BB537" s="511"/>
      <c r="BC537" s="511"/>
      <c r="BD537" s="511"/>
      <c r="BE537" s="511"/>
    </row>
    <row r="538" ht="15.75" customHeight="1">
      <c r="A538" s="511"/>
      <c r="B538" s="511"/>
      <c r="C538" s="511"/>
      <c r="D538" s="511"/>
      <c r="E538" s="511"/>
      <c r="F538" s="511"/>
      <c r="G538" s="511"/>
      <c r="H538" s="511"/>
      <c r="I538" s="511"/>
      <c r="J538" s="511"/>
      <c r="K538" s="511"/>
      <c r="L538" s="511"/>
      <c r="M538" s="511"/>
      <c r="N538" s="511"/>
      <c r="O538" s="511"/>
      <c r="P538" s="511"/>
      <c r="Q538" s="511"/>
      <c r="R538" s="511"/>
      <c r="S538" s="511"/>
      <c r="T538" s="511"/>
      <c r="U538" s="511"/>
      <c r="V538" s="511"/>
      <c r="W538" s="511"/>
      <c r="X538" s="511"/>
      <c r="Y538" s="511"/>
      <c r="Z538" s="511"/>
      <c r="AA538" s="511"/>
      <c r="AB538" s="511"/>
      <c r="AC538" s="511"/>
      <c r="AD538" s="511"/>
      <c r="AE538" s="511"/>
      <c r="AF538" s="511"/>
      <c r="AG538" s="511"/>
      <c r="AH538" s="511"/>
      <c r="AI538" s="511"/>
      <c r="AJ538" s="511"/>
      <c r="AK538" s="511"/>
      <c r="AL538" s="511"/>
      <c r="AM538" s="511"/>
      <c r="AN538" s="511"/>
      <c r="AO538" s="511"/>
      <c r="AP538" s="511"/>
      <c r="AQ538" s="511"/>
      <c r="AR538" s="511"/>
      <c r="AS538" s="511"/>
      <c r="AT538" s="511"/>
      <c r="AU538" s="511"/>
      <c r="AV538" s="511"/>
      <c r="AW538" s="511"/>
      <c r="AX538" s="511"/>
      <c r="AY538" s="511"/>
      <c r="AZ538" s="511"/>
      <c r="BA538" s="511"/>
      <c r="BB538" s="511"/>
      <c r="BC538" s="511"/>
      <c r="BD538" s="511"/>
      <c r="BE538" s="511"/>
    </row>
    <row r="539" ht="15.75" customHeight="1">
      <c r="A539" s="511"/>
      <c r="B539" s="511"/>
      <c r="C539" s="511"/>
      <c r="D539" s="511"/>
      <c r="E539" s="511"/>
      <c r="F539" s="511"/>
      <c r="G539" s="511"/>
      <c r="H539" s="511"/>
      <c r="I539" s="511"/>
      <c r="J539" s="511"/>
      <c r="K539" s="511"/>
      <c r="L539" s="511"/>
      <c r="M539" s="511"/>
      <c r="N539" s="511"/>
      <c r="O539" s="511"/>
      <c r="P539" s="511"/>
      <c r="Q539" s="511"/>
      <c r="R539" s="511"/>
      <c r="S539" s="511"/>
      <c r="T539" s="511"/>
      <c r="U539" s="511"/>
      <c r="V539" s="511"/>
      <c r="W539" s="511"/>
      <c r="X539" s="511"/>
      <c r="Y539" s="511"/>
      <c r="Z539" s="511"/>
      <c r="AA539" s="511"/>
      <c r="AB539" s="511"/>
      <c r="AC539" s="511"/>
      <c r="AD539" s="511"/>
      <c r="AE539" s="511"/>
      <c r="AF539" s="511"/>
      <c r="AG539" s="511"/>
      <c r="AH539" s="511"/>
      <c r="AI539" s="511"/>
      <c r="AJ539" s="511"/>
      <c r="AK539" s="511"/>
      <c r="AL539" s="511"/>
      <c r="AM539" s="511"/>
      <c r="AN539" s="511"/>
      <c r="AO539" s="511"/>
      <c r="AP539" s="511"/>
      <c r="AQ539" s="511"/>
      <c r="AR539" s="511"/>
      <c r="AS539" s="511"/>
      <c r="AT539" s="511"/>
      <c r="AU539" s="511"/>
      <c r="AV539" s="511"/>
      <c r="AW539" s="511"/>
      <c r="AX539" s="511"/>
      <c r="AY539" s="511"/>
      <c r="AZ539" s="511"/>
      <c r="BA539" s="511"/>
      <c r="BB539" s="511"/>
      <c r="BC539" s="511"/>
      <c r="BD539" s="511"/>
      <c r="BE539" s="511"/>
    </row>
    <row r="540" ht="15.75" customHeight="1">
      <c r="A540" s="511"/>
      <c r="B540" s="511"/>
      <c r="C540" s="511"/>
      <c r="D540" s="511"/>
      <c r="E540" s="511"/>
      <c r="F540" s="511"/>
      <c r="G540" s="511"/>
      <c r="H540" s="511"/>
      <c r="I540" s="511"/>
      <c r="J540" s="511"/>
      <c r="K540" s="511"/>
      <c r="L540" s="511"/>
      <c r="M540" s="511"/>
      <c r="N540" s="511"/>
      <c r="O540" s="511"/>
      <c r="P540" s="511"/>
      <c r="Q540" s="511"/>
      <c r="R540" s="511"/>
      <c r="S540" s="511"/>
      <c r="T540" s="511"/>
      <c r="U540" s="511"/>
      <c r="V540" s="511"/>
      <c r="W540" s="511"/>
      <c r="X540" s="511"/>
      <c r="Y540" s="511"/>
      <c r="Z540" s="511"/>
      <c r="AA540" s="511"/>
      <c r="AB540" s="511"/>
      <c r="AC540" s="511"/>
      <c r="AD540" s="511"/>
      <c r="AE540" s="511"/>
      <c r="AF540" s="511"/>
      <c r="AG540" s="511"/>
      <c r="AH540" s="511"/>
      <c r="AI540" s="511"/>
      <c r="AJ540" s="511"/>
      <c r="AK540" s="511"/>
      <c r="AL540" s="511"/>
      <c r="AM540" s="511"/>
      <c r="AN540" s="511"/>
      <c r="AO540" s="511"/>
      <c r="AP540" s="511"/>
      <c r="AQ540" s="511"/>
      <c r="AR540" s="511"/>
      <c r="AS540" s="511"/>
      <c r="AT540" s="511"/>
      <c r="AU540" s="511"/>
      <c r="AV540" s="511"/>
      <c r="AW540" s="511"/>
      <c r="AX540" s="511"/>
      <c r="AY540" s="511"/>
      <c r="AZ540" s="511"/>
      <c r="BA540" s="511"/>
      <c r="BB540" s="511"/>
      <c r="BC540" s="511"/>
      <c r="BD540" s="511"/>
      <c r="BE540" s="511"/>
    </row>
    <row r="541" ht="15.75" customHeight="1">
      <c r="A541" s="511"/>
      <c r="B541" s="511"/>
      <c r="C541" s="511"/>
      <c r="D541" s="511"/>
      <c r="E541" s="511"/>
      <c r="F541" s="511"/>
      <c r="G541" s="511"/>
      <c r="H541" s="511"/>
      <c r="I541" s="511"/>
      <c r="J541" s="511"/>
      <c r="K541" s="511"/>
      <c r="L541" s="511"/>
      <c r="M541" s="511"/>
      <c r="N541" s="511"/>
      <c r="O541" s="511"/>
      <c r="P541" s="511"/>
      <c r="Q541" s="511"/>
      <c r="R541" s="511"/>
      <c r="S541" s="511"/>
      <c r="T541" s="511"/>
      <c r="U541" s="511"/>
      <c r="V541" s="511"/>
      <c r="W541" s="511"/>
      <c r="X541" s="511"/>
      <c r="Y541" s="511"/>
      <c r="Z541" s="511"/>
      <c r="AA541" s="511"/>
      <c r="AB541" s="511"/>
      <c r="AC541" s="511"/>
      <c r="AD541" s="511"/>
      <c r="AE541" s="511"/>
      <c r="AF541" s="511"/>
      <c r="AG541" s="511"/>
      <c r="AH541" s="511"/>
      <c r="AI541" s="511"/>
      <c r="AJ541" s="511"/>
      <c r="AK541" s="511"/>
      <c r="AL541" s="511"/>
      <c r="AM541" s="511"/>
      <c r="AN541" s="511"/>
      <c r="AO541" s="511"/>
      <c r="AP541" s="511"/>
      <c r="AQ541" s="511"/>
      <c r="AR541" s="511"/>
      <c r="AS541" s="511"/>
      <c r="AT541" s="511"/>
      <c r="AU541" s="511"/>
      <c r="AV541" s="511"/>
      <c r="AW541" s="511"/>
      <c r="AX541" s="511"/>
      <c r="AY541" s="511"/>
      <c r="AZ541" s="511"/>
      <c r="BA541" s="511"/>
      <c r="BB541" s="511"/>
      <c r="BC541" s="511"/>
      <c r="BD541" s="511"/>
      <c r="BE541" s="511"/>
    </row>
    <row r="542" ht="15.75" customHeight="1">
      <c r="A542" s="511"/>
      <c r="B542" s="511"/>
      <c r="C542" s="511"/>
      <c r="D542" s="511"/>
      <c r="E542" s="511"/>
      <c r="F542" s="511"/>
      <c r="G542" s="511"/>
      <c r="H542" s="511"/>
      <c r="I542" s="511"/>
      <c r="J542" s="511"/>
      <c r="K542" s="511"/>
      <c r="L542" s="511"/>
      <c r="M542" s="511"/>
      <c r="N542" s="511"/>
      <c r="O542" s="511"/>
      <c r="P542" s="511"/>
      <c r="Q542" s="511"/>
      <c r="R542" s="511"/>
      <c r="S542" s="511"/>
      <c r="T542" s="511"/>
      <c r="U542" s="511"/>
      <c r="V542" s="511"/>
      <c r="W542" s="511"/>
      <c r="X542" s="511"/>
      <c r="Y542" s="511"/>
      <c r="Z542" s="511"/>
      <c r="AA542" s="511"/>
      <c r="AB542" s="511"/>
      <c r="AC542" s="511"/>
      <c r="AD542" s="511"/>
      <c r="AE542" s="511"/>
      <c r="AF542" s="511"/>
      <c r="AG542" s="511"/>
      <c r="AH542" s="511"/>
      <c r="AI542" s="511"/>
      <c r="AJ542" s="511"/>
      <c r="AK542" s="511"/>
      <c r="AL542" s="511"/>
      <c r="AM542" s="511"/>
      <c r="AN542" s="511"/>
      <c r="AO542" s="511"/>
      <c r="AP542" s="511"/>
      <c r="AQ542" s="511"/>
      <c r="AR542" s="511"/>
      <c r="AS542" s="511"/>
      <c r="AT542" s="511"/>
      <c r="AU542" s="511"/>
      <c r="AV542" s="511"/>
      <c r="AW542" s="511"/>
      <c r="AX542" s="511"/>
      <c r="AY542" s="511"/>
      <c r="AZ542" s="511"/>
      <c r="BA542" s="511"/>
      <c r="BB542" s="511"/>
      <c r="BC542" s="511"/>
      <c r="BD542" s="511"/>
      <c r="BE542" s="511"/>
    </row>
    <row r="543" ht="15.75" customHeight="1">
      <c r="A543" s="511"/>
      <c r="B543" s="511"/>
      <c r="C543" s="511"/>
      <c r="D543" s="511"/>
      <c r="E543" s="511"/>
      <c r="F543" s="511"/>
      <c r="G543" s="511"/>
      <c r="H543" s="511"/>
      <c r="I543" s="511"/>
      <c r="J543" s="511"/>
      <c r="K543" s="511"/>
      <c r="L543" s="511"/>
      <c r="M543" s="511"/>
      <c r="N543" s="511"/>
      <c r="O543" s="511"/>
      <c r="P543" s="511"/>
      <c r="Q543" s="511"/>
      <c r="R543" s="511"/>
      <c r="S543" s="511"/>
      <c r="T543" s="511"/>
      <c r="U543" s="511"/>
      <c r="V543" s="511"/>
      <c r="W543" s="511"/>
      <c r="X543" s="511"/>
      <c r="Y543" s="511"/>
      <c r="Z543" s="511"/>
      <c r="AA543" s="511"/>
      <c r="AB543" s="511"/>
      <c r="AC543" s="511"/>
      <c r="AD543" s="511"/>
      <c r="AE543" s="511"/>
      <c r="AF543" s="511"/>
      <c r="AG543" s="511"/>
      <c r="AH543" s="511"/>
      <c r="AI543" s="511"/>
      <c r="AJ543" s="511"/>
      <c r="AK543" s="511"/>
      <c r="AL543" s="511"/>
      <c r="AM543" s="511"/>
      <c r="AN543" s="511"/>
      <c r="AO543" s="511"/>
      <c r="AP543" s="511"/>
      <c r="AQ543" s="511"/>
      <c r="AR543" s="511"/>
      <c r="AS543" s="511"/>
      <c r="AT543" s="511"/>
      <c r="AU543" s="511"/>
      <c r="AV543" s="511"/>
      <c r="AW543" s="511"/>
      <c r="AX543" s="511"/>
      <c r="AY543" s="511"/>
      <c r="AZ543" s="511"/>
      <c r="BA543" s="511"/>
      <c r="BB543" s="511"/>
      <c r="BC543" s="511"/>
      <c r="BD543" s="511"/>
      <c r="BE543" s="511"/>
    </row>
    <row r="544" ht="15.75" customHeight="1">
      <c r="A544" s="511"/>
      <c r="B544" s="511"/>
      <c r="C544" s="511"/>
      <c r="D544" s="511"/>
      <c r="E544" s="511"/>
      <c r="F544" s="511"/>
      <c r="G544" s="511"/>
      <c r="H544" s="511"/>
      <c r="I544" s="511"/>
      <c r="J544" s="511"/>
      <c r="K544" s="511"/>
      <c r="L544" s="511"/>
      <c r="M544" s="511"/>
      <c r="N544" s="511"/>
      <c r="O544" s="511"/>
      <c r="P544" s="511"/>
      <c r="Q544" s="511"/>
      <c r="R544" s="511"/>
      <c r="S544" s="511"/>
      <c r="T544" s="511"/>
      <c r="U544" s="511"/>
      <c r="V544" s="511"/>
      <c r="W544" s="511"/>
      <c r="X544" s="511"/>
      <c r="Y544" s="511"/>
      <c r="Z544" s="511"/>
      <c r="AA544" s="511"/>
      <c r="AB544" s="511"/>
      <c r="AC544" s="511"/>
      <c r="AD544" s="511"/>
      <c r="AE544" s="511"/>
      <c r="AF544" s="511"/>
      <c r="AG544" s="511"/>
      <c r="AH544" s="511"/>
      <c r="AI544" s="511"/>
      <c r="AJ544" s="511"/>
      <c r="AK544" s="511"/>
      <c r="AL544" s="511"/>
      <c r="AM544" s="511"/>
      <c r="AN544" s="511"/>
      <c r="AO544" s="511"/>
      <c r="AP544" s="511"/>
      <c r="AQ544" s="511"/>
      <c r="AR544" s="511"/>
      <c r="AS544" s="511"/>
      <c r="AT544" s="511"/>
      <c r="AU544" s="511"/>
      <c r="AV544" s="511"/>
      <c r="AW544" s="511"/>
      <c r="AX544" s="511"/>
      <c r="AY544" s="511"/>
      <c r="AZ544" s="511"/>
      <c r="BA544" s="511"/>
      <c r="BB544" s="511"/>
      <c r="BC544" s="511"/>
      <c r="BD544" s="511"/>
      <c r="BE544" s="511"/>
    </row>
    <row r="545" ht="15.75" customHeight="1">
      <c r="A545" s="511"/>
      <c r="B545" s="511"/>
      <c r="C545" s="511"/>
      <c r="D545" s="511"/>
      <c r="E545" s="511"/>
      <c r="F545" s="511"/>
      <c r="G545" s="511"/>
      <c r="H545" s="511"/>
      <c r="I545" s="511"/>
      <c r="J545" s="511"/>
      <c r="K545" s="511"/>
      <c r="L545" s="511"/>
      <c r="M545" s="511"/>
      <c r="N545" s="511"/>
      <c r="O545" s="511"/>
      <c r="P545" s="511"/>
      <c r="Q545" s="511"/>
      <c r="R545" s="511"/>
      <c r="S545" s="511"/>
      <c r="T545" s="511"/>
      <c r="U545" s="511"/>
      <c r="V545" s="511"/>
      <c r="W545" s="511"/>
      <c r="X545" s="511"/>
      <c r="Y545" s="511"/>
      <c r="Z545" s="511"/>
      <c r="AA545" s="511"/>
      <c r="AB545" s="511"/>
      <c r="AC545" s="511"/>
      <c r="AD545" s="511"/>
      <c r="AE545" s="511"/>
      <c r="AF545" s="511"/>
      <c r="AG545" s="511"/>
      <c r="AH545" s="511"/>
      <c r="AI545" s="511"/>
      <c r="AJ545" s="511"/>
      <c r="AK545" s="511"/>
      <c r="AL545" s="511"/>
      <c r="AM545" s="511"/>
      <c r="AN545" s="511"/>
      <c r="AO545" s="511"/>
      <c r="AP545" s="511"/>
      <c r="AQ545" s="511"/>
      <c r="AR545" s="511"/>
      <c r="AS545" s="511"/>
      <c r="AT545" s="511"/>
      <c r="AU545" s="511"/>
      <c r="AV545" s="511"/>
      <c r="AW545" s="511"/>
      <c r="AX545" s="511"/>
      <c r="AY545" s="511"/>
      <c r="AZ545" s="511"/>
      <c r="BA545" s="511"/>
      <c r="BB545" s="511"/>
      <c r="BC545" s="511"/>
      <c r="BD545" s="511"/>
      <c r="BE545" s="511"/>
    </row>
    <row r="546" ht="15.75" customHeight="1">
      <c r="A546" s="511"/>
      <c r="B546" s="511"/>
      <c r="C546" s="511"/>
      <c r="D546" s="511"/>
      <c r="E546" s="511"/>
      <c r="F546" s="511"/>
      <c r="G546" s="511"/>
      <c r="H546" s="511"/>
      <c r="I546" s="511"/>
      <c r="J546" s="511"/>
      <c r="K546" s="511"/>
      <c r="L546" s="511"/>
      <c r="M546" s="511"/>
      <c r="N546" s="511"/>
      <c r="O546" s="511"/>
      <c r="P546" s="511"/>
      <c r="Q546" s="511"/>
      <c r="R546" s="511"/>
      <c r="S546" s="511"/>
      <c r="T546" s="511"/>
      <c r="U546" s="511"/>
      <c r="V546" s="511"/>
      <c r="W546" s="511"/>
      <c r="X546" s="511"/>
      <c r="Y546" s="511"/>
      <c r="Z546" s="511"/>
      <c r="AA546" s="511"/>
      <c r="AB546" s="511"/>
      <c r="AC546" s="511"/>
      <c r="AD546" s="511"/>
      <c r="AE546" s="511"/>
      <c r="AF546" s="511"/>
      <c r="AG546" s="511"/>
      <c r="AH546" s="511"/>
      <c r="AI546" s="511"/>
      <c r="AJ546" s="511"/>
      <c r="AK546" s="511"/>
      <c r="AL546" s="511"/>
      <c r="AM546" s="511"/>
      <c r="AN546" s="511"/>
      <c r="AO546" s="511"/>
      <c r="AP546" s="511"/>
      <c r="AQ546" s="511"/>
      <c r="AR546" s="511"/>
      <c r="AS546" s="511"/>
      <c r="AT546" s="511"/>
      <c r="AU546" s="511"/>
      <c r="AV546" s="511"/>
      <c r="AW546" s="511"/>
      <c r="AX546" s="511"/>
      <c r="AY546" s="511"/>
      <c r="AZ546" s="511"/>
      <c r="BA546" s="511"/>
      <c r="BB546" s="511"/>
      <c r="BC546" s="511"/>
      <c r="BD546" s="511"/>
      <c r="BE546" s="511"/>
    </row>
    <row r="547" ht="15.75" customHeight="1">
      <c r="A547" s="511"/>
      <c r="B547" s="511"/>
      <c r="C547" s="511"/>
      <c r="D547" s="511"/>
      <c r="E547" s="511"/>
      <c r="F547" s="511"/>
      <c r="G547" s="511"/>
      <c r="H547" s="511"/>
      <c r="I547" s="511"/>
      <c r="J547" s="511"/>
      <c r="K547" s="511"/>
      <c r="L547" s="511"/>
      <c r="M547" s="511"/>
      <c r="N547" s="511"/>
      <c r="O547" s="511"/>
      <c r="P547" s="511"/>
      <c r="Q547" s="511"/>
      <c r="R547" s="511"/>
      <c r="S547" s="511"/>
      <c r="T547" s="511"/>
      <c r="U547" s="511"/>
      <c r="V547" s="511"/>
      <c r="W547" s="511"/>
      <c r="X547" s="511"/>
      <c r="Y547" s="511"/>
      <c r="Z547" s="511"/>
      <c r="AA547" s="511"/>
      <c r="AB547" s="511"/>
      <c r="AC547" s="511"/>
      <c r="AD547" s="511"/>
      <c r="AE547" s="511"/>
      <c r="AF547" s="511"/>
      <c r="AG547" s="511"/>
      <c r="AH547" s="511"/>
      <c r="AI547" s="511"/>
      <c r="AJ547" s="511"/>
      <c r="AK547" s="511"/>
      <c r="AL547" s="511"/>
      <c r="AM547" s="511"/>
      <c r="AN547" s="511"/>
      <c r="AO547" s="511"/>
      <c r="AP547" s="511"/>
      <c r="AQ547" s="511"/>
      <c r="AR547" s="511"/>
      <c r="AS547" s="511"/>
      <c r="AT547" s="511"/>
      <c r="AU547" s="511"/>
      <c r="AV547" s="511"/>
      <c r="AW547" s="511"/>
      <c r="AX547" s="511"/>
      <c r="AY547" s="511"/>
      <c r="AZ547" s="511"/>
      <c r="BA547" s="511"/>
      <c r="BB547" s="511"/>
      <c r="BC547" s="511"/>
      <c r="BD547" s="511"/>
      <c r="BE547" s="511"/>
    </row>
    <row r="548" ht="15.75" customHeight="1">
      <c r="A548" s="511"/>
      <c r="B548" s="511"/>
      <c r="C548" s="511"/>
      <c r="D548" s="511"/>
      <c r="E548" s="511"/>
      <c r="F548" s="511"/>
      <c r="G548" s="511"/>
      <c r="H548" s="511"/>
      <c r="I548" s="511"/>
      <c r="J548" s="511"/>
      <c r="K548" s="511"/>
      <c r="L548" s="511"/>
      <c r="M548" s="511"/>
      <c r="N548" s="511"/>
      <c r="O548" s="511"/>
      <c r="P548" s="511"/>
      <c r="Q548" s="511"/>
      <c r="R548" s="511"/>
      <c r="S548" s="511"/>
      <c r="T548" s="511"/>
      <c r="U548" s="511"/>
      <c r="V548" s="511"/>
      <c r="W548" s="511"/>
      <c r="X548" s="511"/>
      <c r="Y548" s="511"/>
      <c r="Z548" s="511"/>
      <c r="AA548" s="511"/>
      <c r="AB548" s="511"/>
      <c r="AC548" s="511"/>
      <c r="AD548" s="511"/>
      <c r="AE548" s="511"/>
      <c r="AF548" s="511"/>
      <c r="AG548" s="511"/>
      <c r="AH548" s="511"/>
      <c r="AI548" s="511"/>
      <c r="AJ548" s="511"/>
      <c r="AK548" s="511"/>
      <c r="AL548" s="511"/>
      <c r="AM548" s="511"/>
      <c r="AN548" s="511"/>
      <c r="AO548" s="511"/>
      <c r="AP548" s="511"/>
      <c r="AQ548" s="511"/>
      <c r="AR548" s="511"/>
      <c r="AS548" s="511"/>
      <c r="AT548" s="511"/>
      <c r="AU548" s="511"/>
      <c r="AV548" s="511"/>
      <c r="AW548" s="511"/>
      <c r="AX548" s="511"/>
      <c r="AY548" s="511"/>
      <c r="AZ548" s="511"/>
      <c r="BA548" s="511"/>
      <c r="BB548" s="511"/>
      <c r="BC548" s="511"/>
      <c r="BD548" s="511"/>
      <c r="BE548" s="511"/>
    </row>
    <row r="549" ht="15.75" customHeight="1">
      <c r="A549" s="511"/>
      <c r="B549" s="511"/>
      <c r="C549" s="511"/>
      <c r="D549" s="511"/>
      <c r="E549" s="511"/>
      <c r="F549" s="511"/>
      <c r="G549" s="511"/>
      <c r="H549" s="511"/>
      <c r="I549" s="511"/>
      <c r="J549" s="511"/>
      <c r="K549" s="511"/>
      <c r="L549" s="511"/>
      <c r="M549" s="511"/>
      <c r="N549" s="511"/>
      <c r="O549" s="511"/>
      <c r="P549" s="511"/>
      <c r="Q549" s="511"/>
      <c r="R549" s="511"/>
      <c r="S549" s="511"/>
      <c r="T549" s="511"/>
      <c r="U549" s="511"/>
      <c r="V549" s="511"/>
      <c r="W549" s="511"/>
      <c r="X549" s="511"/>
      <c r="Y549" s="511"/>
      <c r="Z549" s="511"/>
      <c r="AA549" s="511"/>
      <c r="AB549" s="511"/>
      <c r="AC549" s="511"/>
      <c r="AD549" s="511"/>
      <c r="AE549" s="511"/>
      <c r="AF549" s="511"/>
      <c r="AG549" s="511"/>
      <c r="AH549" s="511"/>
      <c r="AI549" s="511"/>
      <c r="AJ549" s="511"/>
      <c r="AK549" s="511"/>
      <c r="AL549" s="511"/>
      <c r="AM549" s="511"/>
      <c r="AN549" s="511"/>
      <c r="AO549" s="511"/>
      <c r="AP549" s="511"/>
      <c r="AQ549" s="511"/>
      <c r="AR549" s="511"/>
      <c r="AS549" s="511"/>
      <c r="AT549" s="511"/>
      <c r="AU549" s="511"/>
      <c r="AV549" s="511"/>
      <c r="AW549" s="511"/>
      <c r="AX549" s="511"/>
      <c r="AY549" s="511"/>
      <c r="AZ549" s="511"/>
      <c r="BA549" s="511"/>
      <c r="BB549" s="511"/>
      <c r="BC549" s="511"/>
      <c r="BD549" s="511"/>
      <c r="BE549" s="511"/>
    </row>
    <row r="550" ht="15.75" customHeight="1">
      <c r="A550" s="511"/>
      <c r="B550" s="511"/>
      <c r="C550" s="511"/>
      <c r="D550" s="511"/>
      <c r="E550" s="511"/>
      <c r="F550" s="511"/>
      <c r="G550" s="511"/>
      <c r="H550" s="511"/>
      <c r="I550" s="511"/>
      <c r="J550" s="511"/>
      <c r="K550" s="511"/>
      <c r="L550" s="511"/>
      <c r="M550" s="511"/>
      <c r="N550" s="511"/>
      <c r="O550" s="511"/>
      <c r="P550" s="511"/>
      <c r="Q550" s="511"/>
      <c r="R550" s="511"/>
      <c r="S550" s="511"/>
      <c r="T550" s="511"/>
      <c r="U550" s="511"/>
      <c r="V550" s="511"/>
      <c r="W550" s="511"/>
      <c r="X550" s="511"/>
      <c r="Y550" s="511"/>
      <c r="Z550" s="511"/>
      <c r="AA550" s="511"/>
      <c r="AB550" s="511"/>
      <c r="AC550" s="511"/>
      <c r="AD550" s="511"/>
      <c r="AE550" s="511"/>
      <c r="AF550" s="511"/>
      <c r="AG550" s="511"/>
      <c r="AH550" s="511"/>
      <c r="AI550" s="511"/>
      <c r="AJ550" s="511"/>
      <c r="AK550" s="511"/>
      <c r="AL550" s="511"/>
      <c r="AM550" s="511"/>
      <c r="AN550" s="511"/>
      <c r="AO550" s="511"/>
      <c r="AP550" s="511"/>
      <c r="AQ550" s="511"/>
      <c r="AR550" s="511"/>
      <c r="AS550" s="511"/>
      <c r="AT550" s="511"/>
      <c r="AU550" s="511"/>
      <c r="AV550" s="511"/>
      <c r="AW550" s="511"/>
      <c r="AX550" s="511"/>
      <c r="AY550" s="511"/>
      <c r="AZ550" s="511"/>
      <c r="BA550" s="511"/>
      <c r="BB550" s="511"/>
      <c r="BC550" s="511"/>
      <c r="BD550" s="511"/>
      <c r="BE550" s="511"/>
    </row>
    <row r="551" ht="15.75" customHeight="1">
      <c r="A551" s="511"/>
      <c r="B551" s="511"/>
      <c r="C551" s="511"/>
      <c r="D551" s="511"/>
      <c r="E551" s="511"/>
      <c r="F551" s="511"/>
      <c r="G551" s="511"/>
      <c r="H551" s="511"/>
      <c r="I551" s="511"/>
      <c r="J551" s="511"/>
      <c r="K551" s="511"/>
      <c r="L551" s="511"/>
      <c r="M551" s="511"/>
      <c r="N551" s="511"/>
      <c r="O551" s="511"/>
      <c r="P551" s="511"/>
      <c r="Q551" s="511"/>
      <c r="R551" s="511"/>
      <c r="S551" s="511"/>
      <c r="T551" s="511"/>
      <c r="U551" s="511"/>
      <c r="V551" s="511"/>
      <c r="W551" s="511"/>
      <c r="X551" s="511"/>
      <c r="Y551" s="511"/>
      <c r="Z551" s="511"/>
      <c r="AA551" s="511"/>
      <c r="AB551" s="511"/>
      <c r="AC551" s="511"/>
      <c r="AD551" s="511"/>
      <c r="AE551" s="511"/>
      <c r="AF551" s="511"/>
      <c r="AG551" s="511"/>
      <c r="AH551" s="511"/>
      <c r="AI551" s="511"/>
      <c r="AJ551" s="511"/>
      <c r="AK551" s="511"/>
      <c r="AL551" s="511"/>
      <c r="AM551" s="511"/>
      <c r="AN551" s="511"/>
      <c r="AO551" s="511"/>
      <c r="AP551" s="511"/>
      <c r="AQ551" s="511"/>
      <c r="AR551" s="511"/>
      <c r="AS551" s="511"/>
      <c r="AT551" s="511"/>
      <c r="AU551" s="511"/>
      <c r="AV551" s="511"/>
      <c r="AW551" s="511"/>
      <c r="AX551" s="511"/>
      <c r="AY551" s="511"/>
      <c r="AZ551" s="511"/>
      <c r="BA551" s="511"/>
      <c r="BB551" s="511"/>
      <c r="BC551" s="511"/>
      <c r="BD551" s="511"/>
      <c r="BE551" s="511"/>
    </row>
    <row r="552" ht="15.75" customHeight="1">
      <c r="A552" s="511"/>
      <c r="B552" s="511"/>
      <c r="C552" s="511"/>
      <c r="D552" s="511"/>
      <c r="E552" s="511"/>
      <c r="F552" s="511"/>
      <c r="G552" s="511"/>
      <c r="H552" s="511"/>
      <c r="I552" s="511"/>
      <c r="J552" s="511"/>
      <c r="K552" s="511"/>
      <c r="L552" s="511"/>
      <c r="M552" s="511"/>
      <c r="N552" s="511"/>
      <c r="O552" s="511"/>
      <c r="P552" s="511"/>
      <c r="Q552" s="511"/>
      <c r="R552" s="511"/>
      <c r="S552" s="511"/>
      <c r="T552" s="511"/>
      <c r="U552" s="511"/>
      <c r="V552" s="511"/>
      <c r="W552" s="511"/>
      <c r="X552" s="511"/>
      <c r="Y552" s="511"/>
      <c r="Z552" s="511"/>
      <c r="AA552" s="511"/>
      <c r="AB552" s="511"/>
      <c r="AC552" s="511"/>
      <c r="AD552" s="511"/>
      <c r="AE552" s="511"/>
      <c r="AF552" s="511"/>
      <c r="AG552" s="511"/>
      <c r="AH552" s="511"/>
      <c r="AI552" s="511"/>
      <c r="AJ552" s="511"/>
      <c r="AK552" s="511"/>
      <c r="AL552" s="511"/>
      <c r="AM552" s="511"/>
      <c r="AN552" s="511"/>
      <c r="AO552" s="511"/>
      <c r="AP552" s="511"/>
      <c r="AQ552" s="511"/>
      <c r="AR552" s="511"/>
      <c r="AS552" s="511"/>
      <c r="AT552" s="511"/>
      <c r="AU552" s="511"/>
      <c r="AV552" s="511"/>
      <c r="AW552" s="511"/>
      <c r="AX552" s="511"/>
      <c r="AY552" s="511"/>
      <c r="AZ552" s="511"/>
      <c r="BA552" s="511"/>
      <c r="BB552" s="511"/>
      <c r="BC552" s="511"/>
      <c r="BD552" s="511"/>
      <c r="BE552" s="511"/>
    </row>
    <row r="553" ht="15.75" customHeight="1">
      <c r="A553" s="511"/>
      <c r="B553" s="511"/>
      <c r="C553" s="511"/>
      <c r="D553" s="511"/>
      <c r="E553" s="511"/>
      <c r="F553" s="511"/>
      <c r="G553" s="511"/>
      <c r="H553" s="511"/>
      <c r="I553" s="511"/>
      <c r="J553" s="511"/>
      <c r="K553" s="511"/>
      <c r="L553" s="511"/>
      <c r="M553" s="511"/>
      <c r="N553" s="511"/>
      <c r="O553" s="511"/>
      <c r="P553" s="511"/>
      <c r="Q553" s="511"/>
      <c r="R553" s="511"/>
      <c r="S553" s="511"/>
      <c r="T553" s="511"/>
      <c r="U553" s="511"/>
      <c r="V553" s="511"/>
      <c r="W553" s="511"/>
      <c r="X553" s="511"/>
      <c r="Y553" s="511"/>
      <c r="Z553" s="511"/>
      <c r="AA553" s="511"/>
      <c r="AB553" s="511"/>
      <c r="AC553" s="511"/>
      <c r="AD553" s="511"/>
      <c r="AE553" s="511"/>
      <c r="AF553" s="511"/>
      <c r="AG553" s="511"/>
      <c r="AH553" s="511"/>
      <c r="AI553" s="511"/>
      <c r="AJ553" s="511"/>
      <c r="AK553" s="511"/>
      <c r="AL553" s="511"/>
      <c r="AM553" s="511"/>
      <c r="AN553" s="511"/>
      <c r="AO553" s="511"/>
      <c r="AP553" s="511"/>
      <c r="AQ553" s="511"/>
      <c r="AR553" s="511"/>
      <c r="AS553" s="511"/>
      <c r="AT553" s="511"/>
      <c r="AU553" s="511"/>
      <c r="AV553" s="511"/>
      <c r="AW553" s="511"/>
      <c r="AX553" s="511"/>
      <c r="AY553" s="511"/>
      <c r="AZ553" s="511"/>
      <c r="BA553" s="511"/>
      <c r="BB553" s="511"/>
      <c r="BC553" s="511"/>
      <c r="BD553" s="511"/>
      <c r="BE553" s="511"/>
    </row>
    <row r="554" ht="15.75" customHeight="1">
      <c r="A554" s="511"/>
      <c r="B554" s="511"/>
      <c r="C554" s="511"/>
      <c r="D554" s="511"/>
      <c r="E554" s="511"/>
      <c r="F554" s="511"/>
      <c r="G554" s="511"/>
      <c r="H554" s="511"/>
      <c r="I554" s="511"/>
      <c r="J554" s="511"/>
      <c r="K554" s="511"/>
      <c r="L554" s="511"/>
      <c r="M554" s="511"/>
      <c r="N554" s="511"/>
      <c r="O554" s="511"/>
      <c r="P554" s="511"/>
      <c r="Q554" s="511"/>
      <c r="R554" s="511"/>
      <c r="S554" s="511"/>
      <c r="T554" s="511"/>
      <c r="U554" s="511"/>
      <c r="V554" s="511"/>
      <c r="W554" s="511"/>
      <c r="X554" s="511"/>
      <c r="Y554" s="511"/>
      <c r="Z554" s="511"/>
      <c r="AA554" s="511"/>
      <c r="AB554" s="511"/>
      <c r="AC554" s="511"/>
      <c r="AD554" s="511"/>
      <c r="AE554" s="511"/>
      <c r="AF554" s="511"/>
      <c r="AG554" s="511"/>
      <c r="AH554" s="511"/>
      <c r="AI554" s="511"/>
      <c r="AJ554" s="511"/>
      <c r="AK554" s="511"/>
      <c r="AL554" s="511"/>
      <c r="AM554" s="511"/>
      <c r="AN554" s="511"/>
      <c r="AO554" s="511"/>
      <c r="AP554" s="511"/>
      <c r="AQ554" s="511"/>
      <c r="AR554" s="511"/>
      <c r="AS554" s="511"/>
      <c r="AT554" s="511"/>
      <c r="AU554" s="511"/>
      <c r="AV554" s="511"/>
      <c r="AW554" s="511"/>
      <c r="AX554" s="511"/>
      <c r="AY554" s="511"/>
      <c r="AZ554" s="511"/>
      <c r="BA554" s="511"/>
      <c r="BB554" s="511"/>
      <c r="BC554" s="511"/>
      <c r="BD554" s="511"/>
      <c r="BE554" s="511"/>
    </row>
    <row r="555" ht="15.75" customHeight="1">
      <c r="A555" s="511"/>
      <c r="B555" s="511"/>
      <c r="C555" s="511"/>
      <c r="D555" s="511"/>
      <c r="E555" s="511"/>
      <c r="F555" s="511"/>
      <c r="G555" s="511"/>
      <c r="H555" s="511"/>
      <c r="I555" s="511"/>
      <c r="J555" s="511"/>
      <c r="K555" s="511"/>
      <c r="L555" s="511"/>
      <c r="M555" s="511"/>
      <c r="N555" s="511"/>
      <c r="O555" s="511"/>
      <c r="P555" s="511"/>
      <c r="Q555" s="511"/>
      <c r="R555" s="511"/>
      <c r="S555" s="511"/>
      <c r="T555" s="511"/>
      <c r="U555" s="511"/>
      <c r="V555" s="511"/>
      <c r="W555" s="511"/>
      <c r="X555" s="511"/>
      <c r="Y555" s="511"/>
      <c r="Z555" s="511"/>
      <c r="AA555" s="511"/>
      <c r="AB555" s="511"/>
      <c r="AC555" s="511"/>
      <c r="AD555" s="511"/>
      <c r="AE555" s="511"/>
      <c r="AF555" s="511"/>
      <c r="AG555" s="511"/>
      <c r="AH555" s="511"/>
      <c r="AI555" s="511"/>
      <c r="AJ555" s="511"/>
      <c r="AK555" s="511"/>
      <c r="AL555" s="511"/>
      <c r="AM555" s="511"/>
      <c r="AN555" s="511"/>
      <c r="AO555" s="511"/>
      <c r="AP555" s="511"/>
      <c r="AQ555" s="511"/>
      <c r="AR555" s="511"/>
      <c r="AS555" s="511"/>
      <c r="AT555" s="511"/>
      <c r="AU555" s="511"/>
      <c r="AV555" s="511"/>
      <c r="AW555" s="511"/>
      <c r="AX555" s="511"/>
      <c r="AY555" s="511"/>
      <c r="AZ555" s="511"/>
      <c r="BA555" s="511"/>
      <c r="BB555" s="511"/>
      <c r="BC555" s="511"/>
      <c r="BD555" s="511"/>
      <c r="BE555" s="511"/>
    </row>
    <row r="556" ht="15.75" customHeight="1">
      <c r="A556" s="511"/>
      <c r="B556" s="511"/>
      <c r="C556" s="511"/>
      <c r="D556" s="511"/>
      <c r="E556" s="511"/>
      <c r="F556" s="511"/>
      <c r="G556" s="511"/>
      <c r="H556" s="511"/>
      <c r="I556" s="511"/>
      <c r="J556" s="511"/>
      <c r="K556" s="511"/>
      <c r="L556" s="511"/>
      <c r="M556" s="511"/>
      <c r="N556" s="511"/>
      <c r="O556" s="511"/>
      <c r="P556" s="511"/>
      <c r="Q556" s="511"/>
      <c r="R556" s="511"/>
      <c r="S556" s="511"/>
      <c r="T556" s="511"/>
      <c r="U556" s="511"/>
      <c r="V556" s="511"/>
      <c r="W556" s="511"/>
      <c r="X556" s="511"/>
      <c r="Y556" s="511"/>
      <c r="Z556" s="511"/>
      <c r="AA556" s="511"/>
      <c r="AB556" s="511"/>
      <c r="AC556" s="511"/>
      <c r="AD556" s="511"/>
      <c r="AE556" s="511"/>
      <c r="AF556" s="511"/>
      <c r="AG556" s="511"/>
      <c r="AH556" s="511"/>
      <c r="AI556" s="511"/>
      <c r="AJ556" s="511"/>
      <c r="AK556" s="511"/>
      <c r="AL556" s="511"/>
      <c r="AM556" s="511"/>
      <c r="AN556" s="511"/>
      <c r="AO556" s="511"/>
      <c r="AP556" s="511"/>
      <c r="AQ556" s="511"/>
      <c r="AR556" s="511"/>
      <c r="AS556" s="511"/>
      <c r="AT556" s="511"/>
      <c r="AU556" s="511"/>
      <c r="AV556" s="511"/>
      <c r="AW556" s="511"/>
      <c r="AX556" s="511"/>
      <c r="AY556" s="511"/>
      <c r="AZ556" s="511"/>
      <c r="BA556" s="511"/>
      <c r="BB556" s="511"/>
      <c r="BC556" s="511"/>
      <c r="BD556" s="511"/>
      <c r="BE556" s="511"/>
    </row>
    <row r="557" ht="15.75" customHeight="1">
      <c r="A557" s="511"/>
      <c r="B557" s="511"/>
      <c r="C557" s="511"/>
      <c r="D557" s="511"/>
      <c r="E557" s="511"/>
      <c r="F557" s="511"/>
      <c r="G557" s="511"/>
      <c r="H557" s="511"/>
      <c r="I557" s="511"/>
      <c r="J557" s="511"/>
      <c r="K557" s="511"/>
      <c r="L557" s="511"/>
      <c r="M557" s="511"/>
      <c r="N557" s="511"/>
      <c r="O557" s="511"/>
      <c r="P557" s="511"/>
      <c r="Q557" s="511"/>
      <c r="R557" s="511"/>
      <c r="S557" s="511"/>
      <c r="T557" s="511"/>
      <c r="U557" s="511"/>
      <c r="V557" s="511"/>
      <c r="W557" s="511"/>
      <c r="X557" s="511"/>
      <c r="Y557" s="511"/>
      <c r="Z557" s="511"/>
      <c r="AA557" s="511"/>
      <c r="AB557" s="511"/>
      <c r="AC557" s="511"/>
      <c r="AD557" s="511"/>
      <c r="AE557" s="511"/>
      <c r="AF557" s="511"/>
      <c r="AG557" s="511"/>
      <c r="AH557" s="511"/>
      <c r="AI557" s="511"/>
      <c r="AJ557" s="511"/>
      <c r="AK557" s="511"/>
      <c r="AL557" s="511"/>
      <c r="AM557" s="511"/>
      <c r="AN557" s="511"/>
      <c r="AO557" s="511"/>
      <c r="AP557" s="511"/>
      <c r="AQ557" s="511"/>
      <c r="AR557" s="511"/>
      <c r="AS557" s="511"/>
      <c r="AT557" s="511"/>
      <c r="AU557" s="511"/>
      <c r="AV557" s="511"/>
      <c r="AW557" s="511"/>
      <c r="AX557" s="511"/>
      <c r="AY557" s="511"/>
      <c r="AZ557" s="511"/>
      <c r="BA557" s="511"/>
      <c r="BB557" s="511"/>
      <c r="BC557" s="511"/>
      <c r="BD557" s="511"/>
      <c r="BE557" s="511"/>
    </row>
    <row r="558" ht="15.75" customHeight="1">
      <c r="A558" s="511"/>
      <c r="B558" s="511"/>
      <c r="C558" s="511"/>
      <c r="D558" s="511"/>
      <c r="E558" s="511"/>
      <c r="F558" s="511"/>
      <c r="G558" s="511"/>
      <c r="H558" s="511"/>
      <c r="I558" s="511"/>
      <c r="J558" s="511"/>
      <c r="K558" s="511"/>
      <c r="L558" s="511"/>
      <c r="M558" s="511"/>
      <c r="N558" s="511"/>
      <c r="O558" s="511"/>
      <c r="P558" s="511"/>
      <c r="Q558" s="511"/>
      <c r="R558" s="511"/>
      <c r="S558" s="511"/>
      <c r="T558" s="511"/>
      <c r="U558" s="511"/>
      <c r="V558" s="511"/>
      <c r="W558" s="511"/>
      <c r="X558" s="511"/>
      <c r="Y558" s="511"/>
      <c r="Z558" s="511"/>
      <c r="AA558" s="511"/>
      <c r="AB558" s="511"/>
      <c r="AC558" s="511"/>
      <c r="AD558" s="511"/>
      <c r="AE558" s="511"/>
      <c r="AF558" s="511"/>
      <c r="AG558" s="511"/>
      <c r="AH558" s="511"/>
      <c r="AI558" s="511"/>
      <c r="AJ558" s="511"/>
      <c r="AK558" s="511"/>
      <c r="AL558" s="511"/>
      <c r="AM558" s="511"/>
      <c r="AN558" s="511"/>
      <c r="AO558" s="511"/>
      <c r="AP558" s="511"/>
      <c r="AQ558" s="511"/>
      <c r="AR558" s="511"/>
      <c r="AS558" s="511"/>
      <c r="AT558" s="511"/>
      <c r="AU558" s="511"/>
      <c r="AV558" s="511"/>
      <c r="AW558" s="511"/>
      <c r="AX558" s="511"/>
      <c r="AY558" s="511"/>
      <c r="AZ558" s="511"/>
      <c r="BA558" s="511"/>
      <c r="BB558" s="511"/>
      <c r="BC558" s="511"/>
      <c r="BD558" s="511"/>
      <c r="BE558" s="511"/>
    </row>
    <row r="559" ht="15.75" customHeight="1">
      <c r="A559" s="511"/>
      <c r="B559" s="511"/>
      <c r="C559" s="511"/>
      <c r="D559" s="511"/>
      <c r="E559" s="511"/>
      <c r="F559" s="511"/>
      <c r="G559" s="511"/>
      <c r="H559" s="511"/>
      <c r="I559" s="511"/>
      <c r="J559" s="511"/>
      <c r="K559" s="511"/>
      <c r="L559" s="511"/>
      <c r="M559" s="511"/>
      <c r="N559" s="511"/>
      <c r="O559" s="511"/>
      <c r="P559" s="511"/>
      <c r="Q559" s="511"/>
      <c r="R559" s="511"/>
      <c r="S559" s="511"/>
      <c r="T559" s="511"/>
      <c r="U559" s="511"/>
      <c r="V559" s="511"/>
      <c r="W559" s="511"/>
      <c r="X559" s="511"/>
      <c r="Y559" s="511"/>
      <c r="Z559" s="511"/>
      <c r="AA559" s="511"/>
      <c r="AB559" s="511"/>
      <c r="AC559" s="511"/>
      <c r="AD559" s="511"/>
      <c r="AE559" s="511"/>
      <c r="AF559" s="511"/>
      <c r="AG559" s="511"/>
      <c r="AH559" s="511"/>
      <c r="AI559" s="511"/>
      <c r="AJ559" s="511"/>
      <c r="AK559" s="511"/>
      <c r="AL559" s="511"/>
      <c r="AM559" s="511"/>
      <c r="AN559" s="511"/>
      <c r="AO559" s="511"/>
      <c r="AP559" s="511"/>
      <c r="AQ559" s="511"/>
      <c r="AR559" s="511"/>
      <c r="AS559" s="511"/>
      <c r="AT559" s="511"/>
      <c r="AU559" s="511"/>
      <c r="AV559" s="511"/>
      <c r="AW559" s="511"/>
      <c r="AX559" s="511"/>
      <c r="AY559" s="511"/>
      <c r="AZ559" s="511"/>
      <c r="BA559" s="511"/>
      <c r="BB559" s="511"/>
      <c r="BC559" s="511"/>
      <c r="BD559" s="511"/>
      <c r="BE559" s="511"/>
    </row>
    <row r="560" ht="15.75" customHeight="1">
      <c r="A560" s="511"/>
      <c r="B560" s="511"/>
      <c r="C560" s="511"/>
      <c r="D560" s="511"/>
      <c r="E560" s="511"/>
      <c r="F560" s="511"/>
      <c r="G560" s="511"/>
      <c r="H560" s="511"/>
      <c r="I560" s="511"/>
      <c r="J560" s="511"/>
      <c r="K560" s="511"/>
      <c r="L560" s="511"/>
      <c r="M560" s="511"/>
      <c r="N560" s="511"/>
      <c r="O560" s="511"/>
      <c r="P560" s="511"/>
      <c r="Q560" s="511"/>
      <c r="R560" s="511"/>
      <c r="S560" s="511"/>
      <c r="T560" s="511"/>
      <c r="U560" s="511"/>
      <c r="V560" s="511"/>
      <c r="W560" s="511"/>
      <c r="X560" s="511"/>
      <c r="Y560" s="511"/>
      <c r="Z560" s="511"/>
      <c r="AA560" s="511"/>
      <c r="AB560" s="511"/>
      <c r="AC560" s="511"/>
      <c r="AD560" s="511"/>
      <c r="AE560" s="511"/>
      <c r="AF560" s="511"/>
      <c r="AG560" s="511"/>
      <c r="AH560" s="511"/>
      <c r="AI560" s="511"/>
      <c r="AJ560" s="511"/>
      <c r="AK560" s="511"/>
      <c r="AL560" s="511"/>
      <c r="AM560" s="511"/>
      <c r="AN560" s="511"/>
      <c r="AO560" s="511"/>
      <c r="AP560" s="511"/>
      <c r="AQ560" s="511"/>
      <c r="AR560" s="511"/>
      <c r="AS560" s="511"/>
      <c r="AT560" s="511"/>
      <c r="AU560" s="511"/>
      <c r="AV560" s="511"/>
      <c r="AW560" s="511"/>
      <c r="AX560" s="511"/>
      <c r="AY560" s="511"/>
      <c r="AZ560" s="511"/>
      <c r="BA560" s="511"/>
      <c r="BB560" s="511"/>
      <c r="BC560" s="511"/>
      <c r="BD560" s="511"/>
      <c r="BE560" s="511"/>
    </row>
    <row r="561" ht="15.75" customHeight="1">
      <c r="A561" s="511"/>
      <c r="B561" s="511"/>
      <c r="C561" s="511"/>
      <c r="D561" s="511"/>
      <c r="E561" s="511"/>
      <c r="F561" s="511"/>
      <c r="G561" s="511"/>
      <c r="H561" s="511"/>
      <c r="I561" s="511"/>
      <c r="J561" s="511"/>
      <c r="K561" s="511"/>
      <c r="L561" s="511"/>
      <c r="M561" s="511"/>
      <c r="N561" s="511"/>
      <c r="O561" s="511"/>
      <c r="P561" s="511"/>
      <c r="Q561" s="511"/>
      <c r="R561" s="511"/>
      <c r="S561" s="511"/>
      <c r="T561" s="511"/>
      <c r="U561" s="511"/>
      <c r="V561" s="511"/>
      <c r="W561" s="511"/>
      <c r="X561" s="511"/>
      <c r="Y561" s="511"/>
      <c r="Z561" s="511"/>
      <c r="AA561" s="511"/>
      <c r="AB561" s="511"/>
      <c r="AC561" s="511"/>
      <c r="AD561" s="511"/>
      <c r="AE561" s="511"/>
      <c r="AF561" s="511"/>
      <c r="AG561" s="511"/>
      <c r="AH561" s="511"/>
      <c r="AI561" s="511"/>
      <c r="AJ561" s="511"/>
      <c r="AK561" s="511"/>
      <c r="AL561" s="511"/>
      <c r="AM561" s="511"/>
      <c r="AN561" s="511"/>
      <c r="AO561" s="511"/>
      <c r="AP561" s="511"/>
      <c r="AQ561" s="511"/>
      <c r="AR561" s="511"/>
      <c r="AS561" s="511"/>
      <c r="AT561" s="511"/>
      <c r="AU561" s="511"/>
      <c r="AV561" s="511"/>
      <c r="AW561" s="511"/>
      <c r="AX561" s="511"/>
      <c r="AY561" s="511"/>
      <c r="AZ561" s="511"/>
      <c r="BA561" s="511"/>
      <c r="BB561" s="511"/>
      <c r="BC561" s="511"/>
      <c r="BD561" s="511"/>
      <c r="BE561" s="511"/>
    </row>
    <row r="562" ht="15.75" customHeight="1">
      <c r="A562" s="511"/>
      <c r="B562" s="511"/>
      <c r="C562" s="511"/>
      <c r="D562" s="511"/>
      <c r="E562" s="511"/>
      <c r="F562" s="511"/>
      <c r="G562" s="511"/>
      <c r="H562" s="511"/>
      <c r="I562" s="511"/>
      <c r="J562" s="511"/>
      <c r="K562" s="511"/>
      <c r="L562" s="511"/>
      <c r="M562" s="511"/>
      <c r="N562" s="511"/>
      <c r="O562" s="511"/>
      <c r="P562" s="511"/>
      <c r="Q562" s="511"/>
      <c r="R562" s="511"/>
      <c r="S562" s="511"/>
      <c r="T562" s="511"/>
      <c r="U562" s="511"/>
      <c r="V562" s="511"/>
      <c r="W562" s="511"/>
      <c r="X562" s="511"/>
      <c r="Y562" s="511"/>
      <c r="Z562" s="511"/>
      <c r="AA562" s="511"/>
      <c r="AB562" s="511"/>
      <c r="AC562" s="511"/>
      <c r="AD562" s="511"/>
      <c r="AE562" s="511"/>
      <c r="AF562" s="511"/>
      <c r="AG562" s="511"/>
      <c r="AH562" s="511"/>
      <c r="AI562" s="511"/>
      <c r="AJ562" s="511"/>
      <c r="AK562" s="511"/>
      <c r="AL562" s="511"/>
      <c r="AM562" s="511"/>
      <c r="AN562" s="511"/>
      <c r="AO562" s="511"/>
      <c r="AP562" s="511"/>
      <c r="AQ562" s="511"/>
      <c r="AR562" s="511"/>
      <c r="AS562" s="511"/>
      <c r="AT562" s="511"/>
      <c r="AU562" s="511"/>
      <c r="AV562" s="511"/>
      <c r="AW562" s="511"/>
      <c r="AX562" s="511"/>
      <c r="AY562" s="511"/>
      <c r="AZ562" s="511"/>
      <c r="BA562" s="511"/>
      <c r="BB562" s="511"/>
      <c r="BC562" s="511"/>
      <c r="BD562" s="511"/>
      <c r="BE562" s="511"/>
    </row>
    <row r="563" ht="15.75" customHeight="1">
      <c r="A563" s="511"/>
      <c r="B563" s="511"/>
      <c r="C563" s="511"/>
      <c r="D563" s="511"/>
      <c r="E563" s="511"/>
      <c r="F563" s="511"/>
      <c r="G563" s="511"/>
      <c r="H563" s="511"/>
      <c r="I563" s="511"/>
      <c r="J563" s="511"/>
      <c r="K563" s="511"/>
      <c r="L563" s="511"/>
      <c r="M563" s="511"/>
      <c r="N563" s="511"/>
      <c r="O563" s="511"/>
      <c r="P563" s="511"/>
      <c r="Q563" s="511"/>
      <c r="R563" s="511"/>
      <c r="S563" s="511"/>
      <c r="T563" s="511"/>
      <c r="U563" s="511"/>
      <c r="V563" s="511"/>
      <c r="W563" s="511"/>
      <c r="X563" s="511"/>
      <c r="Y563" s="511"/>
      <c r="Z563" s="511"/>
      <c r="AA563" s="511"/>
      <c r="AB563" s="511"/>
      <c r="AC563" s="511"/>
      <c r="AD563" s="511"/>
      <c r="AE563" s="511"/>
      <c r="AF563" s="511"/>
      <c r="AG563" s="511"/>
      <c r="AH563" s="511"/>
      <c r="AI563" s="511"/>
      <c r="AJ563" s="511"/>
      <c r="AK563" s="511"/>
      <c r="AL563" s="511"/>
      <c r="AM563" s="511"/>
      <c r="AN563" s="511"/>
      <c r="AO563" s="511"/>
      <c r="AP563" s="511"/>
      <c r="AQ563" s="511"/>
      <c r="AR563" s="511"/>
      <c r="AS563" s="511"/>
      <c r="AT563" s="511"/>
      <c r="AU563" s="511"/>
      <c r="AV563" s="511"/>
      <c r="AW563" s="511"/>
      <c r="AX563" s="511"/>
      <c r="AY563" s="511"/>
      <c r="AZ563" s="511"/>
      <c r="BA563" s="511"/>
      <c r="BB563" s="511"/>
      <c r="BC563" s="511"/>
      <c r="BD563" s="511"/>
      <c r="BE563" s="511"/>
    </row>
    <row r="564" ht="15.75" customHeight="1">
      <c r="A564" s="511"/>
      <c r="B564" s="511"/>
      <c r="C564" s="511"/>
      <c r="D564" s="511"/>
      <c r="E564" s="511"/>
      <c r="F564" s="511"/>
      <c r="G564" s="511"/>
      <c r="H564" s="511"/>
      <c r="I564" s="511"/>
      <c r="J564" s="511"/>
      <c r="K564" s="511"/>
      <c r="L564" s="511"/>
      <c r="M564" s="511"/>
      <c r="N564" s="511"/>
      <c r="O564" s="511"/>
      <c r="P564" s="511"/>
      <c r="Q564" s="511"/>
      <c r="R564" s="511"/>
      <c r="S564" s="511"/>
      <c r="T564" s="511"/>
      <c r="U564" s="511"/>
      <c r="V564" s="511"/>
      <c r="W564" s="511"/>
      <c r="X564" s="511"/>
      <c r="Y564" s="511"/>
      <c r="Z564" s="511"/>
      <c r="AA564" s="511"/>
      <c r="AB564" s="511"/>
      <c r="AC564" s="511"/>
      <c r="AD564" s="511"/>
      <c r="AE564" s="511"/>
      <c r="AF564" s="511"/>
      <c r="AG564" s="511"/>
      <c r="AH564" s="511"/>
      <c r="AI564" s="511"/>
      <c r="AJ564" s="511"/>
      <c r="AK564" s="511"/>
      <c r="AL564" s="511"/>
      <c r="AM564" s="511"/>
      <c r="AN564" s="511"/>
      <c r="AO564" s="511"/>
      <c r="AP564" s="511"/>
      <c r="AQ564" s="511"/>
      <c r="AR564" s="511"/>
      <c r="AS564" s="511"/>
      <c r="AT564" s="511"/>
      <c r="AU564" s="511"/>
      <c r="AV564" s="511"/>
      <c r="AW564" s="511"/>
      <c r="AX564" s="511"/>
      <c r="AY564" s="511"/>
      <c r="AZ564" s="511"/>
      <c r="BA564" s="511"/>
      <c r="BB564" s="511"/>
      <c r="BC564" s="511"/>
      <c r="BD564" s="511"/>
      <c r="BE564" s="511"/>
    </row>
    <row r="565" ht="15.75" customHeight="1">
      <c r="A565" s="511"/>
      <c r="B565" s="511"/>
      <c r="C565" s="511"/>
      <c r="D565" s="511"/>
      <c r="E565" s="511"/>
      <c r="F565" s="511"/>
      <c r="G565" s="511"/>
      <c r="H565" s="511"/>
      <c r="I565" s="511"/>
      <c r="J565" s="511"/>
      <c r="K565" s="511"/>
      <c r="L565" s="511"/>
      <c r="M565" s="511"/>
      <c r="N565" s="511"/>
      <c r="O565" s="511"/>
      <c r="P565" s="511"/>
      <c r="Q565" s="511"/>
      <c r="R565" s="511"/>
      <c r="S565" s="511"/>
      <c r="T565" s="511"/>
      <c r="U565" s="511"/>
      <c r="V565" s="511"/>
      <c r="W565" s="511"/>
      <c r="X565" s="511"/>
      <c r="Y565" s="511"/>
      <c r="Z565" s="511"/>
      <c r="AA565" s="511"/>
      <c r="AB565" s="511"/>
      <c r="AC565" s="511"/>
      <c r="AD565" s="511"/>
      <c r="AE565" s="511"/>
      <c r="AF565" s="511"/>
      <c r="AG565" s="511"/>
      <c r="AH565" s="511"/>
      <c r="AI565" s="511"/>
      <c r="AJ565" s="511"/>
      <c r="AK565" s="511"/>
      <c r="AL565" s="511"/>
      <c r="AM565" s="511"/>
      <c r="AN565" s="511"/>
      <c r="AO565" s="511"/>
      <c r="AP565" s="511"/>
      <c r="AQ565" s="511"/>
      <c r="AR565" s="511"/>
      <c r="AS565" s="511"/>
      <c r="AT565" s="511"/>
      <c r="AU565" s="511"/>
      <c r="AV565" s="511"/>
      <c r="AW565" s="511"/>
      <c r="AX565" s="511"/>
      <c r="AY565" s="511"/>
      <c r="AZ565" s="511"/>
      <c r="BA565" s="511"/>
      <c r="BB565" s="511"/>
      <c r="BC565" s="511"/>
      <c r="BD565" s="511"/>
      <c r="BE565" s="511"/>
    </row>
    <row r="566" ht="15.75" customHeight="1">
      <c r="A566" s="511"/>
      <c r="B566" s="511"/>
      <c r="C566" s="511"/>
      <c r="D566" s="511"/>
      <c r="E566" s="511"/>
      <c r="F566" s="511"/>
      <c r="G566" s="511"/>
      <c r="H566" s="511"/>
      <c r="I566" s="511"/>
      <c r="J566" s="511"/>
      <c r="K566" s="511"/>
      <c r="L566" s="511"/>
      <c r="M566" s="511"/>
      <c r="N566" s="511"/>
      <c r="O566" s="511"/>
      <c r="P566" s="511"/>
      <c r="Q566" s="511"/>
      <c r="R566" s="511"/>
      <c r="S566" s="511"/>
      <c r="T566" s="511"/>
      <c r="U566" s="511"/>
      <c r="V566" s="511"/>
      <c r="W566" s="511"/>
      <c r="X566" s="511"/>
      <c r="Y566" s="511"/>
      <c r="Z566" s="511"/>
      <c r="AA566" s="511"/>
      <c r="AB566" s="511"/>
      <c r="AC566" s="511"/>
      <c r="AD566" s="511"/>
      <c r="AE566" s="511"/>
      <c r="AF566" s="511"/>
      <c r="AG566" s="511"/>
      <c r="AH566" s="511"/>
      <c r="AI566" s="511"/>
      <c r="AJ566" s="511"/>
      <c r="AK566" s="511"/>
      <c r="AL566" s="511"/>
      <c r="AM566" s="511"/>
      <c r="AN566" s="511"/>
      <c r="AO566" s="511"/>
      <c r="AP566" s="511"/>
      <c r="AQ566" s="511"/>
      <c r="AR566" s="511"/>
      <c r="AS566" s="511"/>
      <c r="AT566" s="511"/>
      <c r="AU566" s="511"/>
      <c r="AV566" s="511"/>
      <c r="AW566" s="511"/>
      <c r="AX566" s="511"/>
      <c r="AY566" s="511"/>
      <c r="AZ566" s="511"/>
      <c r="BA566" s="511"/>
      <c r="BB566" s="511"/>
      <c r="BC566" s="511"/>
      <c r="BD566" s="511"/>
      <c r="BE566" s="511"/>
    </row>
    <row r="567" ht="15.75" customHeight="1">
      <c r="A567" s="511"/>
      <c r="B567" s="511"/>
      <c r="C567" s="511"/>
      <c r="D567" s="511"/>
      <c r="E567" s="511"/>
      <c r="F567" s="511"/>
      <c r="G567" s="511"/>
      <c r="H567" s="511"/>
      <c r="I567" s="511"/>
      <c r="J567" s="511"/>
      <c r="K567" s="511"/>
      <c r="L567" s="511"/>
      <c r="M567" s="511"/>
      <c r="N567" s="511"/>
      <c r="O567" s="511"/>
      <c r="P567" s="511"/>
      <c r="Q567" s="511"/>
      <c r="R567" s="511"/>
      <c r="S567" s="511"/>
      <c r="T567" s="511"/>
      <c r="U567" s="511"/>
      <c r="V567" s="511"/>
      <c r="W567" s="511"/>
      <c r="X567" s="511"/>
      <c r="Y567" s="511"/>
      <c r="Z567" s="511"/>
      <c r="AA567" s="511"/>
      <c r="AB567" s="511"/>
      <c r="AC567" s="511"/>
      <c r="AD567" s="511"/>
      <c r="AE567" s="511"/>
      <c r="AF567" s="511"/>
      <c r="AG567" s="511"/>
      <c r="AH567" s="511"/>
      <c r="AI567" s="511"/>
      <c r="AJ567" s="511"/>
      <c r="AK567" s="511"/>
      <c r="AL567" s="511"/>
      <c r="AM567" s="511"/>
      <c r="AN567" s="511"/>
      <c r="AO567" s="511"/>
      <c r="AP567" s="511"/>
      <c r="AQ567" s="511"/>
      <c r="AR567" s="511"/>
      <c r="AS567" s="511"/>
      <c r="AT567" s="511"/>
      <c r="AU567" s="511"/>
      <c r="AV567" s="511"/>
      <c r="AW567" s="511"/>
      <c r="AX567" s="511"/>
      <c r="AY567" s="511"/>
      <c r="AZ567" s="511"/>
      <c r="BA567" s="511"/>
      <c r="BB567" s="511"/>
      <c r="BC567" s="511"/>
      <c r="BD567" s="511"/>
      <c r="BE567" s="511"/>
    </row>
    <row r="568" ht="15.75" customHeight="1">
      <c r="A568" s="511"/>
      <c r="B568" s="511"/>
      <c r="C568" s="511"/>
      <c r="D568" s="511"/>
      <c r="E568" s="511"/>
      <c r="F568" s="511"/>
      <c r="G568" s="511"/>
      <c r="H568" s="511"/>
      <c r="I568" s="511"/>
      <c r="J568" s="511"/>
      <c r="K568" s="511"/>
      <c r="L568" s="511"/>
      <c r="M568" s="511"/>
      <c r="N568" s="511"/>
      <c r="O568" s="511"/>
      <c r="P568" s="511"/>
      <c r="Q568" s="511"/>
      <c r="R568" s="511"/>
      <c r="S568" s="511"/>
      <c r="T568" s="511"/>
      <c r="U568" s="511"/>
      <c r="V568" s="511"/>
      <c r="W568" s="511"/>
      <c r="X568" s="511"/>
      <c r="Y568" s="511"/>
      <c r="Z568" s="511"/>
      <c r="AA568" s="511"/>
      <c r="AB568" s="511"/>
      <c r="AC568" s="511"/>
      <c r="AD568" s="511"/>
      <c r="AE568" s="511"/>
      <c r="AF568" s="511"/>
      <c r="AG568" s="511"/>
      <c r="AH568" s="511"/>
      <c r="AI568" s="511"/>
      <c r="AJ568" s="511"/>
      <c r="AK568" s="511"/>
      <c r="AL568" s="511"/>
      <c r="AM568" s="511"/>
      <c r="AN568" s="511"/>
      <c r="AO568" s="511"/>
      <c r="AP568" s="511"/>
      <c r="AQ568" s="511"/>
      <c r="AR568" s="511"/>
      <c r="AS568" s="511"/>
      <c r="AT568" s="511"/>
      <c r="AU568" s="511"/>
      <c r="AV568" s="511"/>
      <c r="AW568" s="511"/>
      <c r="AX568" s="511"/>
      <c r="AY568" s="511"/>
      <c r="AZ568" s="511"/>
      <c r="BA568" s="511"/>
      <c r="BB568" s="511"/>
      <c r="BC568" s="511"/>
      <c r="BD568" s="511"/>
      <c r="BE568" s="511"/>
    </row>
    <row r="569" ht="15.75" customHeight="1">
      <c r="A569" s="511"/>
      <c r="B569" s="511"/>
      <c r="C569" s="511"/>
      <c r="D569" s="511"/>
      <c r="E569" s="511"/>
      <c r="F569" s="511"/>
      <c r="G569" s="511"/>
      <c r="H569" s="511"/>
      <c r="I569" s="511"/>
      <c r="J569" s="511"/>
      <c r="K569" s="511"/>
      <c r="L569" s="511"/>
      <c r="M569" s="511"/>
      <c r="N569" s="511"/>
      <c r="O569" s="511"/>
      <c r="P569" s="511"/>
      <c r="Q569" s="511"/>
      <c r="R569" s="511"/>
      <c r="S569" s="511"/>
      <c r="T569" s="511"/>
      <c r="U569" s="511"/>
      <c r="V569" s="511"/>
      <c r="W569" s="511"/>
      <c r="X569" s="511"/>
      <c r="Y569" s="511"/>
      <c r="Z569" s="511"/>
      <c r="AA569" s="511"/>
      <c r="AB569" s="511"/>
      <c r="AC569" s="511"/>
      <c r="AD569" s="511"/>
      <c r="AE569" s="511"/>
      <c r="AF569" s="511"/>
      <c r="AG569" s="511"/>
      <c r="AH569" s="511"/>
      <c r="AI569" s="511"/>
      <c r="AJ569" s="511"/>
      <c r="AK569" s="511"/>
      <c r="AL569" s="511"/>
      <c r="AM569" s="511"/>
      <c r="AN569" s="511"/>
      <c r="AO569" s="511"/>
      <c r="AP569" s="511"/>
      <c r="AQ569" s="511"/>
      <c r="AR569" s="511"/>
      <c r="AS569" s="511"/>
      <c r="AT569" s="511"/>
      <c r="AU569" s="511"/>
      <c r="AV569" s="511"/>
      <c r="AW569" s="511"/>
      <c r="AX569" s="511"/>
      <c r="AY569" s="511"/>
      <c r="AZ569" s="511"/>
      <c r="BA569" s="511"/>
      <c r="BB569" s="511"/>
      <c r="BC569" s="511"/>
      <c r="BD569" s="511"/>
      <c r="BE569" s="511"/>
    </row>
    <row r="570" ht="15.75" customHeight="1">
      <c r="A570" s="511"/>
      <c r="B570" s="511"/>
      <c r="C570" s="511"/>
      <c r="D570" s="511"/>
      <c r="E570" s="511"/>
      <c r="F570" s="511"/>
      <c r="G570" s="511"/>
      <c r="H570" s="511"/>
      <c r="I570" s="511"/>
      <c r="J570" s="511"/>
      <c r="K570" s="511"/>
      <c r="L570" s="511"/>
      <c r="M570" s="511"/>
      <c r="N570" s="511"/>
      <c r="O570" s="511"/>
      <c r="P570" s="511"/>
      <c r="Q570" s="511"/>
      <c r="R570" s="511"/>
      <c r="S570" s="511"/>
      <c r="T570" s="511"/>
      <c r="U570" s="511"/>
      <c r="V570" s="511"/>
      <c r="W570" s="511"/>
      <c r="X570" s="511"/>
      <c r="Y570" s="511"/>
      <c r="Z570" s="511"/>
      <c r="AA570" s="511"/>
      <c r="AB570" s="511"/>
      <c r="AC570" s="511"/>
      <c r="AD570" s="511"/>
      <c r="AE570" s="511"/>
      <c r="AF570" s="511"/>
      <c r="AG570" s="511"/>
      <c r="AH570" s="511"/>
      <c r="AI570" s="511"/>
      <c r="AJ570" s="511"/>
      <c r="AK570" s="511"/>
      <c r="AL570" s="511"/>
      <c r="AM570" s="511"/>
      <c r="AN570" s="511"/>
      <c r="AO570" s="511"/>
      <c r="AP570" s="511"/>
      <c r="AQ570" s="511"/>
      <c r="AR570" s="511"/>
      <c r="AS570" s="511"/>
      <c r="AT570" s="511"/>
      <c r="AU570" s="511"/>
      <c r="AV570" s="511"/>
      <c r="AW570" s="511"/>
      <c r="AX570" s="511"/>
      <c r="AY570" s="511"/>
      <c r="AZ570" s="511"/>
      <c r="BA570" s="511"/>
      <c r="BB570" s="511"/>
      <c r="BC570" s="511"/>
      <c r="BD570" s="511"/>
      <c r="BE570" s="511"/>
    </row>
    <row r="571" ht="15.75" customHeight="1">
      <c r="A571" s="511"/>
      <c r="B571" s="511"/>
      <c r="C571" s="511"/>
      <c r="D571" s="511"/>
      <c r="E571" s="511"/>
      <c r="F571" s="511"/>
      <c r="G571" s="511"/>
      <c r="H571" s="511"/>
      <c r="I571" s="511"/>
      <c r="J571" s="511"/>
      <c r="K571" s="511"/>
      <c r="L571" s="511"/>
      <c r="M571" s="511"/>
      <c r="N571" s="511"/>
      <c r="O571" s="511"/>
      <c r="P571" s="511"/>
      <c r="Q571" s="511"/>
      <c r="R571" s="511"/>
      <c r="S571" s="511"/>
      <c r="T571" s="511"/>
      <c r="U571" s="511"/>
      <c r="V571" s="511"/>
      <c r="W571" s="511"/>
      <c r="X571" s="511"/>
      <c r="Y571" s="511"/>
      <c r="Z571" s="511"/>
      <c r="AA571" s="511"/>
      <c r="AB571" s="511"/>
      <c r="AC571" s="511"/>
      <c r="AD571" s="511"/>
      <c r="AE571" s="511"/>
      <c r="AF571" s="511"/>
      <c r="AG571" s="511"/>
      <c r="AH571" s="511"/>
      <c r="AI571" s="511"/>
      <c r="AJ571" s="511"/>
      <c r="AK571" s="511"/>
      <c r="AL571" s="511"/>
      <c r="AM571" s="511"/>
      <c r="AN571" s="511"/>
      <c r="AO571" s="511"/>
      <c r="AP571" s="511"/>
      <c r="AQ571" s="511"/>
      <c r="AR571" s="511"/>
      <c r="AS571" s="511"/>
      <c r="AT571" s="511"/>
      <c r="AU571" s="511"/>
      <c r="AV571" s="511"/>
      <c r="AW571" s="511"/>
      <c r="AX571" s="511"/>
      <c r="AY571" s="511"/>
      <c r="AZ571" s="511"/>
      <c r="BA571" s="511"/>
      <c r="BB571" s="511"/>
      <c r="BC571" s="511"/>
      <c r="BD571" s="511"/>
      <c r="BE571" s="511"/>
    </row>
    <row r="572" ht="15.75" customHeight="1">
      <c r="A572" s="511"/>
      <c r="B572" s="511"/>
      <c r="C572" s="511"/>
      <c r="D572" s="511"/>
      <c r="E572" s="511"/>
      <c r="F572" s="511"/>
      <c r="G572" s="511"/>
      <c r="H572" s="511"/>
      <c r="I572" s="511"/>
      <c r="J572" s="511"/>
      <c r="K572" s="511"/>
      <c r="L572" s="511"/>
      <c r="M572" s="511"/>
      <c r="N572" s="511"/>
      <c r="O572" s="511"/>
      <c r="P572" s="511"/>
      <c r="Q572" s="511"/>
      <c r="R572" s="511"/>
      <c r="S572" s="511"/>
      <c r="T572" s="511"/>
      <c r="U572" s="511"/>
      <c r="V572" s="511"/>
      <c r="W572" s="511"/>
      <c r="X572" s="511"/>
      <c r="Y572" s="511"/>
      <c r="Z572" s="511"/>
      <c r="AA572" s="511"/>
      <c r="AB572" s="511"/>
      <c r="AC572" s="511"/>
      <c r="AD572" s="511"/>
      <c r="AE572" s="511"/>
      <c r="AF572" s="511"/>
      <c r="AG572" s="511"/>
      <c r="AH572" s="511"/>
      <c r="AI572" s="511"/>
      <c r="AJ572" s="511"/>
      <c r="AK572" s="511"/>
      <c r="AL572" s="511"/>
      <c r="AM572" s="511"/>
      <c r="AN572" s="511"/>
      <c r="AO572" s="511"/>
      <c r="AP572" s="511"/>
      <c r="AQ572" s="511"/>
      <c r="AR572" s="511"/>
      <c r="AS572" s="511"/>
      <c r="AT572" s="511"/>
      <c r="AU572" s="511"/>
      <c r="AV572" s="511"/>
      <c r="AW572" s="511"/>
      <c r="AX572" s="511"/>
      <c r="AY572" s="511"/>
      <c r="AZ572" s="511"/>
      <c r="BA572" s="511"/>
      <c r="BB572" s="511"/>
      <c r="BC572" s="511"/>
      <c r="BD572" s="511"/>
      <c r="BE572" s="511"/>
    </row>
    <row r="573" ht="15.75" customHeight="1">
      <c r="A573" s="511"/>
      <c r="B573" s="511"/>
      <c r="C573" s="511"/>
      <c r="D573" s="511"/>
      <c r="E573" s="511"/>
      <c r="F573" s="511"/>
      <c r="G573" s="511"/>
      <c r="H573" s="511"/>
      <c r="I573" s="511"/>
      <c r="J573" s="511"/>
      <c r="K573" s="511"/>
      <c r="L573" s="511"/>
      <c r="M573" s="511"/>
      <c r="N573" s="511"/>
      <c r="O573" s="511"/>
      <c r="P573" s="511"/>
      <c r="Q573" s="511"/>
      <c r="R573" s="511"/>
      <c r="S573" s="511"/>
      <c r="T573" s="511"/>
      <c r="U573" s="511"/>
      <c r="V573" s="511"/>
      <c r="W573" s="511"/>
      <c r="X573" s="511"/>
      <c r="Y573" s="511"/>
      <c r="Z573" s="511"/>
      <c r="AA573" s="511"/>
      <c r="AB573" s="511"/>
      <c r="AC573" s="511"/>
      <c r="AD573" s="511"/>
      <c r="AE573" s="511"/>
      <c r="AF573" s="511"/>
      <c r="AG573" s="511"/>
      <c r="AH573" s="511"/>
      <c r="AI573" s="511"/>
      <c r="AJ573" s="511"/>
      <c r="AK573" s="511"/>
      <c r="AL573" s="511"/>
      <c r="AM573" s="511"/>
      <c r="AN573" s="511"/>
      <c r="AO573" s="511"/>
      <c r="AP573" s="511"/>
      <c r="AQ573" s="511"/>
      <c r="AR573" s="511"/>
      <c r="AS573" s="511"/>
      <c r="AT573" s="511"/>
      <c r="AU573" s="511"/>
      <c r="AV573" s="511"/>
      <c r="AW573" s="511"/>
      <c r="AX573" s="511"/>
      <c r="AY573" s="511"/>
      <c r="AZ573" s="511"/>
      <c r="BA573" s="511"/>
      <c r="BB573" s="511"/>
      <c r="BC573" s="511"/>
      <c r="BD573" s="511"/>
      <c r="BE573" s="511"/>
    </row>
    <row r="574" ht="15.75" customHeight="1">
      <c r="A574" s="511"/>
      <c r="B574" s="511"/>
      <c r="C574" s="511"/>
      <c r="D574" s="511"/>
      <c r="E574" s="511"/>
      <c r="F574" s="511"/>
      <c r="G574" s="511"/>
      <c r="H574" s="511"/>
      <c r="I574" s="511"/>
      <c r="J574" s="511"/>
      <c r="K574" s="511"/>
      <c r="L574" s="511"/>
      <c r="M574" s="511"/>
      <c r="N574" s="511"/>
      <c r="O574" s="511"/>
      <c r="P574" s="511"/>
      <c r="Q574" s="511"/>
      <c r="R574" s="511"/>
      <c r="S574" s="511"/>
      <c r="T574" s="511"/>
      <c r="U574" s="511"/>
      <c r="V574" s="511"/>
      <c r="W574" s="511"/>
      <c r="X574" s="511"/>
      <c r="Y574" s="511"/>
      <c r="Z574" s="511"/>
      <c r="AA574" s="511"/>
      <c r="AB574" s="511"/>
      <c r="AC574" s="511"/>
      <c r="AD574" s="511"/>
      <c r="AE574" s="511"/>
      <c r="AF574" s="511"/>
      <c r="AG574" s="511"/>
      <c r="AH574" s="511"/>
      <c r="AI574" s="511"/>
      <c r="AJ574" s="511"/>
      <c r="AK574" s="511"/>
      <c r="AL574" s="511"/>
      <c r="AM574" s="511"/>
      <c r="AN574" s="511"/>
      <c r="AO574" s="511"/>
      <c r="AP574" s="511"/>
      <c r="AQ574" s="511"/>
      <c r="AR574" s="511"/>
      <c r="AS574" s="511"/>
      <c r="AT574" s="511"/>
      <c r="AU574" s="511"/>
      <c r="AV574" s="511"/>
      <c r="AW574" s="511"/>
      <c r="AX574" s="511"/>
      <c r="AY574" s="511"/>
      <c r="AZ574" s="511"/>
      <c r="BA574" s="511"/>
      <c r="BB574" s="511"/>
      <c r="BC574" s="511"/>
      <c r="BD574" s="511"/>
      <c r="BE574" s="511"/>
    </row>
    <row r="575" ht="15.75" customHeight="1">
      <c r="A575" s="511"/>
      <c r="B575" s="511"/>
      <c r="C575" s="511"/>
      <c r="D575" s="511"/>
      <c r="E575" s="511"/>
      <c r="F575" s="511"/>
      <c r="G575" s="511"/>
      <c r="H575" s="511"/>
      <c r="I575" s="511"/>
      <c r="J575" s="511"/>
      <c r="K575" s="511"/>
      <c r="L575" s="511"/>
      <c r="M575" s="511"/>
      <c r="N575" s="511"/>
      <c r="O575" s="511"/>
      <c r="P575" s="511"/>
      <c r="Q575" s="511"/>
      <c r="R575" s="511"/>
      <c r="S575" s="511"/>
      <c r="T575" s="511"/>
      <c r="U575" s="511"/>
      <c r="V575" s="511"/>
      <c r="W575" s="511"/>
      <c r="X575" s="511"/>
      <c r="Y575" s="511"/>
      <c r="Z575" s="511"/>
      <c r="AA575" s="511"/>
      <c r="AB575" s="511"/>
      <c r="AC575" s="511"/>
      <c r="AD575" s="511"/>
      <c r="AE575" s="511"/>
      <c r="AF575" s="511"/>
      <c r="AG575" s="511"/>
      <c r="AH575" s="511"/>
      <c r="AI575" s="511"/>
      <c r="AJ575" s="511"/>
      <c r="AK575" s="511"/>
      <c r="AL575" s="511"/>
      <c r="AM575" s="511"/>
      <c r="AN575" s="511"/>
      <c r="AO575" s="511"/>
      <c r="AP575" s="511"/>
      <c r="AQ575" s="511"/>
      <c r="AR575" s="511"/>
      <c r="AS575" s="511"/>
      <c r="AT575" s="511"/>
      <c r="AU575" s="511"/>
      <c r="AV575" s="511"/>
      <c r="AW575" s="511"/>
      <c r="AX575" s="511"/>
      <c r="AY575" s="511"/>
      <c r="AZ575" s="511"/>
      <c r="BA575" s="511"/>
      <c r="BB575" s="511"/>
      <c r="BC575" s="511"/>
      <c r="BD575" s="511"/>
      <c r="BE575" s="511"/>
    </row>
    <row r="576" ht="15.75" customHeight="1">
      <c r="A576" s="511"/>
      <c r="B576" s="511"/>
      <c r="C576" s="511"/>
      <c r="D576" s="511"/>
      <c r="E576" s="511"/>
      <c r="F576" s="511"/>
      <c r="G576" s="511"/>
      <c r="H576" s="511"/>
      <c r="I576" s="511"/>
      <c r="J576" s="511"/>
      <c r="K576" s="511"/>
      <c r="L576" s="511"/>
      <c r="M576" s="511"/>
      <c r="N576" s="511"/>
      <c r="O576" s="511"/>
      <c r="P576" s="511"/>
      <c r="Q576" s="511"/>
      <c r="R576" s="511"/>
      <c r="S576" s="511"/>
      <c r="T576" s="511"/>
      <c r="U576" s="511"/>
      <c r="V576" s="511"/>
      <c r="W576" s="511"/>
      <c r="X576" s="511"/>
      <c r="Y576" s="511"/>
      <c r="Z576" s="511"/>
      <c r="AA576" s="511"/>
      <c r="AB576" s="511"/>
      <c r="AC576" s="511"/>
      <c r="AD576" s="511"/>
      <c r="AE576" s="511"/>
      <c r="AF576" s="511"/>
      <c r="AG576" s="511"/>
      <c r="AH576" s="511"/>
      <c r="AI576" s="511"/>
      <c r="AJ576" s="511"/>
      <c r="AK576" s="511"/>
      <c r="AL576" s="511"/>
      <c r="AM576" s="511"/>
      <c r="AN576" s="511"/>
      <c r="AO576" s="511"/>
      <c r="AP576" s="511"/>
      <c r="AQ576" s="511"/>
      <c r="AR576" s="511"/>
      <c r="AS576" s="511"/>
      <c r="AT576" s="511"/>
      <c r="AU576" s="511"/>
      <c r="AV576" s="511"/>
      <c r="AW576" s="511"/>
      <c r="AX576" s="511"/>
      <c r="AY576" s="511"/>
      <c r="AZ576" s="511"/>
      <c r="BA576" s="511"/>
      <c r="BB576" s="511"/>
      <c r="BC576" s="511"/>
      <c r="BD576" s="511"/>
      <c r="BE576" s="511"/>
    </row>
    <row r="577" ht="15.75" customHeight="1">
      <c r="A577" s="511"/>
      <c r="B577" s="511"/>
      <c r="C577" s="511"/>
      <c r="D577" s="511"/>
      <c r="E577" s="511"/>
      <c r="F577" s="511"/>
      <c r="G577" s="511"/>
      <c r="H577" s="511"/>
      <c r="I577" s="511"/>
      <c r="J577" s="511"/>
      <c r="K577" s="511"/>
      <c r="L577" s="511"/>
      <c r="M577" s="511"/>
      <c r="N577" s="511"/>
      <c r="O577" s="511"/>
      <c r="P577" s="511"/>
      <c r="Q577" s="511"/>
      <c r="R577" s="511"/>
      <c r="S577" s="511"/>
      <c r="T577" s="511"/>
      <c r="U577" s="511"/>
      <c r="V577" s="511"/>
      <c r="W577" s="511"/>
      <c r="X577" s="511"/>
      <c r="Y577" s="511"/>
      <c r="Z577" s="511"/>
      <c r="AA577" s="511"/>
      <c r="AB577" s="511"/>
      <c r="AC577" s="511"/>
      <c r="AD577" s="511"/>
      <c r="AE577" s="511"/>
      <c r="AF577" s="511"/>
      <c r="AG577" s="511"/>
      <c r="AH577" s="511"/>
      <c r="AI577" s="511"/>
      <c r="AJ577" s="511"/>
      <c r="AK577" s="511"/>
      <c r="AL577" s="511"/>
      <c r="AM577" s="511"/>
      <c r="AN577" s="511"/>
      <c r="AO577" s="511"/>
      <c r="AP577" s="511"/>
      <c r="AQ577" s="511"/>
      <c r="AR577" s="511"/>
      <c r="AS577" s="511"/>
      <c r="AT577" s="511"/>
      <c r="AU577" s="511"/>
      <c r="AV577" s="511"/>
      <c r="AW577" s="511"/>
      <c r="AX577" s="511"/>
      <c r="AY577" s="511"/>
      <c r="AZ577" s="511"/>
      <c r="BA577" s="511"/>
      <c r="BB577" s="511"/>
      <c r="BC577" s="511"/>
      <c r="BD577" s="511"/>
      <c r="BE577" s="511"/>
    </row>
    <row r="578" ht="15.75" customHeight="1">
      <c r="A578" s="511"/>
      <c r="B578" s="511"/>
      <c r="C578" s="511"/>
      <c r="D578" s="511"/>
      <c r="E578" s="511"/>
      <c r="F578" s="511"/>
      <c r="G578" s="511"/>
      <c r="H578" s="511"/>
      <c r="I578" s="511"/>
      <c r="J578" s="511"/>
      <c r="K578" s="511"/>
      <c r="L578" s="511"/>
      <c r="M578" s="511"/>
      <c r="N578" s="511"/>
      <c r="O578" s="511"/>
      <c r="P578" s="511"/>
      <c r="Q578" s="511"/>
      <c r="R578" s="511"/>
      <c r="S578" s="511"/>
      <c r="T578" s="511"/>
      <c r="U578" s="511"/>
      <c r="V578" s="511"/>
      <c r="W578" s="511"/>
      <c r="X578" s="511"/>
      <c r="Y578" s="511"/>
      <c r="Z578" s="511"/>
      <c r="AA578" s="511"/>
      <c r="AB578" s="511"/>
      <c r="AC578" s="511"/>
      <c r="AD578" s="511"/>
      <c r="AE578" s="511"/>
      <c r="AF578" s="511"/>
      <c r="AG578" s="511"/>
      <c r="AH578" s="511"/>
      <c r="AI578" s="511"/>
      <c r="AJ578" s="511"/>
      <c r="AK578" s="511"/>
      <c r="AL578" s="511"/>
      <c r="AM578" s="511"/>
      <c r="AN578" s="511"/>
      <c r="AO578" s="511"/>
      <c r="AP578" s="511"/>
      <c r="AQ578" s="511"/>
      <c r="AR578" s="511"/>
      <c r="AS578" s="511"/>
      <c r="AT578" s="511"/>
      <c r="AU578" s="511"/>
      <c r="AV578" s="511"/>
      <c r="AW578" s="511"/>
      <c r="AX578" s="511"/>
      <c r="AY578" s="511"/>
      <c r="AZ578" s="511"/>
      <c r="BA578" s="511"/>
      <c r="BB578" s="511"/>
      <c r="BC578" s="511"/>
      <c r="BD578" s="511"/>
      <c r="BE578" s="511"/>
    </row>
    <row r="579" ht="15.75" customHeight="1">
      <c r="A579" s="511"/>
      <c r="B579" s="511"/>
      <c r="C579" s="511"/>
      <c r="D579" s="511"/>
      <c r="E579" s="511"/>
      <c r="F579" s="511"/>
      <c r="G579" s="511"/>
      <c r="H579" s="511"/>
      <c r="I579" s="511"/>
      <c r="J579" s="511"/>
      <c r="K579" s="511"/>
      <c r="L579" s="511"/>
      <c r="M579" s="511"/>
      <c r="N579" s="511"/>
      <c r="O579" s="511"/>
      <c r="P579" s="511"/>
      <c r="Q579" s="511"/>
      <c r="R579" s="511"/>
      <c r="S579" s="511"/>
      <c r="T579" s="511"/>
      <c r="U579" s="511"/>
      <c r="V579" s="511"/>
      <c r="W579" s="511"/>
      <c r="X579" s="511"/>
      <c r="Y579" s="511"/>
      <c r="Z579" s="511"/>
      <c r="AA579" s="511"/>
      <c r="AB579" s="511"/>
      <c r="AC579" s="511"/>
      <c r="AD579" s="511"/>
      <c r="AE579" s="511"/>
      <c r="AF579" s="511"/>
      <c r="AG579" s="511"/>
      <c r="AH579" s="511"/>
      <c r="AI579" s="511"/>
      <c r="AJ579" s="511"/>
      <c r="AK579" s="511"/>
      <c r="AL579" s="511"/>
      <c r="AM579" s="511"/>
      <c r="AN579" s="511"/>
      <c r="AO579" s="511"/>
      <c r="AP579" s="511"/>
      <c r="AQ579" s="511"/>
      <c r="AR579" s="511"/>
      <c r="AS579" s="511"/>
      <c r="AT579" s="511"/>
      <c r="AU579" s="511"/>
      <c r="AV579" s="511"/>
      <c r="AW579" s="511"/>
      <c r="AX579" s="511"/>
      <c r="AY579" s="511"/>
      <c r="AZ579" s="511"/>
      <c r="BA579" s="511"/>
      <c r="BB579" s="511"/>
      <c r="BC579" s="511"/>
      <c r="BD579" s="511"/>
      <c r="BE579" s="511"/>
    </row>
    <row r="580" ht="15.75" customHeight="1">
      <c r="A580" s="511"/>
      <c r="B580" s="511"/>
      <c r="C580" s="511"/>
      <c r="D580" s="511"/>
      <c r="E580" s="511"/>
      <c r="F580" s="511"/>
      <c r="G580" s="511"/>
      <c r="H580" s="511"/>
      <c r="I580" s="511"/>
      <c r="J580" s="511"/>
      <c r="K580" s="511"/>
      <c r="L580" s="511"/>
      <c r="M580" s="511"/>
      <c r="N580" s="511"/>
      <c r="O580" s="511"/>
      <c r="P580" s="511"/>
      <c r="Q580" s="511"/>
      <c r="R580" s="511"/>
      <c r="S580" s="511"/>
      <c r="T580" s="511"/>
      <c r="U580" s="511"/>
      <c r="V580" s="511"/>
      <c r="W580" s="511"/>
      <c r="X580" s="511"/>
      <c r="Y580" s="511"/>
      <c r="Z580" s="511"/>
      <c r="AA580" s="511"/>
      <c r="AB580" s="511"/>
      <c r="AC580" s="511"/>
      <c r="AD580" s="511"/>
      <c r="AE580" s="511"/>
      <c r="AF580" s="511"/>
      <c r="AG580" s="511"/>
      <c r="AH580" s="511"/>
      <c r="AI580" s="511"/>
      <c r="AJ580" s="511"/>
      <c r="AK580" s="511"/>
      <c r="AL580" s="511"/>
      <c r="AM580" s="511"/>
      <c r="AN580" s="511"/>
      <c r="AO580" s="511"/>
      <c r="AP580" s="511"/>
      <c r="AQ580" s="511"/>
      <c r="AR580" s="511"/>
      <c r="AS580" s="511"/>
      <c r="AT580" s="511"/>
      <c r="AU580" s="511"/>
      <c r="AV580" s="511"/>
      <c r="AW580" s="511"/>
      <c r="AX580" s="511"/>
      <c r="AY580" s="511"/>
      <c r="AZ580" s="511"/>
      <c r="BA580" s="511"/>
      <c r="BB580" s="511"/>
      <c r="BC580" s="511"/>
      <c r="BD580" s="511"/>
      <c r="BE580" s="511"/>
    </row>
    <row r="581" ht="15.75" customHeight="1">
      <c r="A581" s="511"/>
      <c r="B581" s="511"/>
      <c r="C581" s="511"/>
      <c r="D581" s="511"/>
      <c r="E581" s="511"/>
      <c r="F581" s="511"/>
      <c r="G581" s="511"/>
      <c r="H581" s="511"/>
      <c r="I581" s="511"/>
      <c r="J581" s="511"/>
      <c r="K581" s="511"/>
      <c r="L581" s="511"/>
      <c r="M581" s="511"/>
      <c r="N581" s="511"/>
      <c r="O581" s="511"/>
      <c r="P581" s="511"/>
      <c r="Q581" s="511"/>
      <c r="R581" s="511"/>
      <c r="S581" s="511"/>
      <c r="T581" s="511"/>
      <c r="U581" s="511"/>
      <c r="V581" s="511"/>
      <c r="W581" s="511"/>
      <c r="X581" s="511"/>
      <c r="Y581" s="511"/>
      <c r="Z581" s="511"/>
      <c r="AA581" s="511"/>
      <c r="AB581" s="511"/>
      <c r="AC581" s="511"/>
      <c r="AD581" s="511"/>
      <c r="AE581" s="511"/>
      <c r="AF581" s="511"/>
      <c r="AG581" s="511"/>
      <c r="AH581" s="511"/>
      <c r="AI581" s="511"/>
      <c r="AJ581" s="511"/>
      <c r="AK581" s="511"/>
      <c r="AL581" s="511"/>
      <c r="AM581" s="511"/>
      <c r="AN581" s="511"/>
      <c r="AO581" s="511"/>
      <c r="AP581" s="511"/>
      <c r="AQ581" s="511"/>
      <c r="AR581" s="511"/>
      <c r="AS581" s="511"/>
      <c r="AT581" s="511"/>
      <c r="AU581" s="511"/>
      <c r="AV581" s="511"/>
      <c r="AW581" s="511"/>
      <c r="AX581" s="511"/>
      <c r="AY581" s="511"/>
      <c r="AZ581" s="511"/>
      <c r="BA581" s="511"/>
      <c r="BB581" s="511"/>
      <c r="BC581" s="511"/>
      <c r="BD581" s="511"/>
      <c r="BE581" s="511"/>
    </row>
    <row r="582" ht="15.75" customHeight="1">
      <c r="A582" s="511"/>
      <c r="B582" s="511"/>
      <c r="C582" s="511"/>
      <c r="D582" s="511"/>
      <c r="E582" s="511"/>
      <c r="F582" s="511"/>
      <c r="G582" s="511"/>
      <c r="H582" s="511"/>
      <c r="I582" s="511"/>
      <c r="J582" s="511"/>
      <c r="K582" s="511"/>
      <c r="L582" s="511"/>
      <c r="M582" s="511"/>
      <c r="N582" s="511"/>
      <c r="O582" s="511"/>
      <c r="P582" s="511"/>
      <c r="Q582" s="511"/>
      <c r="R582" s="511"/>
      <c r="S582" s="511"/>
      <c r="T582" s="511"/>
      <c r="U582" s="511"/>
      <c r="V582" s="511"/>
      <c r="W582" s="511"/>
      <c r="X582" s="511"/>
      <c r="Y582" s="511"/>
      <c r="Z582" s="511"/>
      <c r="AA582" s="511"/>
      <c r="AB582" s="511"/>
      <c r="AC582" s="511"/>
      <c r="AD582" s="511"/>
      <c r="AE582" s="511"/>
      <c r="AF582" s="511"/>
      <c r="AG582" s="511"/>
      <c r="AH582" s="511"/>
      <c r="AI582" s="511"/>
      <c r="AJ582" s="511"/>
      <c r="AK582" s="511"/>
      <c r="AL582" s="511"/>
      <c r="AM582" s="511"/>
      <c r="AN582" s="511"/>
      <c r="AO582" s="511"/>
      <c r="AP582" s="511"/>
      <c r="AQ582" s="511"/>
      <c r="AR582" s="511"/>
      <c r="AS582" s="511"/>
      <c r="AT582" s="511"/>
      <c r="AU582" s="511"/>
      <c r="AV582" s="511"/>
      <c r="AW582" s="511"/>
      <c r="AX582" s="511"/>
      <c r="AY582" s="511"/>
      <c r="AZ582" s="511"/>
      <c r="BA582" s="511"/>
      <c r="BB582" s="511"/>
      <c r="BC582" s="511"/>
      <c r="BD582" s="511"/>
      <c r="BE582" s="511"/>
    </row>
    <row r="583" ht="15.75" customHeight="1">
      <c r="A583" s="511"/>
      <c r="B583" s="511"/>
      <c r="C583" s="511"/>
      <c r="D583" s="511"/>
      <c r="E583" s="511"/>
      <c r="F583" s="511"/>
      <c r="G583" s="511"/>
      <c r="H583" s="511"/>
      <c r="I583" s="511"/>
      <c r="J583" s="511"/>
      <c r="K583" s="511"/>
      <c r="L583" s="511"/>
      <c r="M583" s="511"/>
      <c r="N583" s="511"/>
      <c r="O583" s="511"/>
      <c r="P583" s="511"/>
      <c r="Q583" s="511"/>
      <c r="R583" s="511"/>
      <c r="S583" s="511"/>
      <c r="T583" s="511"/>
      <c r="U583" s="511"/>
      <c r="V583" s="511"/>
      <c r="W583" s="511"/>
      <c r="X583" s="511"/>
      <c r="Y583" s="511"/>
      <c r="Z583" s="511"/>
      <c r="AA583" s="511"/>
      <c r="AB583" s="511"/>
      <c r="AC583" s="511"/>
      <c r="AD583" s="511"/>
      <c r="AE583" s="511"/>
      <c r="AF583" s="511"/>
      <c r="AG583" s="511"/>
      <c r="AH583" s="511"/>
      <c r="AI583" s="511"/>
      <c r="AJ583" s="511"/>
      <c r="AK583" s="511"/>
      <c r="AL583" s="511"/>
      <c r="AM583" s="511"/>
      <c r="AN583" s="511"/>
      <c r="AO583" s="511"/>
      <c r="AP583" s="511"/>
      <c r="AQ583" s="511"/>
      <c r="AR583" s="511"/>
      <c r="AS583" s="511"/>
      <c r="AT583" s="511"/>
      <c r="AU583" s="511"/>
      <c r="AV583" s="511"/>
      <c r="AW583" s="511"/>
      <c r="AX583" s="511"/>
      <c r="AY583" s="511"/>
      <c r="AZ583" s="511"/>
      <c r="BA583" s="511"/>
      <c r="BB583" s="511"/>
      <c r="BC583" s="511"/>
      <c r="BD583" s="511"/>
      <c r="BE583" s="511"/>
    </row>
    <row r="584" ht="15.75" customHeight="1">
      <c r="A584" s="511"/>
      <c r="B584" s="511"/>
      <c r="C584" s="511"/>
      <c r="D584" s="511"/>
      <c r="E584" s="511"/>
      <c r="F584" s="511"/>
      <c r="G584" s="511"/>
      <c r="H584" s="511"/>
      <c r="I584" s="511"/>
      <c r="J584" s="511"/>
      <c r="K584" s="511"/>
      <c r="L584" s="511"/>
      <c r="M584" s="511"/>
      <c r="N584" s="511"/>
      <c r="O584" s="511"/>
      <c r="P584" s="511"/>
      <c r="Q584" s="511"/>
      <c r="R584" s="511"/>
      <c r="S584" s="511"/>
      <c r="T584" s="511"/>
      <c r="U584" s="511"/>
      <c r="V584" s="511"/>
      <c r="W584" s="511"/>
      <c r="X584" s="511"/>
      <c r="Y584" s="511"/>
      <c r="Z584" s="511"/>
      <c r="AA584" s="511"/>
      <c r="AB584" s="511"/>
      <c r="AC584" s="511"/>
      <c r="AD584" s="511"/>
      <c r="AE584" s="511"/>
      <c r="AF584" s="511"/>
      <c r="AG584" s="511"/>
      <c r="AH584" s="511"/>
      <c r="AI584" s="511"/>
      <c r="AJ584" s="511"/>
      <c r="AK584" s="511"/>
      <c r="AL584" s="511"/>
      <c r="AM584" s="511"/>
      <c r="AN584" s="511"/>
      <c r="AO584" s="511"/>
      <c r="AP584" s="511"/>
      <c r="AQ584" s="511"/>
      <c r="AR584" s="511"/>
      <c r="AS584" s="511"/>
      <c r="AT584" s="511"/>
      <c r="AU584" s="511"/>
      <c r="AV584" s="511"/>
      <c r="AW584" s="511"/>
      <c r="AX584" s="511"/>
      <c r="AY584" s="511"/>
      <c r="AZ584" s="511"/>
      <c r="BA584" s="511"/>
      <c r="BB584" s="511"/>
      <c r="BC584" s="511"/>
      <c r="BD584" s="511"/>
      <c r="BE584" s="511"/>
    </row>
    <row r="585" ht="15.75" customHeight="1">
      <c r="A585" s="511"/>
      <c r="B585" s="511"/>
      <c r="C585" s="511"/>
      <c r="D585" s="511"/>
      <c r="E585" s="511"/>
      <c r="F585" s="511"/>
      <c r="G585" s="511"/>
      <c r="H585" s="511"/>
      <c r="I585" s="511"/>
      <c r="J585" s="511"/>
      <c r="K585" s="511"/>
      <c r="L585" s="511"/>
      <c r="M585" s="511"/>
      <c r="N585" s="511"/>
      <c r="O585" s="511"/>
      <c r="P585" s="511"/>
      <c r="Q585" s="511"/>
      <c r="R585" s="511"/>
      <c r="S585" s="511"/>
      <c r="T585" s="511"/>
      <c r="U585" s="511"/>
      <c r="V585" s="511"/>
      <c r="W585" s="511"/>
      <c r="X585" s="511"/>
      <c r="Y585" s="511"/>
      <c r="Z585" s="511"/>
      <c r="AA585" s="511"/>
      <c r="AB585" s="511"/>
      <c r="AC585" s="511"/>
      <c r="AD585" s="511"/>
      <c r="AE585" s="511"/>
      <c r="AF585" s="511"/>
      <c r="AG585" s="511"/>
      <c r="AH585" s="511"/>
      <c r="AI585" s="511"/>
      <c r="AJ585" s="511"/>
      <c r="AK585" s="511"/>
      <c r="AL585" s="511"/>
      <c r="AM585" s="511"/>
      <c r="AN585" s="511"/>
      <c r="AO585" s="511"/>
      <c r="AP585" s="511"/>
      <c r="AQ585" s="511"/>
      <c r="AR585" s="511"/>
      <c r="AS585" s="511"/>
      <c r="AT585" s="511"/>
      <c r="AU585" s="511"/>
      <c r="AV585" s="511"/>
      <c r="AW585" s="511"/>
      <c r="AX585" s="511"/>
      <c r="AY585" s="511"/>
      <c r="AZ585" s="511"/>
      <c r="BA585" s="511"/>
      <c r="BB585" s="511"/>
      <c r="BC585" s="511"/>
      <c r="BD585" s="511"/>
      <c r="BE585" s="511"/>
    </row>
    <row r="586" ht="15.75" customHeight="1">
      <c r="A586" s="511"/>
      <c r="B586" s="511"/>
      <c r="C586" s="511"/>
      <c r="D586" s="511"/>
      <c r="E586" s="511"/>
      <c r="F586" s="511"/>
      <c r="G586" s="511"/>
      <c r="H586" s="511"/>
      <c r="I586" s="511"/>
      <c r="J586" s="511"/>
      <c r="K586" s="511"/>
      <c r="L586" s="511"/>
      <c r="M586" s="511"/>
      <c r="N586" s="511"/>
      <c r="O586" s="511"/>
      <c r="P586" s="511"/>
      <c r="Q586" s="511"/>
      <c r="R586" s="511"/>
      <c r="S586" s="511"/>
      <c r="T586" s="511"/>
      <c r="U586" s="511"/>
      <c r="V586" s="511"/>
      <c r="W586" s="511"/>
      <c r="X586" s="511"/>
      <c r="Y586" s="511"/>
      <c r="Z586" s="511"/>
      <c r="AA586" s="511"/>
      <c r="AB586" s="511"/>
      <c r="AC586" s="511"/>
      <c r="AD586" s="511"/>
      <c r="AE586" s="511"/>
      <c r="AF586" s="511"/>
      <c r="AG586" s="511"/>
      <c r="AH586" s="511"/>
      <c r="AI586" s="511"/>
      <c r="AJ586" s="511"/>
      <c r="AK586" s="511"/>
      <c r="AL586" s="511"/>
      <c r="AM586" s="511"/>
      <c r="AN586" s="511"/>
      <c r="AO586" s="511"/>
      <c r="AP586" s="511"/>
      <c r="AQ586" s="511"/>
      <c r="AR586" s="511"/>
      <c r="AS586" s="511"/>
      <c r="AT586" s="511"/>
      <c r="AU586" s="511"/>
      <c r="AV586" s="511"/>
      <c r="AW586" s="511"/>
      <c r="AX586" s="511"/>
      <c r="AY586" s="511"/>
      <c r="AZ586" s="511"/>
      <c r="BA586" s="511"/>
      <c r="BB586" s="511"/>
      <c r="BC586" s="511"/>
      <c r="BD586" s="511"/>
      <c r="BE586" s="511"/>
    </row>
    <row r="587" ht="15.75" customHeight="1">
      <c r="A587" s="511"/>
      <c r="B587" s="511"/>
      <c r="C587" s="511"/>
      <c r="D587" s="511"/>
      <c r="E587" s="511"/>
      <c r="F587" s="511"/>
      <c r="G587" s="511"/>
      <c r="H587" s="511"/>
      <c r="I587" s="511"/>
      <c r="J587" s="511"/>
      <c r="K587" s="511"/>
      <c r="L587" s="511"/>
      <c r="M587" s="511"/>
      <c r="N587" s="511"/>
      <c r="O587" s="511"/>
      <c r="P587" s="511"/>
      <c r="Q587" s="511"/>
      <c r="R587" s="511"/>
      <c r="S587" s="511"/>
      <c r="T587" s="511"/>
      <c r="U587" s="511"/>
      <c r="V587" s="511"/>
      <c r="W587" s="511"/>
      <c r="X587" s="511"/>
      <c r="Y587" s="511"/>
      <c r="Z587" s="511"/>
      <c r="AA587" s="511"/>
      <c r="AB587" s="511"/>
      <c r="AC587" s="511"/>
      <c r="AD587" s="511"/>
      <c r="AE587" s="511"/>
      <c r="AF587" s="511"/>
      <c r="AG587" s="511"/>
      <c r="AH587" s="511"/>
      <c r="AI587" s="511"/>
      <c r="AJ587" s="511"/>
      <c r="AK587" s="511"/>
      <c r="AL587" s="511"/>
      <c r="AM587" s="511"/>
      <c r="AN587" s="511"/>
      <c r="AO587" s="511"/>
      <c r="AP587" s="511"/>
      <c r="AQ587" s="511"/>
      <c r="AR587" s="511"/>
      <c r="AS587" s="511"/>
      <c r="AT587" s="511"/>
      <c r="AU587" s="511"/>
      <c r="AV587" s="511"/>
      <c r="AW587" s="511"/>
      <c r="AX587" s="511"/>
      <c r="AY587" s="511"/>
      <c r="AZ587" s="511"/>
      <c r="BA587" s="511"/>
      <c r="BB587" s="511"/>
      <c r="BC587" s="511"/>
      <c r="BD587" s="511"/>
      <c r="BE587" s="511"/>
    </row>
    <row r="588" ht="15.75" customHeight="1">
      <c r="A588" s="511"/>
      <c r="B588" s="511"/>
      <c r="C588" s="511"/>
      <c r="D588" s="511"/>
      <c r="E588" s="511"/>
      <c r="F588" s="511"/>
      <c r="G588" s="511"/>
      <c r="H588" s="511"/>
      <c r="I588" s="511"/>
      <c r="J588" s="511"/>
      <c r="K588" s="511"/>
      <c r="L588" s="511"/>
      <c r="M588" s="511"/>
      <c r="N588" s="511"/>
      <c r="O588" s="511"/>
      <c r="P588" s="511"/>
      <c r="Q588" s="511"/>
      <c r="R588" s="511"/>
      <c r="S588" s="511"/>
      <c r="T588" s="511"/>
      <c r="U588" s="511"/>
      <c r="V588" s="511"/>
      <c r="W588" s="511"/>
      <c r="X588" s="511"/>
      <c r="Y588" s="511"/>
      <c r="Z588" s="511"/>
      <c r="AA588" s="511"/>
      <c r="AB588" s="511"/>
      <c r="AC588" s="511"/>
      <c r="AD588" s="511"/>
      <c r="AE588" s="511"/>
      <c r="AF588" s="511"/>
      <c r="AG588" s="511"/>
      <c r="AH588" s="511"/>
      <c r="AI588" s="511"/>
      <c r="AJ588" s="511"/>
      <c r="AK588" s="511"/>
      <c r="AL588" s="511"/>
      <c r="AM588" s="511"/>
      <c r="AN588" s="511"/>
      <c r="AO588" s="511"/>
      <c r="AP588" s="511"/>
      <c r="AQ588" s="511"/>
      <c r="AR588" s="511"/>
      <c r="AS588" s="511"/>
      <c r="AT588" s="511"/>
      <c r="AU588" s="511"/>
      <c r="AV588" s="511"/>
      <c r="AW588" s="511"/>
      <c r="AX588" s="511"/>
      <c r="AY588" s="511"/>
      <c r="AZ588" s="511"/>
      <c r="BA588" s="511"/>
      <c r="BB588" s="511"/>
      <c r="BC588" s="511"/>
      <c r="BD588" s="511"/>
      <c r="BE588" s="511"/>
    </row>
    <row r="589" ht="15.75" customHeight="1">
      <c r="A589" s="511"/>
      <c r="B589" s="511"/>
      <c r="C589" s="511"/>
      <c r="D589" s="511"/>
      <c r="E589" s="511"/>
      <c r="F589" s="511"/>
      <c r="G589" s="511"/>
      <c r="H589" s="511"/>
      <c r="I589" s="511"/>
      <c r="J589" s="511"/>
      <c r="K589" s="511"/>
      <c r="L589" s="511"/>
      <c r="M589" s="511"/>
      <c r="N589" s="511"/>
      <c r="O589" s="511"/>
      <c r="P589" s="511"/>
      <c r="Q589" s="511"/>
      <c r="R589" s="511"/>
      <c r="S589" s="511"/>
      <c r="T589" s="511"/>
      <c r="U589" s="511"/>
      <c r="V589" s="511"/>
      <c r="W589" s="511"/>
      <c r="X589" s="511"/>
      <c r="Y589" s="511"/>
      <c r="Z589" s="511"/>
      <c r="AA589" s="511"/>
      <c r="AB589" s="511"/>
      <c r="AC589" s="511"/>
      <c r="AD589" s="511"/>
      <c r="AE589" s="511"/>
      <c r="AF589" s="511"/>
      <c r="AG589" s="511"/>
      <c r="AH589" s="511"/>
      <c r="AI589" s="511"/>
      <c r="AJ589" s="511"/>
      <c r="AK589" s="511"/>
      <c r="AL589" s="511"/>
      <c r="AM589" s="511"/>
      <c r="AN589" s="511"/>
      <c r="AO589" s="511"/>
      <c r="AP589" s="511"/>
      <c r="AQ589" s="511"/>
      <c r="AR589" s="511"/>
      <c r="AS589" s="511"/>
      <c r="AT589" s="511"/>
      <c r="AU589" s="511"/>
      <c r="AV589" s="511"/>
      <c r="AW589" s="511"/>
      <c r="AX589" s="511"/>
      <c r="AY589" s="511"/>
      <c r="AZ589" s="511"/>
      <c r="BA589" s="511"/>
      <c r="BB589" s="511"/>
      <c r="BC589" s="511"/>
      <c r="BD589" s="511"/>
      <c r="BE589" s="511"/>
    </row>
    <row r="590" ht="15.75" customHeight="1">
      <c r="A590" s="511"/>
      <c r="B590" s="511"/>
      <c r="C590" s="511"/>
      <c r="D590" s="511"/>
      <c r="E590" s="511"/>
      <c r="F590" s="511"/>
      <c r="G590" s="511"/>
      <c r="H590" s="511"/>
      <c r="I590" s="511"/>
      <c r="J590" s="511"/>
      <c r="K590" s="511"/>
      <c r="L590" s="511"/>
      <c r="M590" s="511"/>
      <c r="N590" s="511"/>
      <c r="O590" s="511"/>
      <c r="P590" s="511"/>
      <c r="Q590" s="511"/>
      <c r="R590" s="511"/>
      <c r="S590" s="511"/>
      <c r="T590" s="511"/>
      <c r="U590" s="511"/>
      <c r="V590" s="511"/>
      <c r="W590" s="511"/>
      <c r="X590" s="511"/>
      <c r="Y590" s="511"/>
      <c r="Z590" s="511"/>
      <c r="AA590" s="511"/>
      <c r="AB590" s="511"/>
      <c r="AC590" s="511"/>
      <c r="AD590" s="511"/>
      <c r="AE590" s="511"/>
      <c r="AF590" s="511"/>
      <c r="AG590" s="511"/>
      <c r="AH590" s="511"/>
      <c r="AI590" s="511"/>
      <c r="AJ590" s="511"/>
      <c r="AK590" s="511"/>
      <c r="AL590" s="511"/>
      <c r="AM590" s="511"/>
      <c r="AN590" s="511"/>
      <c r="AO590" s="511"/>
      <c r="AP590" s="511"/>
      <c r="AQ590" s="511"/>
      <c r="AR590" s="511"/>
      <c r="AS590" s="511"/>
      <c r="AT590" s="511"/>
      <c r="AU590" s="511"/>
      <c r="AV590" s="511"/>
      <c r="AW590" s="511"/>
      <c r="AX590" s="511"/>
      <c r="AY590" s="511"/>
      <c r="AZ590" s="511"/>
      <c r="BA590" s="511"/>
      <c r="BB590" s="511"/>
      <c r="BC590" s="511"/>
      <c r="BD590" s="511"/>
      <c r="BE590" s="511"/>
    </row>
    <row r="591" ht="15.75" customHeight="1">
      <c r="A591" s="511"/>
      <c r="B591" s="511"/>
      <c r="C591" s="511"/>
      <c r="D591" s="511"/>
      <c r="E591" s="511"/>
      <c r="F591" s="511"/>
      <c r="G591" s="511"/>
      <c r="H591" s="511"/>
      <c r="I591" s="511"/>
      <c r="J591" s="511"/>
      <c r="K591" s="511"/>
      <c r="L591" s="511"/>
      <c r="M591" s="511"/>
      <c r="N591" s="511"/>
      <c r="O591" s="511"/>
      <c r="P591" s="511"/>
      <c r="Q591" s="511"/>
      <c r="R591" s="511"/>
      <c r="S591" s="511"/>
      <c r="T591" s="511"/>
      <c r="U591" s="511"/>
      <c r="V591" s="511"/>
      <c r="W591" s="511"/>
      <c r="X591" s="511"/>
      <c r="Y591" s="511"/>
      <c r="Z591" s="511"/>
      <c r="AA591" s="511"/>
      <c r="AB591" s="511"/>
      <c r="AC591" s="511"/>
      <c r="AD591" s="511"/>
      <c r="AE591" s="511"/>
      <c r="AF591" s="511"/>
      <c r="AG591" s="511"/>
      <c r="AH591" s="511"/>
      <c r="AI591" s="511"/>
      <c r="AJ591" s="511"/>
      <c r="AK591" s="511"/>
      <c r="AL591" s="511"/>
      <c r="AM591" s="511"/>
      <c r="AN591" s="511"/>
      <c r="AO591" s="511"/>
      <c r="AP591" s="511"/>
      <c r="AQ591" s="511"/>
      <c r="AR591" s="511"/>
      <c r="AS591" s="511"/>
      <c r="AT591" s="511"/>
      <c r="AU591" s="511"/>
      <c r="AV591" s="511"/>
      <c r="AW591" s="511"/>
      <c r="AX591" s="511"/>
      <c r="AY591" s="511"/>
      <c r="AZ591" s="511"/>
      <c r="BA591" s="511"/>
      <c r="BB591" s="511"/>
      <c r="BC591" s="511"/>
      <c r="BD591" s="511"/>
      <c r="BE591" s="511"/>
    </row>
    <row r="592" ht="15.75" customHeight="1">
      <c r="A592" s="511"/>
      <c r="B592" s="511"/>
      <c r="C592" s="511"/>
      <c r="D592" s="511"/>
      <c r="E592" s="511"/>
      <c r="F592" s="511"/>
      <c r="G592" s="511"/>
      <c r="H592" s="511"/>
      <c r="I592" s="511"/>
      <c r="J592" s="511"/>
      <c r="K592" s="511"/>
      <c r="L592" s="511"/>
      <c r="M592" s="511"/>
      <c r="N592" s="511"/>
      <c r="O592" s="511"/>
      <c r="P592" s="511"/>
      <c r="Q592" s="511"/>
      <c r="R592" s="511"/>
      <c r="S592" s="511"/>
      <c r="T592" s="511"/>
      <c r="U592" s="511"/>
      <c r="V592" s="511"/>
      <c r="W592" s="511"/>
      <c r="X592" s="511"/>
      <c r="Y592" s="511"/>
      <c r="Z592" s="511"/>
      <c r="AA592" s="511"/>
      <c r="AB592" s="511"/>
      <c r="AC592" s="511"/>
      <c r="AD592" s="511"/>
      <c r="AE592" s="511"/>
      <c r="AF592" s="511"/>
      <c r="AG592" s="511"/>
      <c r="AH592" s="511"/>
      <c r="AI592" s="511"/>
      <c r="AJ592" s="511"/>
      <c r="AK592" s="511"/>
      <c r="AL592" s="511"/>
      <c r="AM592" s="511"/>
      <c r="AN592" s="511"/>
      <c r="AO592" s="511"/>
      <c r="AP592" s="511"/>
      <c r="AQ592" s="511"/>
      <c r="AR592" s="511"/>
      <c r="AS592" s="511"/>
      <c r="AT592" s="511"/>
      <c r="AU592" s="511"/>
      <c r="AV592" s="511"/>
      <c r="AW592" s="511"/>
      <c r="AX592" s="511"/>
      <c r="AY592" s="511"/>
      <c r="AZ592" s="511"/>
      <c r="BA592" s="511"/>
      <c r="BB592" s="511"/>
      <c r="BC592" s="511"/>
      <c r="BD592" s="511"/>
      <c r="BE592" s="511"/>
    </row>
    <row r="593" ht="15.75" customHeight="1">
      <c r="A593" s="511"/>
      <c r="B593" s="511"/>
      <c r="C593" s="511"/>
      <c r="D593" s="511"/>
      <c r="E593" s="511"/>
      <c r="F593" s="511"/>
      <c r="G593" s="511"/>
      <c r="H593" s="511"/>
      <c r="I593" s="511"/>
      <c r="J593" s="511"/>
      <c r="K593" s="511"/>
      <c r="L593" s="511"/>
      <c r="M593" s="511"/>
      <c r="N593" s="511"/>
      <c r="O593" s="511"/>
      <c r="P593" s="511"/>
      <c r="Q593" s="511"/>
      <c r="R593" s="511"/>
      <c r="S593" s="511"/>
      <c r="T593" s="511"/>
      <c r="U593" s="511"/>
      <c r="V593" s="511"/>
      <c r="W593" s="511"/>
      <c r="X593" s="511"/>
      <c r="Y593" s="511"/>
      <c r="Z593" s="511"/>
      <c r="AA593" s="511"/>
      <c r="AB593" s="511"/>
      <c r="AC593" s="511"/>
      <c r="AD593" s="511"/>
      <c r="AE593" s="511"/>
      <c r="AF593" s="511"/>
      <c r="AG593" s="511"/>
      <c r="AH593" s="511"/>
      <c r="AI593" s="511"/>
      <c r="AJ593" s="511"/>
      <c r="AK593" s="511"/>
      <c r="AL593" s="511"/>
      <c r="AM593" s="511"/>
      <c r="AN593" s="511"/>
      <c r="AO593" s="511"/>
      <c r="AP593" s="511"/>
      <c r="AQ593" s="511"/>
      <c r="AR593" s="511"/>
      <c r="AS593" s="511"/>
      <c r="AT593" s="511"/>
      <c r="AU593" s="511"/>
      <c r="AV593" s="511"/>
      <c r="AW593" s="511"/>
      <c r="AX593" s="511"/>
      <c r="AY593" s="511"/>
      <c r="AZ593" s="511"/>
      <c r="BA593" s="511"/>
      <c r="BB593" s="511"/>
      <c r="BC593" s="511"/>
      <c r="BD593" s="511"/>
      <c r="BE593" s="511"/>
    </row>
    <row r="594" ht="15.75" customHeight="1">
      <c r="A594" s="511"/>
      <c r="B594" s="511"/>
      <c r="C594" s="511"/>
      <c r="D594" s="511"/>
      <c r="E594" s="511"/>
      <c r="F594" s="511"/>
      <c r="G594" s="511"/>
      <c r="H594" s="511"/>
      <c r="I594" s="511"/>
      <c r="J594" s="511"/>
      <c r="K594" s="511"/>
      <c r="L594" s="511"/>
      <c r="M594" s="511"/>
      <c r="N594" s="511"/>
      <c r="O594" s="511"/>
      <c r="P594" s="511"/>
      <c r="Q594" s="511"/>
      <c r="R594" s="511"/>
      <c r="S594" s="511"/>
      <c r="T594" s="511"/>
      <c r="U594" s="511"/>
      <c r="V594" s="511"/>
      <c r="W594" s="511"/>
      <c r="X594" s="511"/>
      <c r="Y594" s="511"/>
      <c r="Z594" s="511"/>
      <c r="AA594" s="511"/>
      <c r="AB594" s="511"/>
      <c r="AC594" s="511"/>
      <c r="AD594" s="511"/>
      <c r="AE594" s="511"/>
      <c r="AF594" s="511"/>
      <c r="AG594" s="511"/>
      <c r="AH594" s="511"/>
      <c r="AI594" s="511"/>
      <c r="AJ594" s="511"/>
      <c r="AK594" s="511"/>
      <c r="AL594" s="511"/>
      <c r="AM594" s="511"/>
      <c r="AN594" s="511"/>
      <c r="AO594" s="511"/>
      <c r="AP594" s="511"/>
      <c r="AQ594" s="511"/>
      <c r="AR594" s="511"/>
      <c r="AS594" s="511"/>
      <c r="AT594" s="511"/>
      <c r="AU594" s="511"/>
      <c r="AV594" s="511"/>
      <c r="AW594" s="511"/>
      <c r="AX594" s="511"/>
      <c r="AY594" s="511"/>
      <c r="AZ594" s="511"/>
      <c r="BA594" s="511"/>
      <c r="BB594" s="511"/>
      <c r="BC594" s="511"/>
      <c r="BD594" s="511"/>
      <c r="BE594" s="511"/>
    </row>
    <row r="595" ht="15.75" customHeight="1">
      <c r="A595" s="511"/>
      <c r="B595" s="511"/>
      <c r="C595" s="511"/>
      <c r="D595" s="511"/>
      <c r="E595" s="511"/>
      <c r="F595" s="511"/>
      <c r="G595" s="511"/>
      <c r="H595" s="511"/>
      <c r="I595" s="511"/>
      <c r="J595" s="511"/>
      <c r="K595" s="511"/>
      <c r="L595" s="511"/>
      <c r="M595" s="511"/>
      <c r="N595" s="511"/>
      <c r="O595" s="511"/>
      <c r="P595" s="511"/>
      <c r="Q595" s="511"/>
      <c r="R595" s="511"/>
      <c r="S595" s="511"/>
      <c r="T595" s="511"/>
      <c r="U595" s="511"/>
      <c r="V595" s="511"/>
      <c r="W595" s="511"/>
      <c r="X595" s="511"/>
      <c r="Y595" s="511"/>
      <c r="Z595" s="511"/>
      <c r="AA595" s="511"/>
      <c r="AB595" s="511"/>
      <c r="AC595" s="511"/>
      <c r="AD595" s="511"/>
      <c r="AE595" s="511"/>
      <c r="AF595" s="511"/>
      <c r="AG595" s="511"/>
      <c r="AH595" s="511"/>
      <c r="AI595" s="511"/>
      <c r="AJ595" s="511"/>
      <c r="AK595" s="511"/>
      <c r="AL595" s="511"/>
      <c r="AM595" s="511"/>
      <c r="AN595" s="511"/>
      <c r="AO595" s="511"/>
      <c r="AP595" s="511"/>
      <c r="AQ595" s="511"/>
      <c r="AR595" s="511"/>
      <c r="AS595" s="511"/>
      <c r="AT595" s="511"/>
      <c r="AU595" s="511"/>
      <c r="AV595" s="511"/>
      <c r="AW595" s="511"/>
      <c r="AX595" s="511"/>
      <c r="AY595" s="511"/>
      <c r="AZ595" s="511"/>
      <c r="BA595" s="511"/>
      <c r="BB595" s="511"/>
      <c r="BC595" s="511"/>
      <c r="BD595" s="511"/>
      <c r="BE595" s="511"/>
    </row>
    <row r="596" ht="15.75" customHeight="1">
      <c r="A596" s="511"/>
      <c r="B596" s="511"/>
      <c r="C596" s="511"/>
      <c r="D596" s="511"/>
      <c r="E596" s="511"/>
      <c r="F596" s="511"/>
      <c r="G596" s="511"/>
      <c r="H596" s="511"/>
      <c r="I596" s="511"/>
      <c r="J596" s="511"/>
      <c r="K596" s="511"/>
      <c r="L596" s="511"/>
      <c r="M596" s="511"/>
      <c r="N596" s="511"/>
      <c r="O596" s="511"/>
      <c r="P596" s="511"/>
      <c r="Q596" s="511"/>
      <c r="R596" s="511"/>
      <c r="S596" s="511"/>
      <c r="T596" s="511"/>
      <c r="U596" s="511"/>
      <c r="V596" s="511"/>
      <c r="W596" s="511"/>
      <c r="X596" s="511"/>
      <c r="Y596" s="511"/>
      <c r="Z596" s="511"/>
      <c r="AA596" s="511"/>
      <c r="AB596" s="511"/>
      <c r="AC596" s="511"/>
      <c r="AD596" s="511"/>
      <c r="AE596" s="511"/>
      <c r="AF596" s="511"/>
      <c r="AG596" s="511"/>
      <c r="AH596" s="511"/>
      <c r="AI596" s="511"/>
      <c r="AJ596" s="511"/>
      <c r="AK596" s="511"/>
      <c r="AL596" s="511"/>
      <c r="AM596" s="511"/>
      <c r="AN596" s="511"/>
      <c r="AO596" s="511"/>
      <c r="AP596" s="511"/>
      <c r="AQ596" s="511"/>
      <c r="AR596" s="511"/>
      <c r="AS596" s="511"/>
      <c r="AT596" s="511"/>
      <c r="AU596" s="511"/>
      <c r="AV596" s="511"/>
      <c r="AW596" s="511"/>
      <c r="AX596" s="511"/>
      <c r="AY596" s="511"/>
      <c r="AZ596" s="511"/>
      <c r="BA596" s="511"/>
      <c r="BB596" s="511"/>
      <c r="BC596" s="511"/>
      <c r="BD596" s="511"/>
      <c r="BE596" s="511"/>
    </row>
    <row r="597" ht="15.75" customHeight="1">
      <c r="A597" s="511"/>
      <c r="B597" s="511"/>
      <c r="C597" s="511"/>
      <c r="D597" s="511"/>
      <c r="E597" s="511"/>
      <c r="F597" s="511"/>
      <c r="G597" s="511"/>
      <c r="H597" s="511"/>
      <c r="I597" s="511"/>
      <c r="J597" s="511"/>
      <c r="K597" s="511"/>
      <c r="L597" s="511"/>
      <c r="M597" s="511"/>
      <c r="N597" s="511"/>
      <c r="O597" s="511"/>
      <c r="P597" s="511"/>
      <c r="Q597" s="511"/>
      <c r="R597" s="511"/>
      <c r="S597" s="511"/>
      <c r="T597" s="511"/>
      <c r="U597" s="511"/>
      <c r="V597" s="511"/>
      <c r="W597" s="511"/>
      <c r="X597" s="511"/>
      <c r="Y597" s="511"/>
      <c r="Z597" s="511"/>
      <c r="AA597" s="511"/>
      <c r="AB597" s="511"/>
      <c r="AC597" s="511"/>
      <c r="AD597" s="511"/>
      <c r="AE597" s="511"/>
      <c r="AF597" s="511"/>
      <c r="AG597" s="511"/>
      <c r="AH597" s="511"/>
      <c r="AI597" s="511"/>
      <c r="AJ597" s="511"/>
      <c r="AK597" s="511"/>
      <c r="AL597" s="511"/>
      <c r="AM597" s="511"/>
      <c r="AN597" s="511"/>
      <c r="AO597" s="511"/>
      <c r="AP597" s="511"/>
      <c r="AQ597" s="511"/>
      <c r="AR597" s="511"/>
      <c r="AS597" s="511"/>
      <c r="AT597" s="511"/>
      <c r="AU597" s="511"/>
      <c r="AV597" s="511"/>
      <c r="AW597" s="511"/>
      <c r="AX597" s="511"/>
      <c r="AY597" s="511"/>
      <c r="AZ597" s="511"/>
      <c r="BA597" s="511"/>
      <c r="BB597" s="511"/>
      <c r="BC597" s="511"/>
      <c r="BD597" s="511"/>
      <c r="BE597" s="511"/>
    </row>
    <row r="598" ht="15.75" customHeight="1">
      <c r="A598" s="511"/>
      <c r="B598" s="511"/>
      <c r="C598" s="511"/>
      <c r="D598" s="511"/>
      <c r="E598" s="511"/>
      <c r="F598" s="511"/>
      <c r="G598" s="511"/>
      <c r="H598" s="511"/>
      <c r="I598" s="511"/>
      <c r="J598" s="511"/>
      <c r="K598" s="511"/>
      <c r="L598" s="511"/>
      <c r="M598" s="511"/>
      <c r="N598" s="511"/>
      <c r="O598" s="511"/>
      <c r="P598" s="511"/>
      <c r="Q598" s="511"/>
      <c r="R598" s="511"/>
      <c r="S598" s="511"/>
      <c r="T598" s="511"/>
      <c r="U598" s="511"/>
      <c r="V598" s="511"/>
      <c r="W598" s="511"/>
      <c r="X598" s="511"/>
      <c r="Y598" s="511"/>
      <c r="Z598" s="511"/>
      <c r="AA598" s="511"/>
      <c r="AB598" s="511"/>
      <c r="AC598" s="511"/>
      <c r="AD598" s="511"/>
      <c r="AE598" s="511"/>
      <c r="AF598" s="511"/>
      <c r="AG598" s="511"/>
      <c r="AH598" s="511"/>
      <c r="AI598" s="511"/>
      <c r="AJ598" s="511"/>
      <c r="AK598" s="511"/>
      <c r="AL598" s="511"/>
      <c r="AM598" s="511"/>
      <c r="AN598" s="511"/>
      <c r="AO598" s="511"/>
      <c r="AP598" s="511"/>
      <c r="AQ598" s="511"/>
      <c r="AR598" s="511"/>
      <c r="AS598" s="511"/>
      <c r="AT598" s="511"/>
      <c r="AU598" s="511"/>
      <c r="AV598" s="511"/>
      <c r="AW598" s="511"/>
      <c r="AX598" s="511"/>
      <c r="AY598" s="511"/>
      <c r="AZ598" s="511"/>
      <c r="BA598" s="511"/>
      <c r="BB598" s="511"/>
      <c r="BC598" s="511"/>
      <c r="BD598" s="511"/>
      <c r="BE598" s="511"/>
    </row>
    <row r="599" ht="15.75" customHeight="1">
      <c r="A599" s="511"/>
      <c r="B599" s="511"/>
      <c r="C599" s="511"/>
      <c r="D599" s="511"/>
      <c r="E599" s="511"/>
      <c r="F599" s="511"/>
      <c r="G599" s="511"/>
      <c r="H599" s="511"/>
      <c r="I599" s="511"/>
      <c r="J599" s="511"/>
      <c r="K599" s="511"/>
      <c r="L599" s="511"/>
      <c r="M599" s="511"/>
      <c r="N599" s="511"/>
      <c r="O599" s="511"/>
      <c r="P599" s="511"/>
      <c r="Q599" s="511"/>
      <c r="R599" s="511"/>
      <c r="S599" s="511"/>
      <c r="T599" s="511"/>
      <c r="U599" s="511"/>
      <c r="V599" s="511"/>
      <c r="W599" s="511"/>
      <c r="X599" s="511"/>
      <c r="Y599" s="511"/>
      <c r="Z599" s="511"/>
      <c r="AA599" s="511"/>
      <c r="AB599" s="511"/>
      <c r="AC599" s="511"/>
      <c r="AD599" s="511"/>
      <c r="AE599" s="511"/>
      <c r="AF599" s="511"/>
      <c r="AG599" s="511"/>
      <c r="AH599" s="511"/>
      <c r="AI599" s="511"/>
      <c r="AJ599" s="511"/>
      <c r="AK599" s="511"/>
      <c r="AL599" s="511"/>
      <c r="AM599" s="511"/>
      <c r="AN599" s="511"/>
      <c r="AO599" s="511"/>
      <c r="AP599" s="511"/>
      <c r="AQ599" s="511"/>
      <c r="AR599" s="511"/>
      <c r="AS599" s="511"/>
      <c r="AT599" s="511"/>
      <c r="AU599" s="511"/>
      <c r="AV599" s="511"/>
      <c r="AW599" s="511"/>
      <c r="AX599" s="511"/>
      <c r="AY599" s="511"/>
      <c r="AZ599" s="511"/>
      <c r="BA599" s="511"/>
      <c r="BB599" s="511"/>
      <c r="BC599" s="511"/>
      <c r="BD599" s="511"/>
      <c r="BE599" s="511"/>
    </row>
    <row r="600" ht="15.75" customHeight="1">
      <c r="A600" s="511"/>
      <c r="B600" s="511"/>
      <c r="C600" s="511"/>
      <c r="D600" s="511"/>
      <c r="E600" s="511"/>
      <c r="F600" s="511"/>
      <c r="G600" s="511"/>
      <c r="H600" s="511"/>
      <c r="I600" s="511"/>
      <c r="J600" s="511"/>
      <c r="K600" s="511"/>
      <c r="L600" s="511"/>
      <c r="M600" s="511"/>
      <c r="N600" s="511"/>
      <c r="O600" s="511"/>
      <c r="P600" s="511"/>
      <c r="Q600" s="511"/>
      <c r="R600" s="511"/>
      <c r="S600" s="511"/>
      <c r="T600" s="511"/>
      <c r="U600" s="511"/>
      <c r="V600" s="511"/>
      <c r="W600" s="511"/>
      <c r="X600" s="511"/>
      <c r="Y600" s="511"/>
      <c r="Z600" s="511"/>
      <c r="AA600" s="511"/>
      <c r="AB600" s="511"/>
      <c r="AC600" s="511"/>
      <c r="AD600" s="511"/>
      <c r="AE600" s="511"/>
      <c r="AF600" s="511"/>
      <c r="AG600" s="511"/>
      <c r="AH600" s="511"/>
      <c r="AI600" s="511"/>
      <c r="AJ600" s="511"/>
      <c r="AK600" s="511"/>
      <c r="AL600" s="511"/>
      <c r="AM600" s="511"/>
      <c r="AN600" s="511"/>
      <c r="AO600" s="511"/>
      <c r="AP600" s="511"/>
      <c r="AQ600" s="511"/>
      <c r="AR600" s="511"/>
      <c r="AS600" s="511"/>
      <c r="AT600" s="511"/>
      <c r="AU600" s="511"/>
      <c r="AV600" s="511"/>
      <c r="AW600" s="511"/>
      <c r="AX600" s="511"/>
      <c r="AY600" s="511"/>
      <c r="AZ600" s="511"/>
      <c r="BA600" s="511"/>
      <c r="BB600" s="511"/>
      <c r="BC600" s="511"/>
      <c r="BD600" s="511"/>
      <c r="BE600" s="511"/>
    </row>
    <row r="601" ht="15.75" customHeight="1">
      <c r="A601" s="511"/>
      <c r="B601" s="511"/>
      <c r="C601" s="511"/>
      <c r="D601" s="511"/>
      <c r="E601" s="511"/>
      <c r="F601" s="511"/>
      <c r="G601" s="511"/>
      <c r="H601" s="511"/>
      <c r="I601" s="511"/>
      <c r="J601" s="511"/>
      <c r="K601" s="511"/>
      <c r="L601" s="511"/>
      <c r="M601" s="511"/>
      <c r="N601" s="511"/>
      <c r="O601" s="511"/>
      <c r="P601" s="511"/>
      <c r="Q601" s="511"/>
      <c r="R601" s="511"/>
      <c r="S601" s="511"/>
      <c r="T601" s="511"/>
      <c r="U601" s="511"/>
      <c r="V601" s="511"/>
      <c r="W601" s="511"/>
      <c r="X601" s="511"/>
      <c r="Y601" s="511"/>
      <c r="Z601" s="511"/>
      <c r="AA601" s="511"/>
      <c r="AB601" s="511"/>
      <c r="AC601" s="511"/>
      <c r="AD601" s="511"/>
      <c r="AE601" s="511"/>
      <c r="AF601" s="511"/>
      <c r="AG601" s="511"/>
      <c r="AH601" s="511"/>
      <c r="AI601" s="511"/>
      <c r="AJ601" s="511"/>
      <c r="AK601" s="511"/>
      <c r="AL601" s="511"/>
      <c r="AM601" s="511"/>
      <c r="AN601" s="511"/>
      <c r="AO601" s="511"/>
      <c r="AP601" s="511"/>
      <c r="AQ601" s="511"/>
      <c r="AR601" s="511"/>
      <c r="AS601" s="511"/>
      <c r="AT601" s="511"/>
      <c r="AU601" s="511"/>
      <c r="AV601" s="511"/>
      <c r="AW601" s="511"/>
      <c r="AX601" s="511"/>
      <c r="AY601" s="511"/>
      <c r="AZ601" s="511"/>
      <c r="BA601" s="511"/>
      <c r="BB601" s="511"/>
      <c r="BC601" s="511"/>
      <c r="BD601" s="511"/>
      <c r="BE601" s="511"/>
    </row>
    <row r="602" ht="15.75" customHeight="1">
      <c r="A602" s="511"/>
      <c r="B602" s="511"/>
      <c r="C602" s="511"/>
      <c r="D602" s="511"/>
      <c r="E602" s="511"/>
      <c r="F602" s="511"/>
      <c r="G602" s="511"/>
      <c r="H602" s="511"/>
      <c r="I602" s="511"/>
      <c r="J602" s="511"/>
      <c r="K602" s="511"/>
      <c r="L602" s="511"/>
      <c r="M602" s="511"/>
      <c r="N602" s="511"/>
      <c r="O602" s="511"/>
      <c r="P602" s="511"/>
      <c r="Q602" s="511"/>
      <c r="R602" s="511"/>
      <c r="S602" s="511"/>
      <c r="T602" s="511"/>
      <c r="U602" s="511"/>
      <c r="V602" s="511"/>
      <c r="W602" s="511"/>
      <c r="X602" s="511"/>
      <c r="Y602" s="511"/>
      <c r="Z602" s="511"/>
      <c r="AA602" s="511"/>
      <c r="AB602" s="511"/>
      <c r="AC602" s="511"/>
      <c r="AD602" s="511"/>
      <c r="AE602" s="511"/>
      <c r="AF602" s="511"/>
      <c r="AG602" s="511"/>
      <c r="AH602" s="511"/>
      <c r="AI602" s="511"/>
      <c r="AJ602" s="511"/>
      <c r="AK602" s="511"/>
      <c r="AL602" s="511"/>
      <c r="AM602" s="511"/>
      <c r="AN602" s="511"/>
      <c r="AO602" s="511"/>
      <c r="AP602" s="511"/>
      <c r="AQ602" s="511"/>
      <c r="AR602" s="511"/>
      <c r="AS602" s="511"/>
      <c r="AT602" s="511"/>
      <c r="AU602" s="511"/>
      <c r="AV602" s="511"/>
      <c r="AW602" s="511"/>
      <c r="AX602" s="511"/>
      <c r="AY602" s="511"/>
      <c r="AZ602" s="511"/>
      <c r="BA602" s="511"/>
      <c r="BB602" s="511"/>
      <c r="BC602" s="511"/>
      <c r="BD602" s="511"/>
      <c r="BE602" s="511"/>
    </row>
    <row r="603" ht="15.75" customHeight="1">
      <c r="A603" s="511"/>
      <c r="B603" s="511"/>
      <c r="C603" s="511"/>
      <c r="D603" s="511"/>
      <c r="E603" s="511"/>
      <c r="F603" s="511"/>
      <c r="G603" s="511"/>
      <c r="H603" s="511"/>
      <c r="I603" s="511"/>
      <c r="J603" s="511"/>
      <c r="K603" s="511"/>
      <c r="L603" s="511"/>
      <c r="M603" s="511"/>
      <c r="N603" s="511"/>
      <c r="O603" s="511"/>
      <c r="P603" s="511"/>
      <c r="Q603" s="511"/>
      <c r="R603" s="511"/>
      <c r="S603" s="511"/>
      <c r="T603" s="511"/>
      <c r="U603" s="511"/>
      <c r="V603" s="511"/>
      <c r="W603" s="511"/>
      <c r="X603" s="511"/>
      <c r="Y603" s="511"/>
      <c r="Z603" s="511"/>
      <c r="AA603" s="511"/>
      <c r="AB603" s="511"/>
      <c r="AC603" s="511"/>
      <c r="AD603" s="511"/>
      <c r="AE603" s="511"/>
      <c r="AF603" s="511"/>
      <c r="AG603" s="511"/>
      <c r="AH603" s="511"/>
      <c r="AI603" s="511"/>
      <c r="AJ603" s="511"/>
      <c r="AK603" s="511"/>
      <c r="AL603" s="511"/>
      <c r="AM603" s="511"/>
      <c r="AN603" s="511"/>
      <c r="AO603" s="511"/>
      <c r="AP603" s="511"/>
      <c r="AQ603" s="511"/>
      <c r="AR603" s="511"/>
      <c r="AS603" s="511"/>
      <c r="AT603" s="511"/>
      <c r="AU603" s="511"/>
      <c r="AV603" s="511"/>
      <c r="AW603" s="511"/>
      <c r="AX603" s="511"/>
      <c r="AY603" s="511"/>
      <c r="AZ603" s="511"/>
      <c r="BA603" s="511"/>
      <c r="BB603" s="511"/>
      <c r="BC603" s="511"/>
      <c r="BD603" s="511"/>
      <c r="BE603" s="511"/>
    </row>
    <row r="604" ht="15.75" customHeight="1">
      <c r="A604" s="511"/>
      <c r="B604" s="511"/>
      <c r="C604" s="511"/>
      <c r="D604" s="511"/>
      <c r="E604" s="511"/>
      <c r="F604" s="511"/>
      <c r="G604" s="511"/>
      <c r="H604" s="511"/>
      <c r="I604" s="511"/>
      <c r="J604" s="511"/>
      <c r="K604" s="511"/>
      <c r="L604" s="511"/>
      <c r="M604" s="511"/>
      <c r="N604" s="511"/>
      <c r="O604" s="511"/>
      <c r="P604" s="511"/>
      <c r="Q604" s="511"/>
      <c r="R604" s="511"/>
      <c r="S604" s="511"/>
      <c r="T604" s="511"/>
      <c r="U604" s="511"/>
      <c r="V604" s="511"/>
      <c r="W604" s="511"/>
      <c r="X604" s="511"/>
      <c r="Y604" s="511"/>
      <c r="Z604" s="511"/>
      <c r="AA604" s="511"/>
      <c r="AB604" s="511"/>
      <c r="AC604" s="511"/>
      <c r="AD604" s="511"/>
      <c r="AE604" s="511"/>
      <c r="AF604" s="511"/>
      <c r="AG604" s="511"/>
      <c r="AH604" s="511"/>
      <c r="AI604" s="511"/>
      <c r="AJ604" s="511"/>
      <c r="AK604" s="511"/>
      <c r="AL604" s="511"/>
      <c r="AM604" s="511"/>
      <c r="AN604" s="511"/>
      <c r="AO604" s="511"/>
      <c r="AP604" s="511"/>
      <c r="AQ604" s="511"/>
      <c r="AR604" s="511"/>
      <c r="AS604" s="511"/>
      <c r="AT604" s="511"/>
      <c r="AU604" s="511"/>
      <c r="AV604" s="511"/>
      <c r="AW604" s="511"/>
      <c r="AX604" s="511"/>
      <c r="AY604" s="511"/>
      <c r="AZ604" s="511"/>
      <c r="BA604" s="511"/>
      <c r="BB604" s="511"/>
      <c r="BC604" s="511"/>
      <c r="BD604" s="511"/>
      <c r="BE604" s="511"/>
    </row>
    <row r="605" ht="15.75" customHeight="1">
      <c r="A605" s="511"/>
      <c r="B605" s="511"/>
      <c r="C605" s="511"/>
      <c r="D605" s="511"/>
      <c r="E605" s="511"/>
      <c r="F605" s="511"/>
      <c r="G605" s="511"/>
      <c r="H605" s="511"/>
      <c r="I605" s="511"/>
      <c r="J605" s="511"/>
      <c r="K605" s="511"/>
      <c r="L605" s="511"/>
      <c r="M605" s="511"/>
      <c r="N605" s="511"/>
      <c r="O605" s="511"/>
      <c r="P605" s="511"/>
      <c r="Q605" s="511"/>
      <c r="R605" s="511"/>
      <c r="S605" s="511"/>
      <c r="T605" s="511"/>
      <c r="U605" s="511"/>
      <c r="V605" s="511"/>
      <c r="W605" s="511"/>
      <c r="X605" s="511"/>
      <c r="Y605" s="511"/>
      <c r="Z605" s="511"/>
      <c r="AA605" s="511"/>
      <c r="AB605" s="511"/>
      <c r="AC605" s="511"/>
      <c r="AD605" s="511"/>
      <c r="AE605" s="511"/>
      <c r="AF605" s="511"/>
      <c r="AG605" s="511"/>
      <c r="AH605" s="511"/>
      <c r="AI605" s="511"/>
      <c r="AJ605" s="511"/>
      <c r="AK605" s="511"/>
      <c r="AL605" s="511"/>
      <c r="AM605" s="511"/>
      <c r="AN605" s="511"/>
      <c r="AO605" s="511"/>
      <c r="AP605" s="511"/>
      <c r="AQ605" s="511"/>
      <c r="AR605" s="511"/>
      <c r="AS605" s="511"/>
      <c r="AT605" s="511"/>
      <c r="AU605" s="511"/>
      <c r="AV605" s="511"/>
      <c r="AW605" s="511"/>
      <c r="AX605" s="511"/>
      <c r="AY605" s="511"/>
      <c r="AZ605" s="511"/>
      <c r="BA605" s="511"/>
      <c r="BB605" s="511"/>
      <c r="BC605" s="511"/>
      <c r="BD605" s="511"/>
      <c r="BE605" s="511"/>
    </row>
    <row r="606" ht="15.75" customHeight="1">
      <c r="A606" s="511"/>
      <c r="B606" s="511"/>
      <c r="C606" s="511"/>
      <c r="D606" s="511"/>
      <c r="E606" s="511"/>
      <c r="F606" s="511"/>
      <c r="G606" s="511"/>
      <c r="H606" s="511"/>
      <c r="I606" s="511"/>
      <c r="J606" s="511"/>
      <c r="K606" s="511"/>
      <c r="L606" s="511"/>
      <c r="M606" s="511"/>
      <c r="N606" s="511"/>
      <c r="O606" s="511"/>
      <c r="P606" s="511"/>
      <c r="Q606" s="511"/>
      <c r="R606" s="511"/>
      <c r="S606" s="511"/>
      <c r="T606" s="511"/>
      <c r="U606" s="511"/>
      <c r="V606" s="511"/>
      <c r="W606" s="511"/>
      <c r="X606" s="511"/>
      <c r="Y606" s="511"/>
      <c r="Z606" s="511"/>
      <c r="AA606" s="511"/>
      <c r="AB606" s="511"/>
      <c r="AC606" s="511"/>
      <c r="AD606" s="511"/>
      <c r="AE606" s="511"/>
      <c r="AF606" s="511"/>
      <c r="AG606" s="511"/>
      <c r="AH606" s="511"/>
      <c r="AI606" s="511"/>
      <c r="AJ606" s="511"/>
      <c r="AK606" s="511"/>
      <c r="AL606" s="511"/>
      <c r="AM606" s="511"/>
      <c r="AN606" s="511"/>
      <c r="AO606" s="511"/>
      <c r="AP606" s="511"/>
      <c r="AQ606" s="511"/>
      <c r="AR606" s="511"/>
      <c r="AS606" s="511"/>
      <c r="AT606" s="511"/>
      <c r="AU606" s="511"/>
      <c r="AV606" s="511"/>
      <c r="AW606" s="511"/>
      <c r="AX606" s="511"/>
      <c r="AY606" s="511"/>
      <c r="AZ606" s="511"/>
      <c r="BA606" s="511"/>
      <c r="BB606" s="511"/>
      <c r="BC606" s="511"/>
      <c r="BD606" s="511"/>
      <c r="BE606" s="511"/>
    </row>
    <row r="607" ht="15.75" customHeight="1">
      <c r="A607" s="511"/>
      <c r="B607" s="511"/>
      <c r="C607" s="511"/>
      <c r="D607" s="511"/>
      <c r="E607" s="511"/>
      <c r="F607" s="511"/>
      <c r="G607" s="511"/>
      <c r="H607" s="511"/>
      <c r="I607" s="511"/>
      <c r="J607" s="511"/>
      <c r="K607" s="511"/>
      <c r="L607" s="511"/>
      <c r="M607" s="511"/>
      <c r="N607" s="511"/>
      <c r="O607" s="511"/>
      <c r="P607" s="511"/>
      <c r="Q607" s="511"/>
      <c r="R607" s="511"/>
      <c r="S607" s="511"/>
      <c r="T607" s="511"/>
      <c r="U607" s="511"/>
      <c r="V607" s="511"/>
      <c r="W607" s="511"/>
      <c r="X607" s="511"/>
      <c r="Y607" s="511"/>
      <c r="Z607" s="511"/>
      <c r="AA607" s="511"/>
      <c r="AB607" s="511"/>
      <c r="AC607" s="511"/>
      <c r="AD607" s="511"/>
      <c r="AE607" s="511"/>
      <c r="AF607" s="511"/>
      <c r="AG607" s="511"/>
      <c r="AH607" s="511"/>
      <c r="AI607" s="511"/>
      <c r="AJ607" s="511"/>
      <c r="AK607" s="511"/>
      <c r="AL607" s="511"/>
      <c r="AM607" s="511"/>
      <c r="AN607" s="511"/>
      <c r="AO607" s="511"/>
      <c r="AP607" s="511"/>
      <c r="AQ607" s="511"/>
      <c r="AR607" s="511"/>
      <c r="AS607" s="511"/>
      <c r="AT607" s="511"/>
      <c r="AU607" s="511"/>
      <c r="AV607" s="511"/>
      <c r="AW607" s="511"/>
      <c r="AX607" s="511"/>
      <c r="AY607" s="511"/>
      <c r="AZ607" s="511"/>
      <c r="BA607" s="511"/>
      <c r="BB607" s="511"/>
      <c r="BC607" s="511"/>
      <c r="BD607" s="511"/>
      <c r="BE607" s="511"/>
    </row>
    <row r="608" ht="15.75" customHeight="1">
      <c r="A608" s="511"/>
      <c r="B608" s="511"/>
      <c r="C608" s="511"/>
      <c r="D608" s="511"/>
      <c r="E608" s="511"/>
      <c r="F608" s="511"/>
      <c r="G608" s="511"/>
      <c r="H608" s="511"/>
      <c r="I608" s="511"/>
      <c r="J608" s="511"/>
      <c r="K608" s="511"/>
      <c r="L608" s="511"/>
      <c r="M608" s="511"/>
      <c r="N608" s="511"/>
      <c r="O608" s="511"/>
      <c r="P608" s="511"/>
      <c r="Q608" s="511"/>
      <c r="R608" s="511"/>
      <c r="S608" s="511"/>
      <c r="T608" s="511"/>
      <c r="U608" s="511"/>
      <c r="V608" s="511"/>
      <c r="W608" s="511"/>
      <c r="X608" s="511"/>
      <c r="Y608" s="511"/>
      <c r="Z608" s="511"/>
      <c r="AA608" s="511"/>
      <c r="AB608" s="511"/>
      <c r="AC608" s="511"/>
      <c r="AD608" s="511"/>
      <c r="AE608" s="511"/>
      <c r="AF608" s="511"/>
      <c r="AG608" s="511"/>
      <c r="AH608" s="511"/>
      <c r="AI608" s="511"/>
      <c r="AJ608" s="511"/>
      <c r="AK608" s="511"/>
      <c r="AL608" s="511"/>
      <c r="AM608" s="511"/>
      <c r="AN608" s="511"/>
      <c r="AO608" s="511"/>
      <c r="AP608" s="511"/>
      <c r="AQ608" s="511"/>
      <c r="AR608" s="511"/>
      <c r="AS608" s="511"/>
      <c r="AT608" s="511"/>
      <c r="AU608" s="511"/>
      <c r="AV608" s="511"/>
      <c r="AW608" s="511"/>
      <c r="AX608" s="511"/>
      <c r="AY608" s="511"/>
      <c r="AZ608" s="511"/>
      <c r="BA608" s="511"/>
      <c r="BB608" s="511"/>
      <c r="BC608" s="511"/>
      <c r="BD608" s="511"/>
      <c r="BE608" s="511"/>
    </row>
    <row r="609" ht="15.75" customHeight="1">
      <c r="A609" s="511"/>
      <c r="B609" s="511"/>
      <c r="C609" s="511"/>
      <c r="D609" s="511"/>
      <c r="E609" s="511"/>
      <c r="F609" s="511"/>
      <c r="G609" s="511"/>
      <c r="H609" s="511"/>
      <c r="I609" s="511"/>
      <c r="J609" s="511"/>
      <c r="K609" s="511"/>
      <c r="L609" s="511"/>
      <c r="M609" s="511"/>
      <c r="N609" s="511"/>
      <c r="O609" s="511"/>
      <c r="P609" s="511"/>
      <c r="Q609" s="511"/>
      <c r="R609" s="511"/>
      <c r="S609" s="511"/>
      <c r="T609" s="511"/>
      <c r="U609" s="511"/>
      <c r="V609" s="511"/>
      <c r="W609" s="511"/>
      <c r="X609" s="511"/>
      <c r="Y609" s="511"/>
      <c r="Z609" s="511"/>
      <c r="AA609" s="511"/>
      <c r="AB609" s="511"/>
      <c r="AC609" s="511"/>
      <c r="AD609" s="511"/>
      <c r="AE609" s="511"/>
      <c r="AF609" s="511"/>
      <c r="AG609" s="511"/>
      <c r="AH609" s="511"/>
      <c r="AI609" s="511"/>
      <c r="AJ609" s="511"/>
      <c r="AK609" s="511"/>
      <c r="AL609" s="511"/>
      <c r="AM609" s="511"/>
      <c r="AN609" s="511"/>
      <c r="AO609" s="511"/>
      <c r="AP609" s="511"/>
      <c r="AQ609" s="511"/>
      <c r="AR609" s="511"/>
      <c r="AS609" s="511"/>
      <c r="AT609" s="511"/>
      <c r="AU609" s="511"/>
      <c r="AV609" s="511"/>
      <c r="AW609" s="511"/>
      <c r="AX609" s="511"/>
      <c r="AY609" s="511"/>
      <c r="AZ609" s="511"/>
      <c r="BA609" s="511"/>
      <c r="BB609" s="511"/>
      <c r="BC609" s="511"/>
      <c r="BD609" s="511"/>
      <c r="BE609" s="511"/>
    </row>
    <row r="610" ht="15.75" customHeight="1">
      <c r="A610" s="511"/>
      <c r="B610" s="511"/>
      <c r="C610" s="511"/>
      <c r="D610" s="511"/>
      <c r="E610" s="511"/>
      <c r="F610" s="511"/>
      <c r="G610" s="511"/>
      <c r="H610" s="511"/>
      <c r="I610" s="511"/>
      <c r="J610" s="511"/>
      <c r="K610" s="511"/>
      <c r="L610" s="511"/>
      <c r="M610" s="511"/>
      <c r="N610" s="511"/>
      <c r="O610" s="511"/>
      <c r="P610" s="511"/>
      <c r="Q610" s="511"/>
      <c r="R610" s="511"/>
      <c r="S610" s="511"/>
      <c r="T610" s="511"/>
      <c r="U610" s="511"/>
      <c r="V610" s="511"/>
      <c r="W610" s="511"/>
      <c r="X610" s="511"/>
      <c r="Y610" s="511"/>
      <c r="Z610" s="511"/>
      <c r="AA610" s="511"/>
      <c r="AB610" s="511"/>
      <c r="AC610" s="511"/>
      <c r="AD610" s="511"/>
      <c r="AE610" s="511"/>
      <c r="AF610" s="511"/>
      <c r="AG610" s="511"/>
      <c r="AH610" s="511"/>
      <c r="AI610" s="511"/>
      <c r="AJ610" s="511"/>
      <c r="AK610" s="511"/>
      <c r="AL610" s="511"/>
      <c r="AM610" s="511"/>
      <c r="AN610" s="511"/>
      <c r="AO610" s="511"/>
      <c r="AP610" s="511"/>
      <c r="AQ610" s="511"/>
      <c r="AR610" s="511"/>
      <c r="AS610" s="511"/>
      <c r="AT610" s="511"/>
      <c r="AU610" s="511"/>
      <c r="AV610" s="511"/>
      <c r="AW610" s="511"/>
      <c r="AX610" s="511"/>
      <c r="AY610" s="511"/>
      <c r="AZ610" s="511"/>
      <c r="BA610" s="511"/>
      <c r="BB610" s="511"/>
      <c r="BC610" s="511"/>
      <c r="BD610" s="511"/>
      <c r="BE610" s="511"/>
    </row>
    <row r="611" ht="15.75" customHeight="1">
      <c r="A611" s="511"/>
      <c r="B611" s="511"/>
      <c r="C611" s="511"/>
      <c r="D611" s="511"/>
      <c r="E611" s="511"/>
      <c r="F611" s="511"/>
      <c r="G611" s="511"/>
      <c r="H611" s="511"/>
      <c r="I611" s="511"/>
      <c r="J611" s="511"/>
      <c r="K611" s="511"/>
      <c r="L611" s="511"/>
      <c r="M611" s="511"/>
      <c r="N611" s="511"/>
      <c r="O611" s="511"/>
      <c r="P611" s="511"/>
      <c r="Q611" s="511"/>
      <c r="R611" s="511"/>
      <c r="S611" s="511"/>
      <c r="T611" s="511"/>
      <c r="U611" s="511"/>
      <c r="V611" s="511"/>
      <c r="W611" s="511"/>
      <c r="X611" s="511"/>
      <c r="Y611" s="511"/>
      <c r="Z611" s="511"/>
      <c r="AA611" s="511"/>
      <c r="AB611" s="511"/>
      <c r="AC611" s="511"/>
      <c r="AD611" s="511"/>
      <c r="AE611" s="511"/>
      <c r="AF611" s="511"/>
      <c r="AG611" s="511"/>
      <c r="AH611" s="511"/>
      <c r="AI611" s="511"/>
      <c r="AJ611" s="511"/>
      <c r="AK611" s="511"/>
      <c r="AL611" s="511"/>
      <c r="AM611" s="511"/>
      <c r="AN611" s="511"/>
      <c r="AO611" s="511"/>
      <c r="AP611" s="511"/>
      <c r="AQ611" s="511"/>
      <c r="AR611" s="511"/>
      <c r="AS611" s="511"/>
      <c r="AT611" s="511"/>
      <c r="AU611" s="511"/>
      <c r="AV611" s="511"/>
      <c r="AW611" s="511"/>
      <c r="AX611" s="511"/>
      <c r="AY611" s="511"/>
      <c r="AZ611" s="511"/>
      <c r="BA611" s="511"/>
      <c r="BB611" s="511"/>
      <c r="BC611" s="511"/>
      <c r="BD611" s="511"/>
      <c r="BE611" s="511"/>
    </row>
    <row r="612" ht="15.75" customHeight="1">
      <c r="A612" s="511"/>
      <c r="B612" s="511"/>
      <c r="C612" s="511"/>
      <c r="D612" s="511"/>
      <c r="E612" s="511"/>
      <c r="F612" s="511"/>
      <c r="G612" s="511"/>
      <c r="H612" s="511"/>
      <c r="I612" s="511"/>
      <c r="J612" s="511"/>
      <c r="K612" s="511"/>
      <c r="L612" s="511"/>
      <c r="M612" s="511"/>
      <c r="N612" s="511"/>
      <c r="O612" s="511"/>
      <c r="P612" s="511"/>
      <c r="Q612" s="511"/>
      <c r="R612" s="511"/>
      <c r="S612" s="511"/>
      <c r="T612" s="511"/>
      <c r="U612" s="511"/>
      <c r="V612" s="511"/>
      <c r="W612" s="511"/>
      <c r="X612" s="511"/>
      <c r="Y612" s="511"/>
      <c r="Z612" s="511"/>
      <c r="AA612" s="511"/>
      <c r="AB612" s="511"/>
      <c r="AC612" s="511"/>
      <c r="AD612" s="511"/>
      <c r="AE612" s="511"/>
      <c r="AF612" s="511"/>
      <c r="AG612" s="511"/>
      <c r="AH612" s="511"/>
      <c r="AI612" s="511"/>
      <c r="AJ612" s="511"/>
      <c r="AK612" s="511"/>
      <c r="AL612" s="511"/>
      <c r="AM612" s="511"/>
      <c r="AN612" s="511"/>
      <c r="AO612" s="511"/>
      <c r="AP612" s="511"/>
      <c r="AQ612" s="511"/>
      <c r="AR612" s="511"/>
      <c r="AS612" s="511"/>
      <c r="AT612" s="511"/>
      <c r="AU612" s="511"/>
      <c r="AV612" s="511"/>
      <c r="AW612" s="511"/>
      <c r="AX612" s="511"/>
      <c r="AY612" s="511"/>
      <c r="AZ612" s="511"/>
      <c r="BA612" s="511"/>
      <c r="BB612" s="511"/>
      <c r="BC612" s="511"/>
      <c r="BD612" s="511"/>
      <c r="BE612" s="511"/>
    </row>
    <row r="613" ht="15.75" customHeight="1">
      <c r="A613" s="511"/>
      <c r="B613" s="511"/>
      <c r="C613" s="511"/>
      <c r="D613" s="511"/>
      <c r="E613" s="511"/>
      <c r="F613" s="511"/>
      <c r="G613" s="511"/>
      <c r="H613" s="511"/>
      <c r="I613" s="511"/>
      <c r="J613" s="511"/>
      <c r="K613" s="511"/>
      <c r="L613" s="511"/>
      <c r="M613" s="511"/>
      <c r="N613" s="511"/>
      <c r="O613" s="511"/>
      <c r="P613" s="511"/>
      <c r="Q613" s="511"/>
      <c r="R613" s="511"/>
      <c r="S613" s="511"/>
      <c r="T613" s="511"/>
      <c r="U613" s="511"/>
      <c r="V613" s="511"/>
      <c r="W613" s="511"/>
      <c r="X613" s="511"/>
      <c r="Y613" s="511"/>
      <c r="Z613" s="511"/>
      <c r="AA613" s="511"/>
      <c r="AB613" s="511"/>
      <c r="AC613" s="511"/>
      <c r="AD613" s="511"/>
      <c r="AE613" s="511"/>
      <c r="AF613" s="511"/>
      <c r="AG613" s="511"/>
      <c r="AH613" s="511"/>
      <c r="AI613" s="511"/>
      <c r="AJ613" s="511"/>
      <c r="AK613" s="511"/>
      <c r="AL613" s="511"/>
      <c r="AM613" s="511"/>
      <c r="AN613" s="511"/>
      <c r="AO613" s="511"/>
      <c r="AP613" s="511"/>
      <c r="AQ613" s="511"/>
      <c r="AR613" s="511"/>
      <c r="AS613" s="511"/>
      <c r="AT613" s="511"/>
      <c r="AU613" s="511"/>
      <c r="AV613" s="511"/>
      <c r="AW613" s="511"/>
      <c r="AX613" s="511"/>
      <c r="AY613" s="511"/>
      <c r="AZ613" s="511"/>
      <c r="BA613" s="511"/>
      <c r="BB613" s="511"/>
      <c r="BC613" s="511"/>
      <c r="BD613" s="511"/>
      <c r="BE613" s="511"/>
    </row>
    <row r="614" ht="15.75" customHeight="1">
      <c r="A614" s="511"/>
      <c r="B614" s="511"/>
      <c r="C614" s="511"/>
      <c r="D614" s="511"/>
      <c r="E614" s="511"/>
      <c r="F614" s="511"/>
      <c r="G614" s="511"/>
      <c r="H614" s="511"/>
      <c r="I614" s="511"/>
      <c r="J614" s="511"/>
      <c r="K614" s="511"/>
      <c r="L614" s="511"/>
      <c r="M614" s="511"/>
      <c r="N614" s="511"/>
      <c r="O614" s="511"/>
      <c r="P614" s="511"/>
      <c r="Q614" s="511"/>
      <c r="R614" s="511"/>
      <c r="S614" s="511"/>
      <c r="T614" s="511"/>
      <c r="U614" s="511"/>
      <c r="V614" s="511"/>
      <c r="W614" s="511"/>
      <c r="X614" s="511"/>
      <c r="Y614" s="511"/>
      <c r="Z614" s="511"/>
      <c r="AA614" s="511"/>
      <c r="AB614" s="511"/>
      <c r="AC614" s="511"/>
      <c r="AD614" s="511"/>
      <c r="AE614" s="511"/>
      <c r="AF614" s="511"/>
      <c r="AG614" s="511"/>
      <c r="AH614" s="511"/>
      <c r="AI614" s="511"/>
      <c r="AJ614" s="511"/>
      <c r="AK614" s="511"/>
      <c r="AL614" s="511"/>
      <c r="AM614" s="511"/>
      <c r="AN614" s="511"/>
      <c r="AO614" s="511"/>
      <c r="AP614" s="511"/>
      <c r="AQ614" s="511"/>
      <c r="AR614" s="511"/>
      <c r="AS614" s="511"/>
      <c r="AT614" s="511"/>
      <c r="AU614" s="511"/>
      <c r="AV614" s="511"/>
      <c r="AW614" s="511"/>
      <c r="AX614" s="511"/>
      <c r="AY614" s="511"/>
      <c r="AZ614" s="511"/>
      <c r="BA614" s="511"/>
      <c r="BB614" s="511"/>
      <c r="BC614" s="511"/>
      <c r="BD614" s="511"/>
      <c r="BE614" s="511"/>
    </row>
    <row r="615" ht="15.75" customHeight="1">
      <c r="A615" s="511"/>
      <c r="B615" s="511"/>
      <c r="C615" s="511"/>
      <c r="D615" s="511"/>
      <c r="E615" s="511"/>
      <c r="F615" s="511"/>
      <c r="G615" s="511"/>
      <c r="H615" s="511"/>
      <c r="I615" s="511"/>
      <c r="J615" s="511"/>
      <c r="K615" s="511"/>
      <c r="L615" s="511"/>
      <c r="M615" s="511"/>
      <c r="N615" s="511"/>
      <c r="O615" s="511"/>
      <c r="P615" s="511"/>
      <c r="Q615" s="511"/>
      <c r="R615" s="511"/>
      <c r="S615" s="511"/>
      <c r="T615" s="511"/>
      <c r="U615" s="511"/>
      <c r="V615" s="511"/>
      <c r="W615" s="511"/>
      <c r="X615" s="511"/>
      <c r="Y615" s="511"/>
      <c r="Z615" s="511"/>
      <c r="AA615" s="511"/>
      <c r="AB615" s="511"/>
      <c r="AC615" s="511"/>
      <c r="AD615" s="511"/>
      <c r="AE615" s="511"/>
      <c r="AF615" s="511"/>
      <c r="AG615" s="511"/>
      <c r="AH615" s="511"/>
      <c r="AI615" s="511"/>
      <c r="AJ615" s="511"/>
      <c r="AK615" s="511"/>
      <c r="AL615" s="511"/>
      <c r="AM615" s="511"/>
      <c r="AN615" s="511"/>
      <c r="AO615" s="511"/>
      <c r="AP615" s="511"/>
      <c r="AQ615" s="511"/>
      <c r="AR615" s="511"/>
      <c r="AS615" s="511"/>
      <c r="AT615" s="511"/>
      <c r="AU615" s="511"/>
      <c r="AV615" s="511"/>
      <c r="AW615" s="511"/>
      <c r="AX615" s="511"/>
      <c r="AY615" s="511"/>
      <c r="AZ615" s="511"/>
      <c r="BA615" s="511"/>
      <c r="BB615" s="511"/>
      <c r="BC615" s="511"/>
      <c r="BD615" s="511"/>
      <c r="BE615" s="511"/>
    </row>
    <row r="616" ht="15.75" customHeight="1">
      <c r="A616" s="511"/>
      <c r="B616" s="511"/>
      <c r="C616" s="511"/>
      <c r="D616" s="511"/>
      <c r="E616" s="511"/>
      <c r="F616" s="511"/>
      <c r="G616" s="511"/>
      <c r="H616" s="511"/>
      <c r="I616" s="511"/>
      <c r="J616" s="511"/>
      <c r="K616" s="511"/>
      <c r="L616" s="511"/>
      <c r="M616" s="511"/>
      <c r="N616" s="511"/>
      <c r="O616" s="511"/>
      <c r="P616" s="511"/>
      <c r="Q616" s="511"/>
      <c r="R616" s="511"/>
      <c r="S616" s="511"/>
      <c r="T616" s="511"/>
      <c r="U616" s="511"/>
      <c r="V616" s="511"/>
      <c r="W616" s="511"/>
      <c r="X616" s="511"/>
      <c r="Y616" s="511"/>
      <c r="Z616" s="511"/>
      <c r="AA616" s="511"/>
      <c r="AB616" s="511"/>
      <c r="AC616" s="511"/>
      <c r="AD616" s="511"/>
      <c r="AE616" s="511"/>
      <c r="AF616" s="511"/>
      <c r="AG616" s="511"/>
      <c r="AH616" s="511"/>
      <c r="AI616" s="511"/>
      <c r="AJ616" s="511"/>
      <c r="AK616" s="511"/>
      <c r="AL616" s="511"/>
      <c r="AM616" s="511"/>
      <c r="AN616" s="511"/>
      <c r="AO616" s="511"/>
      <c r="AP616" s="511"/>
      <c r="AQ616" s="511"/>
      <c r="AR616" s="511"/>
      <c r="AS616" s="511"/>
      <c r="AT616" s="511"/>
      <c r="AU616" s="511"/>
      <c r="AV616" s="511"/>
      <c r="AW616" s="511"/>
      <c r="AX616" s="511"/>
      <c r="AY616" s="511"/>
      <c r="AZ616" s="511"/>
      <c r="BA616" s="511"/>
      <c r="BB616" s="511"/>
      <c r="BC616" s="511"/>
      <c r="BD616" s="511"/>
      <c r="BE616" s="511"/>
    </row>
    <row r="617" ht="15.75" customHeight="1">
      <c r="A617" s="511"/>
      <c r="B617" s="511"/>
      <c r="C617" s="511"/>
      <c r="D617" s="511"/>
      <c r="E617" s="511"/>
      <c r="F617" s="511"/>
      <c r="G617" s="511"/>
      <c r="H617" s="511"/>
      <c r="I617" s="511"/>
      <c r="J617" s="511"/>
      <c r="K617" s="511"/>
      <c r="L617" s="511"/>
      <c r="M617" s="511"/>
      <c r="N617" s="511"/>
      <c r="O617" s="511"/>
      <c r="P617" s="511"/>
      <c r="Q617" s="511"/>
      <c r="R617" s="511"/>
      <c r="S617" s="511"/>
      <c r="T617" s="511"/>
      <c r="U617" s="511"/>
      <c r="V617" s="511"/>
      <c r="W617" s="511"/>
      <c r="X617" s="511"/>
      <c r="Y617" s="511"/>
      <c r="Z617" s="511"/>
      <c r="AA617" s="511"/>
      <c r="AB617" s="511"/>
      <c r="AC617" s="511"/>
      <c r="AD617" s="511"/>
      <c r="AE617" s="511"/>
      <c r="AF617" s="511"/>
      <c r="AG617" s="511"/>
      <c r="AH617" s="511"/>
      <c r="AI617" s="511"/>
      <c r="AJ617" s="511"/>
      <c r="AK617" s="511"/>
      <c r="AL617" s="511"/>
      <c r="AM617" s="511"/>
      <c r="AN617" s="511"/>
      <c r="AO617" s="511"/>
      <c r="AP617" s="511"/>
      <c r="AQ617" s="511"/>
      <c r="AR617" s="511"/>
      <c r="AS617" s="511"/>
      <c r="AT617" s="511"/>
      <c r="AU617" s="511"/>
      <c r="AV617" s="511"/>
      <c r="AW617" s="511"/>
      <c r="AX617" s="511"/>
      <c r="AY617" s="511"/>
      <c r="AZ617" s="511"/>
      <c r="BA617" s="511"/>
      <c r="BB617" s="511"/>
      <c r="BC617" s="511"/>
      <c r="BD617" s="511"/>
      <c r="BE617" s="511"/>
    </row>
    <row r="618" ht="15.75" customHeight="1">
      <c r="A618" s="511"/>
      <c r="B618" s="511"/>
      <c r="C618" s="511"/>
      <c r="D618" s="511"/>
      <c r="E618" s="511"/>
      <c r="F618" s="511"/>
      <c r="G618" s="511"/>
      <c r="H618" s="511"/>
      <c r="I618" s="511"/>
      <c r="J618" s="511"/>
      <c r="K618" s="511"/>
      <c r="L618" s="511"/>
      <c r="M618" s="511"/>
      <c r="N618" s="511"/>
      <c r="O618" s="511"/>
      <c r="P618" s="511"/>
      <c r="Q618" s="511"/>
      <c r="R618" s="511"/>
      <c r="S618" s="511"/>
      <c r="T618" s="511"/>
      <c r="U618" s="511"/>
      <c r="V618" s="511"/>
      <c r="W618" s="511"/>
      <c r="X618" s="511"/>
      <c r="Y618" s="511"/>
      <c r="Z618" s="511"/>
      <c r="AA618" s="511"/>
      <c r="AB618" s="511"/>
      <c r="AC618" s="511"/>
      <c r="AD618" s="511"/>
      <c r="AE618" s="511"/>
      <c r="AF618" s="511"/>
      <c r="AG618" s="511"/>
      <c r="AH618" s="511"/>
      <c r="AI618" s="511"/>
      <c r="AJ618" s="511"/>
      <c r="AK618" s="511"/>
      <c r="AL618" s="511"/>
      <c r="AM618" s="511"/>
      <c r="AN618" s="511"/>
      <c r="AO618" s="511"/>
      <c r="AP618" s="511"/>
      <c r="AQ618" s="511"/>
      <c r="AR618" s="511"/>
      <c r="AS618" s="511"/>
      <c r="AT618" s="511"/>
      <c r="AU618" s="511"/>
      <c r="AV618" s="511"/>
      <c r="AW618" s="511"/>
      <c r="AX618" s="511"/>
      <c r="AY618" s="511"/>
      <c r="AZ618" s="511"/>
      <c r="BA618" s="511"/>
      <c r="BB618" s="511"/>
      <c r="BC618" s="511"/>
      <c r="BD618" s="511"/>
      <c r="BE618" s="511"/>
    </row>
    <row r="619" ht="15.75" customHeight="1">
      <c r="A619" s="511"/>
      <c r="B619" s="511"/>
      <c r="C619" s="511"/>
      <c r="D619" s="511"/>
      <c r="E619" s="511"/>
      <c r="F619" s="511"/>
      <c r="G619" s="511"/>
      <c r="H619" s="511"/>
      <c r="I619" s="511"/>
      <c r="J619" s="511"/>
      <c r="K619" s="511"/>
      <c r="L619" s="511"/>
      <c r="M619" s="511"/>
      <c r="N619" s="511"/>
      <c r="O619" s="511"/>
      <c r="P619" s="511"/>
      <c r="Q619" s="511"/>
      <c r="R619" s="511"/>
      <c r="S619" s="511"/>
      <c r="T619" s="511"/>
      <c r="U619" s="511"/>
      <c r="V619" s="511"/>
      <c r="W619" s="511"/>
      <c r="X619" s="511"/>
      <c r="Y619" s="511"/>
      <c r="Z619" s="511"/>
      <c r="AA619" s="511"/>
      <c r="AB619" s="511"/>
      <c r="AC619" s="511"/>
      <c r="AD619" s="511"/>
      <c r="AE619" s="511"/>
      <c r="AF619" s="511"/>
      <c r="AG619" s="511"/>
      <c r="AH619" s="511"/>
      <c r="AI619" s="511"/>
      <c r="AJ619" s="511"/>
      <c r="AK619" s="511"/>
      <c r="AL619" s="511"/>
      <c r="AM619" s="511"/>
      <c r="AN619" s="511"/>
      <c r="AO619" s="511"/>
      <c r="AP619" s="511"/>
      <c r="AQ619" s="511"/>
      <c r="AR619" s="511"/>
      <c r="AS619" s="511"/>
      <c r="AT619" s="511"/>
      <c r="AU619" s="511"/>
      <c r="AV619" s="511"/>
      <c r="AW619" s="511"/>
      <c r="AX619" s="511"/>
      <c r="AY619" s="511"/>
      <c r="AZ619" s="511"/>
      <c r="BA619" s="511"/>
      <c r="BB619" s="511"/>
      <c r="BC619" s="511"/>
      <c r="BD619" s="511"/>
      <c r="BE619" s="511"/>
    </row>
    <row r="620" ht="15.75" customHeight="1">
      <c r="A620" s="511"/>
      <c r="B620" s="511"/>
      <c r="C620" s="511"/>
      <c r="D620" s="511"/>
      <c r="E620" s="511"/>
      <c r="F620" s="511"/>
      <c r="G620" s="511"/>
      <c r="H620" s="511"/>
      <c r="I620" s="511"/>
      <c r="J620" s="511"/>
      <c r="K620" s="511"/>
      <c r="L620" s="511"/>
      <c r="M620" s="511"/>
      <c r="N620" s="511"/>
      <c r="O620" s="511"/>
      <c r="P620" s="511"/>
      <c r="Q620" s="511"/>
      <c r="R620" s="511"/>
      <c r="S620" s="511"/>
      <c r="T620" s="511"/>
      <c r="U620" s="511"/>
      <c r="V620" s="511"/>
      <c r="W620" s="511"/>
      <c r="X620" s="511"/>
      <c r="Y620" s="511"/>
      <c r="Z620" s="511"/>
      <c r="AA620" s="511"/>
      <c r="AB620" s="511"/>
      <c r="AC620" s="511"/>
      <c r="AD620" s="511"/>
      <c r="AE620" s="511"/>
      <c r="AF620" s="511"/>
      <c r="AG620" s="511"/>
      <c r="AH620" s="511"/>
      <c r="AI620" s="511"/>
      <c r="AJ620" s="511"/>
      <c r="AK620" s="511"/>
      <c r="AL620" s="511"/>
      <c r="AM620" s="511"/>
      <c r="AN620" s="511"/>
      <c r="AO620" s="511"/>
      <c r="AP620" s="511"/>
      <c r="AQ620" s="511"/>
      <c r="AR620" s="511"/>
      <c r="AS620" s="511"/>
      <c r="AT620" s="511"/>
      <c r="AU620" s="511"/>
      <c r="AV620" s="511"/>
      <c r="AW620" s="511"/>
      <c r="AX620" s="511"/>
      <c r="AY620" s="511"/>
      <c r="AZ620" s="511"/>
      <c r="BA620" s="511"/>
      <c r="BB620" s="511"/>
      <c r="BC620" s="511"/>
      <c r="BD620" s="511"/>
      <c r="BE620" s="511"/>
    </row>
    <row r="621" ht="15.75" customHeight="1">
      <c r="A621" s="511"/>
      <c r="B621" s="511"/>
      <c r="C621" s="511"/>
      <c r="D621" s="511"/>
      <c r="E621" s="511"/>
      <c r="F621" s="511"/>
      <c r="G621" s="511"/>
      <c r="H621" s="511"/>
      <c r="I621" s="511"/>
      <c r="J621" s="511"/>
      <c r="K621" s="511"/>
      <c r="L621" s="511"/>
      <c r="M621" s="511"/>
      <c r="N621" s="511"/>
      <c r="O621" s="511"/>
      <c r="P621" s="511"/>
      <c r="Q621" s="511"/>
      <c r="R621" s="511"/>
      <c r="S621" s="511"/>
      <c r="T621" s="511"/>
      <c r="U621" s="511"/>
      <c r="V621" s="511"/>
      <c r="W621" s="511"/>
      <c r="X621" s="511"/>
      <c r="Y621" s="511"/>
      <c r="Z621" s="511"/>
      <c r="AA621" s="511"/>
      <c r="AB621" s="511"/>
      <c r="AC621" s="511"/>
      <c r="AD621" s="511"/>
      <c r="AE621" s="511"/>
      <c r="AF621" s="511"/>
      <c r="AG621" s="511"/>
      <c r="AH621" s="511"/>
      <c r="AI621" s="511"/>
      <c r="AJ621" s="511"/>
      <c r="AK621" s="511"/>
      <c r="AL621" s="511"/>
      <c r="AM621" s="511"/>
      <c r="AN621" s="511"/>
      <c r="AO621" s="511"/>
      <c r="AP621" s="511"/>
      <c r="AQ621" s="511"/>
      <c r="AR621" s="511"/>
      <c r="AS621" s="511"/>
      <c r="AT621" s="511"/>
      <c r="AU621" s="511"/>
      <c r="AV621" s="511"/>
      <c r="AW621" s="511"/>
      <c r="AX621" s="511"/>
      <c r="AY621" s="511"/>
      <c r="AZ621" s="511"/>
      <c r="BA621" s="511"/>
      <c r="BB621" s="511"/>
      <c r="BC621" s="511"/>
      <c r="BD621" s="511"/>
      <c r="BE621" s="511"/>
    </row>
    <row r="622" ht="15.75" customHeight="1">
      <c r="A622" s="511"/>
      <c r="B622" s="511"/>
      <c r="C622" s="511"/>
      <c r="D622" s="511"/>
      <c r="E622" s="511"/>
      <c r="F622" s="511"/>
      <c r="G622" s="511"/>
      <c r="H622" s="511"/>
      <c r="I622" s="511"/>
      <c r="J622" s="511"/>
      <c r="K622" s="511"/>
      <c r="L622" s="511"/>
      <c r="M622" s="511"/>
      <c r="N622" s="511"/>
      <c r="O622" s="511"/>
      <c r="P622" s="511"/>
      <c r="Q622" s="511"/>
      <c r="R622" s="511"/>
      <c r="S622" s="511"/>
      <c r="T622" s="511"/>
      <c r="U622" s="511"/>
      <c r="V622" s="511"/>
      <c r="W622" s="511"/>
      <c r="X622" s="511"/>
      <c r="Y622" s="511"/>
      <c r="Z622" s="511"/>
      <c r="AA622" s="511"/>
      <c r="AB622" s="511"/>
      <c r="AC622" s="511"/>
      <c r="AD622" s="511"/>
      <c r="AE622" s="511"/>
      <c r="AF622" s="511"/>
      <c r="AG622" s="511"/>
      <c r="AH622" s="511"/>
      <c r="AI622" s="511"/>
      <c r="AJ622" s="511"/>
      <c r="AK622" s="511"/>
      <c r="AL622" s="511"/>
      <c r="AM622" s="511"/>
      <c r="AN622" s="511"/>
      <c r="AO622" s="511"/>
      <c r="AP622" s="511"/>
      <c r="AQ622" s="511"/>
      <c r="AR622" s="511"/>
      <c r="AS622" s="511"/>
      <c r="AT622" s="511"/>
      <c r="AU622" s="511"/>
      <c r="AV622" s="511"/>
      <c r="AW622" s="511"/>
      <c r="AX622" s="511"/>
      <c r="AY622" s="511"/>
      <c r="AZ622" s="511"/>
      <c r="BA622" s="511"/>
      <c r="BB622" s="511"/>
      <c r="BC622" s="511"/>
      <c r="BD622" s="511"/>
      <c r="BE622" s="511"/>
    </row>
    <row r="623" ht="15.75" customHeight="1">
      <c r="A623" s="511"/>
      <c r="B623" s="511"/>
      <c r="C623" s="511"/>
      <c r="D623" s="511"/>
      <c r="E623" s="511"/>
      <c r="F623" s="511"/>
      <c r="G623" s="511"/>
      <c r="H623" s="511"/>
      <c r="I623" s="511"/>
      <c r="J623" s="511"/>
      <c r="K623" s="511"/>
      <c r="L623" s="511"/>
      <c r="M623" s="511"/>
      <c r="N623" s="511"/>
      <c r="O623" s="511"/>
      <c r="P623" s="511"/>
      <c r="Q623" s="511"/>
      <c r="R623" s="511"/>
      <c r="S623" s="511"/>
      <c r="T623" s="511"/>
      <c r="U623" s="511"/>
      <c r="V623" s="511"/>
      <c r="W623" s="511"/>
      <c r="X623" s="511"/>
      <c r="Y623" s="511"/>
      <c r="Z623" s="511"/>
      <c r="AA623" s="511"/>
      <c r="AB623" s="511"/>
      <c r="AC623" s="511"/>
      <c r="AD623" s="511"/>
      <c r="AE623" s="511"/>
      <c r="AF623" s="511"/>
      <c r="AG623" s="511"/>
      <c r="AH623" s="511"/>
      <c r="AI623" s="511"/>
      <c r="AJ623" s="511"/>
      <c r="AK623" s="511"/>
      <c r="AL623" s="511"/>
      <c r="AM623" s="511"/>
      <c r="AN623" s="511"/>
      <c r="AO623" s="511"/>
      <c r="AP623" s="511"/>
      <c r="AQ623" s="511"/>
      <c r="AR623" s="511"/>
      <c r="AS623" s="511"/>
      <c r="AT623" s="511"/>
      <c r="AU623" s="511"/>
      <c r="AV623" s="511"/>
      <c r="AW623" s="511"/>
      <c r="AX623" s="511"/>
      <c r="AY623" s="511"/>
      <c r="AZ623" s="511"/>
      <c r="BA623" s="511"/>
      <c r="BB623" s="511"/>
      <c r="BC623" s="511"/>
      <c r="BD623" s="511"/>
      <c r="BE623" s="511"/>
    </row>
    <row r="624" ht="15.75" customHeight="1">
      <c r="A624" s="511"/>
      <c r="B624" s="511"/>
      <c r="C624" s="511"/>
      <c r="D624" s="511"/>
      <c r="E624" s="511"/>
      <c r="F624" s="511"/>
      <c r="G624" s="511"/>
      <c r="H624" s="511"/>
      <c r="I624" s="511"/>
      <c r="J624" s="511"/>
      <c r="K624" s="511"/>
      <c r="L624" s="511"/>
      <c r="M624" s="511"/>
      <c r="N624" s="511"/>
      <c r="O624" s="511"/>
      <c r="P624" s="511"/>
      <c r="Q624" s="511"/>
      <c r="R624" s="511"/>
      <c r="S624" s="511"/>
      <c r="T624" s="511"/>
      <c r="U624" s="511"/>
      <c r="V624" s="511"/>
      <c r="W624" s="511"/>
      <c r="X624" s="511"/>
      <c r="Y624" s="511"/>
      <c r="Z624" s="511"/>
      <c r="AA624" s="511"/>
      <c r="AB624" s="511"/>
      <c r="AC624" s="511"/>
      <c r="AD624" s="511"/>
      <c r="AE624" s="511"/>
      <c r="AF624" s="511"/>
      <c r="AG624" s="511"/>
      <c r="AH624" s="511"/>
      <c r="AI624" s="511"/>
      <c r="AJ624" s="511"/>
      <c r="AK624" s="511"/>
      <c r="AL624" s="511"/>
      <c r="AM624" s="511"/>
      <c r="AN624" s="511"/>
      <c r="AO624" s="511"/>
      <c r="AP624" s="511"/>
      <c r="AQ624" s="511"/>
      <c r="AR624" s="511"/>
      <c r="AS624" s="511"/>
      <c r="AT624" s="511"/>
      <c r="AU624" s="511"/>
      <c r="AV624" s="511"/>
      <c r="AW624" s="511"/>
      <c r="AX624" s="511"/>
      <c r="AY624" s="511"/>
      <c r="AZ624" s="511"/>
      <c r="BA624" s="511"/>
      <c r="BB624" s="511"/>
      <c r="BC624" s="511"/>
      <c r="BD624" s="511"/>
      <c r="BE624" s="511"/>
    </row>
    <row r="625" ht="15.75" customHeight="1">
      <c r="A625" s="511"/>
      <c r="B625" s="511"/>
      <c r="C625" s="511"/>
      <c r="D625" s="511"/>
      <c r="E625" s="511"/>
      <c r="F625" s="511"/>
      <c r="G625" s="511"/>
      <c r="H625" s="511"/>
      <c r="I625" s="511"/>
      <c r="J625" s="511"/>
      <c r="K625" s="511"/>
      <c r="L625" s="511"/>
      <c r="M625" s="511"/>
      <c r="N625" s="511"/>
      <c r="O625" s="511"/>
      <c r="P625" s="511"/>
      <c r="Q625" s="511"/>
      <c r="R625" s="511"/>
      <c r="S625" s="511"/>
      <c r="T625" s="511"/>
      <c r="U625" s="511"/>
      <c r="V625" s="511"/>
      <c r="W625" s="511"/>
      <c r="X625" s="511"/>
      <c r="Y625" s="511"/>
      <c r="Z625" s="511"/>
      <c r="AA625" s="511"/>
      <c r="AB625" s="511"/>
      <c r="AC625" s="511"/>
      <c r="AD625" s="511"/>
      <c r="AE625" s="511"/>
      <c r="AF625" s="511"/>
      <c r="AG625" s="511"/>
      <c r="AH625" s="511"/>
      <c r="AI625" s="511"/>
      <c r="AJ625" s="511"/>
      <c r="AK625" s="511"/>
      <c r="AL625" s="511"/>
      <c r="AM625" s="511"/>
      <c r="AN625" s="511"/>
      <c r="AO625" s="511"/>
      <c r="AP625" s="511"/>
      <c r="AQ625" s="511"/>
      <c r="AR625" s="511"/>
      <c r="AS625" s="511"/>
      <c r="AT625" s="511"/>
      <c r="AU625" s="511"/>
      <c r="AV625" s="511"/>
      <c r="AW625" s="511"/>
      <c r="AX625" s="511"/>
      <c r="AY625" s="511"/>
      <c r="AZ625" s="511"/>
      <c r="BA625" s="511"/>
      <c r="BB625" s="511"/>
      <c r="BC625" s="511"/>
      <c r="BD625" s="511"/>
      <c r="BE625" s="511"/>
    </row>
    <row r="626" ht="15.75" customHeight="1">
      <c r="A626" s="511"/>
      <c r="B626" s="511"/>
      <c r="C626" s="511"/>
      <c r="D626" s="511"/>
      <c r="E626" s="511"/>
      <c r="F626" s="511"/>
      <c r="G626" s="511"/>
      <c r="H626" s="511"/>
      <c r="I626" s="511"/>
      <c r="J626" s="511"/>
      <c r="K626" s="511"/>
      <c r="L626" s="511"/>
      <c r="M626" s="511"/>
      <c r="N626" s="511"/>
      <c r="O626" s="511"/>
      <c r="P626" s="511"/>
      <c r="Q626" s="511"/>
      <c r="R626" s="511"/>
      <c r="S626" s="511"/>
      <c r="T626" s="511"/>
      <c r="U626" s="511"/>
      <c r="V626" s="511"/>
      <c r="W626" s="511"/>
      <c r="X626" s="511"/>
      <c r="Y626" s="511"/>
      <c r="Z626" s="511"/>
      <c r="AA626" s="511"/>
      <c r="AB626" s="511"/>
      <c r="AC626" s="511"/>
      <c r="AD626" s="511"/>
      <c r="AE626" s="511"/>
      <c r="AF626" s="511"/>
      <c r="AG626" s="511"/>
      <c r="AH626" s="511"/>
      <c r="AI626" s="511"/>
      <c r="AJ626" s="511"/>
      <c r="AK626" s="511"/>
      <c r="AL626" s="511"/>
      <c r="AM626" s="511"/>
      <c r="AN626" s="511"/>
      <c r="AO626" s="511"/>
      <c r="AP626" s="511"/>
      <c r="AQ626" s="511"/>
      <c r="AR626" s="511"/>
      <c r="AS626" s="511"/>
      <c r="AT626" s="511"/>
      <c r="AU626" s="511"/>
      <c r="AV626" s="511"/>
      <c r="AW626" s="511"/>
      <c r="AX626" s="511"/>
      <c r="AY626" s="511"/>
      <c r="AZ626" s="511"/>
      <c r="BA626" s="511"/>
      <c r="BB626" s="511"/>
      <c r="BC626" s="511"/>
      <c r="BD626" s="511"/>
      <c r="BE626" s="511"/>
    </row>
    <row r="627" ht="15.75" customHeight="1">
      <c r="A627" s="511"/>
      <c r="B627" s="511"/>
      <c r="C627" s="511"/>
      <c r="D627" s="511"/>
      <c r="E627" s="511"/>
      <c r="F627" s="511"/>
      <c r="G627" s="511"/>
      <c r="H627" s="511"/>
      <c r="I627" s="511"/>
      <c r="J627" s="511"/>
      <c r="K627" s="511"/>
      <c r="L627" s="511"/>
      <c r="M627" s="511"/>
      <c r="N627" s="511"/>
      <c r="O627" s="511"/>
      <c r="P627" s="511"/>
      <c r="Q627" s="511"/>
      <c r="R627" s="511"/>
      <c r="S627" s="511"/>
      <c r="T627" s="511"/>
      <c r="U627" s="511"/>
      <c r="V627" s="511"/>
      <c r="W627" s="511"/>
      <c r="X627" s="511"/>
      <c r="Y627" s="511"/>
      <c r="Z627" s="511"/>
      <c r="AA627" s="511"/>
      <c r="AB627" s="511"/>
      <c r="AC627" s="511"/>
      <c r="AD627" s="511"/>
      <c r="AE627" s="511"/>
      <c r="AF627" s="511"/>
      <c r="AG627" s="511"/>
      <c r="AH627" s="511"/>
      <c r="AI627" s="511"/>
      <c r="AJ627" s="511"/>
      <c r="AK627" s="511"/>
      <c r="AL627" s="511"/>
      <c r="AM627" s="511"/>
      <c r="AN627" s="511"/>
      <c r="AO627" s="511"/>
      <c r="AP627" s="511"/>
      <c r="AQ627" s="511"/>
      <c r="AR627" s="511"/>
      <c r="AS627" s="511"/>
      <c r="AT627" s="511"/>
      <c r="AU627" s="511"/>
      <c r="AV627" s="511"/>
      <c r="AW627" s="511"/>
      <c r="AX627" s="511"/>
      <c r="AY627" s="511"/>
      <c r="AZ627" s="511"/>
      <c r="BA627" s="511"/>
      <c r="BB627" s="511"/>
      <c r="BC627" s="511"/>
      <c r="BD627" s="511"/>
      <c r="BE627" s="511"/>
    </row>
    <row r="628" ht="15.75" customHeight="1">
      <c r="A628" s="511"/>
      <c r="B628" s="511"/>
      <c r="C628" s="511"/>
      <c r="D628" s="511"/>
      <c r="E628" s="511"/>
      <c r="F628" s="511"/>
      <c r="G628" s="511"/>
      <c r="H628" s="511"/>
      <c r="I628" s="511"/>
      <c r="J628" s="511"/>
      <c r="K628" s="511"/>
      <c r="L628" s="511"/>
      <c r="M628" s="511"/>
      <c r="N628" s="511"/>
      <c r="O628" s="511"/>
      <c r="P628" s="511"/>
      <c r="Q628" s="511"/>
      <c r="R628" s="511"/>
      <c r="S628" s="511"/>
      <c r="T628" s="511"/>
      <c r="U628" s="511"/>
      <c r="V628" s="511"/>
      <c r="W628" s="511"/>
      <c r="X628" s="511"/>
      <c r="Y628" s="511"/>
      <c r="Z628" s="511"/>
      <c r="AA628" s="511"/>
      <c r="AB628" s="511"/>
      <c r="AC628" s="511"/>
      <c r="AD628" s="511"/>
      <c r="AE628" s="511"/>
      <c r="AF628" s="511"/>
      <c r="AG628" s="511"/>
      <c r="AH628" s="511"/>
      <c r="AI628" s="511"/>
      <c r="AJ628" s="511"/>
      <c r="AK628" s="511"/>
      <c r="AL628" s="511"/>
      <c r="AM628" s="511"/>
      <c r="AN628" s="511"/>
      <c r="AO628" s="511"/>
      <c r="AP628" s="511"/>
      <c r="AQ628" s="511"/>
      <c r="AR628" s="511"/>
      <c r="AS628" s="511"/>
      <c r="AT628" s="511"/>
      <c r="AU628" s="511"/>
      <c r="AV628" s="511"/>
      <c r="AW628" s="511"/>
      <c r="AX628" s="511"/>
      <c r="AY628" s="511"/>
      <c r="AZ628" s="511"/>
      <c r="BA628" s="511"/>
      <c r="BB628" s="511"/>
      <c r="BC628" s="511"/>
      <c r="BD628" s="511"/>
      <c r="BE628" s="511"/>
    </row>
    <row r="629" ht="15.75" customHeight="1">
      <c r="A629" s="511"/>
      <c r="B629" s="511"/>
      <c r="C629" s="511"/>
      <c r="D629" s="511"/>
      <c r="E629" s="511"/>
      <c r="F629" s="511"/>
      <c r="G629" s="511"/>
      <c r="H629" s="511"/>
      <c r="I629" s="511"/>
      <c r="J629" s="511"/>
      <c r="K629" s="511"/>
      <c r="L629" s="511"/>
      <c r="M629" s="511"/>
      <c r="N629" s="511"/>
      <c r="O629" s="511"/>
      <c r="P629" s="511"/>
      <c r="Q629" s="511"/>
      <c r="R629" s="511"/>
      <c r="S629" s="511"/>
      <c r="T629" s="511"/>
      <c r="U629" s="511"/>
      <c r="V629" s="511"/>
      <c r="W629" s="511"/>
      <c r="X629" s="511"/>
      <c r="Y629" s="511"/>
      <c r="Z629" s="511"/>
      <c r="AA629" s="511"/>
      <c r="AB629" s="511"/>
      <c r="AC629" s="511"/>
      <c r="AD629" s="511"/>
      <c r="AE629" s="511"/>
      <c r="AF629" s="511"/>
      <c r="AG629" s="511"/>
      <c r="AH629" s="511"/>
      <c r="AI629" s="511"/>
      <c r="AJ629" s="511"/>
      <c r="AK629" s="511"/>
      <c r="AL629" s="511"/>
      <c r="AM629" s="511"/>
      <c r="AN629" s="511"/>
      <c r="AO629" s="511"/>
      <c r="AP629" s="511"/>
      <c r="AQ629" s="511"/>
      <c r="AR629" s="511"/>
      <c r="AS629" s="511"/>
      <c r="AT629" s="511"/>
      <c r="AU629" s="511"/>
      <c r="AV629" s="511"/>
      <c r="AW629" s="511"/>
      <c r="AX629" s="511"/>
      <c r="AY629" s="511"/>
      <c r="AZ629" s="511"/>
      <c r="BA629" s="511"/>
      <c r="BB629" s="511"/>
      <c r="BC629" s="511"/>
      <c r="BD629" s="511"/>
      <c r="BE629" s="511"/>
    </row>
    <row r="630" ht="15.75" customHeight="1">
      <c r="A630" s="511"/>
      <c r="B630" s="511"/>
      <c r="C630" s="511"/>
      <c r="D630" s="511"/>
      <c r="E630" s="511"/>
      <c r="F630" s="511"/>
      <c r="G630" s="511"/>
      <c r="H630" s="511"/>
      <c r="I630" s="511"/>
      <c r="J630" s="511"/>
      <c r="K630" s="511"/>
      <c r="L630" s="511"/>
      <c r="M630" s="511"/>
      <c r="N630" s="511"/>
      <c r="O630" s="511"/>
      <c r="P630" s="511"/>
      <c r="Q630" s="511"/>
      <c r="R630" s="511"/>
      <c r="S630" s="511"/>
      <c r="T630" s="511"/>
      <c r="U630" s="511"/>
      <c r="V630" s="511"/>
      <c r="W630" s="511"/>
      <c r="X630" s="511"/>
      <c r="Y630" s="511"/>
      <c r="Z630" s="511"/>
      <c r="AA630" s="511"/>
      <c r="AB630" s="511"/>
      <c r="AC630" s="511"/>
      <c r="AD630" s="511"/>
      <c r="AE630" s="511"/>
      <c r="AF630" s="511"/>
      <c r="AG630" s="511"/>
      <c r="AH630" s="511"/>
      <c r="AI630" s="511"/>
      <c r="AJ630" s="511"/>
      <c r="AK630" s="511"/>
      <c r="AL630" s="511"/>
      <c r="AM630" s="511"/>
      <c r="AN630" s="511"/>
      <c r="AO630" s="511"/>
      <c r="AP630" s="511"/>
      <c r="AQ630" s="511"/>
      <c r="AR630" s="511"/>
      <c r="AS630" s="511"/>
      <c r="AT630" s="511"/>
      <c r="AU630" s="511"/>
      <c r="AV630" s="511"/>
      <c r="AW630" s="511"/>
      <c r="AX630" s="511"/>
      <c r="AY630" s="511"/>
      <c r="AZ630" s="511"/>
      <c r="BA630" s="511"/>
      <c r="BB630" s="511"/>
      <c r="BC630" s="511"/>
      <c r="BD630" s="511"/>
      <c r="BE630" s="511"/>
    </row>
    <row r="631" ht="15.75" customHeight="1">
      <c r="A631" s="511"/>
      <c r="B631" s="511"/>
      <c r="C631" s="511"/>
      <c r="D631" s="511"/>
      <c r="E631" s="511"/>
      <c r="F631" s="511"/>
      <c r="G631" s="511"/>
      <c r="H631" s="511"/>
      <c r="I631" s="511"/>
      <c r="J631" s="511"/>
      <c r="K631" s="511"/>
      <c r="L631" s="511"/>
      <c r="M631" s="511"/>
      <c r="N631" s="511"/>
      <c r="O631" s="511"/>
      <c r="P631" s="511"/>
      <c r="Q631" s="511"/>
      <c r="R631" s="511"/>
      <c r="S631" s="511"/>
      <c r="T631" s="511"/>
      <c r="U631" s="511"/>
      <c r="V631" s="511"/>
      <c r="W631" s="511"/>
      <c r="X631" s="511"/>
      <c r="Y631" s="511"/>
      <c r="Z631" s="511"/>
      <c r="AA631" s="511"/>
      <c r="AB631" s="511"/>
      <c r="AC631" s="511"/>
      <c r="AD631" s="511"/>
      <c r="AE631" s="511"/>
      <c r="AF631" s="511"/>
      <c r="AG631" s="511"/>
      <c r="AH631" s="511"/>
      <c r="AI631" s="511"/>
      <c r="AJ631" s="511"/>
      <c r="AK631" s="511"/>
      <c r="AL631" s="511"/>
      <c r="AM631" s="511"/>
      <c r="AN631" s="511"/>
      <c r="AO631" s="511"/>
      <c r="AP631" s="511"/>
      <c r="AQ631" s="511"/>
      <c r="AR631" s="511"/>
      <c r="AS631" s="511"/>
      <c r="AT631" s="511"/>
      <c r="AU631" s="511"/>
      <c r="AV631" s="511"/>
      <c r="AW631" s="511"/>
      <c r="AX631" s="511"/>
      <c r="AY631" s="511"/>
      <c r="AZ631" s="511"/>
      <c r="BA631" s="511"/>
      <c r="BB631" s="511"/>
      <c r="BC631" s="511"/>
      <c r="BD631" s="511"/>
      <c r="BE631" s="511"/>
    </row>
    <row r="632" ht="15.75" customHeight="1">
      <c r="A632" s="511"/>
      <c r="B632" s="511"/>
      <c r="C632" s="511"/>
      <c r="D632" s="511"/>
      <c r="E632" s="511"/>
      <c r="F632" s="511"/>
      <c r="G632" s="511"/>
      <c r="H632" s="511"/>
      <c r="I632" s="511"/>
      <c r="J632" s="511"/>
      <c r="K632" s="511"/>
      <c r="L632" s="511"/>
      <c r="M632" s="511"/>
      <c r="N632" s="511"/>
      <c r="O632" s="511"/>
      <c r="P632" s="511"/>
      <c r="Q632" s="511"/>
      <c r="R632" s="511"/>
      <c r="S632" s="511"/>
      <c r="T632" s="511"/>
      <c r="U632" s="511"/>
      <c r="V632" s="511"/>
      <c r="W632" s="511"/>
      <c r="X632" s="511"/>
      <c r="Y632" s="511"/>
      <c r="Z632" s="511"/>
      <c r="AA632" s="511"/>
      <c r="AB632" s="511"/>
      <c r="AC632" s="511"/>
      <c r="AD632" s="511"/>
      <c r="AE632" s="511"/>
      <c r="AF632" s="511"/>
      <c r="AG632" s="511"/>
      <c r="AH632" s="511"/>
      <c r="AI632" s="511"/>
      <c r="AJ632" s="511"/>
      <c r="AK632" s="511"/>
      <c r="AL632" s="511"/>
      <c r="AM632" s="511"/>
      <c r="AN632" s="511"/>
      <c r="AO632" s="511"/>
      <c r="AP632" s="511"/>
      <c r="AQ632" s="511"/>
      <c r="AR632" s="511"/>
      <c r="AS632" s="511"/>
      <c r="AT632" s="511"/>
      <c r="AU632" s="511"/>
      <c r="AV632" s="511"/>
      <c r="AW632" s="511"/>
      <c r="AX632" s="511"/>
      <c r="AY632" s="511"/>
      <c r="AZ632" s="511"/>
      <c r="BA632" s="511"/>
      <c r="BB632" s="511"/>
      <c r="BC632" s="511"/>
      <c r="BD632" s="511"/>
      <c r="BE632" s="511"/>
    </row>
    <row r="633" ht="15.75" customHeight="1">
      <c r="A633" s="511"/>
      <c r="B633" s="511"/>
      <c r="C633" s="511"/>
      <c r="D633" s="511"/>
      <c r="E633" s="511"/>
      <c r="F633" s="511"/>
      <c r="G633" s="511"/>
      <c r="H633" s="511"/>
      <c r="I633" s="511"/>
      <c r="J633" s="511"/>
      <c r="K633" s="511"/>
      <c r="L633" s="511"/>
      <c r="M633" s="511"/>
      <c r="N633" s="511"/>
      <c r="O633" s="511"/>
      <c r="P633" s="511"/>
      <c r="Q633" s="511"/>
      <c r="R633" s="511"/>
      <c r="S633" s="511"/>
      <c r="T633" s="511"/>
      <c r="U633" s="511"/>
      <c r="V633" s="511"/>
      <c r="W633" s="511"/>
      <c r="X633" s="511"/>
      <c r="Y633" s="511"/>
      <c r="Z633" s="511"/>
      <c r="AA633" s="511"/>
      <c r="AB633" s="511"/>
      <c r="AC633" s="511"/>
      <c r="AD633" s="511"/>
      <c r="AE633" s="511"/>
      <c r="AF633" s="511"/>
      <c r="AG633" s="511"/>
      <c r="AH633" s="511"/>
      <c r="AI633" s="511"/>
      <c r="AJ633" s="511"/>
      <c r="AK633" s="511"/>
      <c r="AL633" s="511"/>
      <c r="AM633" s="511"/>
      <c r="AN633" s="511"/>
      <c r="AO633" s="511"/>
      <c r="AP633" s="511"/>
      <c r="AQ633" s="511"/>
      <c r="AR633" s="511"/>
      <c r="AS633" s="511"/>
      <c r="AT633" s="511"/>
      <c r="AU633" s="511"/>
      <c r="AV633" s="511"/>
      <c r="AW633" s="511"/>
      <c r="AX633" s="511"/>
      <c r="AY633" s="511"/>
      <c r="AZ633" s="511"/>
      <c r="BA633" s="511"/>
      <c r="BB633" s="511"/>
      <c r="BC633" s="511"/>
      <c r="BD633" s="511"/>
      <c r="BE633" s="511"/>
    </row>
    <row r="634" ht="15.75" customHeight="1">
      <c r="A634" s="511"/>
      <c r="B634" s="511"/>
      <c r="C634" s="511"/>
      <c r="D634" s="511"/>
      <c r="E634" s="511"/>
      <c r="F634" s="511"/>
      <c r="G634" s="511"/>
      <c r="H634" s="511"/>
      <c r="I634" s="511"/>
      <c r="J634" s="511"/>
      <c r="K634" s="511"/>
      <c r="L634" s="511"/>
      <c r="M634" s="511"/>
      <c r="N634" s="511"/>
      <c r="O634" s="511"/>
      <c r="P634" s="511"/>
      <c r="Q634" s="511"/>
      <c r="R634" s="511"/>
      <c r="S634" s="511"/>
      <c r="T634" s="511"/>
      <c r="U634" s="511"/>
      <c r="V634" s="511"/>
      <c r="W634" s="511"/>
      <c r="X634" s="511"/>
      <c r="Y634" s="511"/>
      <c r="Z634" s="511"/>
      <c r="AA634" s="511"/>
      <c r="AB634" s="511"/>
      <c r="AC634" s="511"/>
      <c r="AD634" s="511"/>
      <c r="AE634" s="511"/>
      <c r="AF634" s="511"/>
      <c r="AG634" s="511"/>
      <c r="AH634" s="511"/>
      <c r="AI634" s="511"/>
      <c r="AJ634" s="511"/>
      <c r="AK634" s="511"/>
      <c r="AL634" s="511"/>
      <c r="AM634" s="511"/>
      <c r="AN634" s="511"/>
      <c r="AO634" s="511"/>
      <c r="AP634" s="511"/>
      <c r="AQ634" s="511"/>
      <c r="AR634" s="511"/>
      <c r="AS634" s="511"/>
      <c r="AT634" s="511"/>
      <c r="AU634" s="511"/>
      <c r="AV634" s="511"/>
      <c r="AW634" s="511"/>
      <c r="AX634" s="511"/>
      <c r="AY634" s="511"/>
      <c r="AZ634" s="511"/>
      <c r="BA634" s="511"/>
      <c r="BB634" s="511"/>
      <c r="BC634" s="511"/>
      <c r="BD634" s="511"/>
      <c r="BE634" s="511"/>
    </row>
    <row r="635" ht="15.75" customHeight="1">
      <c r="A635" s="511"/>
      <c r="B635" s="511"/>
      <c r="C635" s="511"/>
      <c r="D635" s="511"/>
      <c r="E635" s="511"/>
      <c r="F635" s="511"/>
      <c r="G635" s="511"/>
      <c r="H635" s="511"/>
      <c r="I635" s="511"/>
      <c r="J635" s="511"/>
      <c r="K635" s="511"/>
      <c r="L635" s="511"/>
      <c r="M635" s="511"/>
      <c r="N635" s="511"/>
      <c r="O635" s="511"/>
      <c r="P635" s="511"/>
      <c r="Q635" s="511"/>
      <c r="R635" s="511"/>
      <c r="S635" s="511"/>
      <c r="T635" s="511"/>
      <c r="U635" s="511"/>
      <c r="V635" s="511"/>
      <c r="W635" s="511"/>
      <c r="X635" s="511"/>
      <c r="Y635" s="511"/>
      <c r="Z635" s="511"/>
      <c r="AA635" s="511"/>
      <c r="AB635" s="511"/>
      <c r="AC635" s="511"/>
      <c r="AD635" s="511"/>
      <c r="AE635" s="511"/>
      <c r="AF635" s="511"/>
      <c r="AG635" s="511"/>
      <c r="AH635" s="511"/>
      <c r="AI635" s="511"/>
      <c r="AJ635" s="511"/>
      <c r="AK635" s="511"/>
      <c r="AL635" s="511"/>
      <c r="AM635" s="511"/>
      <c r="AN635" s="511"/>
      <c r="AO635" s="511"/>
      <c r="AP635" s="511"/>
      <c r="AQ635" s="511"/>
      <c r="AR635" s="511"/>
      <c r="AS635" s="511"/>
      <c r="AT635" s="511"/>
      <c r="AU635" s="511"/>
      <c r="AV635" s="511"/>
      <c r="AW635" s="511"/>
      <c r="AX635" s="511"/>
      <c r="AY635" s="511"/>
      <c r="AZ635" s="511"/>
      <c r="BA635" s="511"/>
      <c r="BB635" s="511"/>
      <c r="BC635" s="511"/>
      <c r="BD635" s="511"/>
      <c r="BE635" s="511"/>
    </row>
    <row r="636" ht="15.75" customHeight="1">
      <c r="A636" s="511"/>
      <c r="B636" s="511"/>
      <c r="C636" s="511"/>
      <c r="D636" s="511"/>
      <c r="E636" s="511"/>
      <c r="F636" s="511"/>
      <c r="G636" s="511"/>
      <c r="H636" s="511"/>
      <c r="I636" s="511"/>
      <c r="J636" s="511"/>
      <c r="K636" s="511"/>
      <c r="L636" s="511"/>
      <c r="M636" s="511"/>
      <c r="N636" s="511"/>
      <c r="O636" s="511"/>
      <c r="P636" s="511"/>
      <c r="Q636" s="511"/>
      <c r="R636" s="511"/>
      <c r="S636" s="511"/>
      <c r="T636" s="511"/>
      <c r="U636" s="511"/>
      <c r="V636" s="511"/>
      <c r="W636" s="511"/>
      <c r="X636" s="511"/>
      <c r="Y636" s="511"/>
      <c r="Z636" s="511"/>
      <c r="AA636" s="511"/>
      <c r="AB636" s="511"/>
      <c r="AC636" s="511"/>
      <c r="AD636" s="511"/>
      <c r="AE636" s="511"/>
      <c r="AF636" s="511"/>
      <c r="AG636" s="511"/>
      <c r="AH636" s="511"/>
      <c r="AI636" s="511"/>
      <c r="AJ636" s="511"/>
      <c r="AK636" s="511"/>
      <c r="AL636" s="511"/>
      <c r="AM636" s="511"/>
      <c r="AN636" s="511"/>
      <c r="AO636" s="511"/>
      <c r="AP636" s="511"/>
      <c r="AQ636" s="511"/>
      <c r="AR636" s="511"/>
      <c r="AS636" s="511"/>
      <c r="AT636" s="511"/>
      <c r="AU636" s="511"/>
      <c r="AV636" s="511"/>
      <c r="AW636" s="511"/>
      <c r="AX636" s="511"/>
      <c r="AY636" s="511"/>
      <c r="AZ636" s="511"/>
      <c r="BA636" s="511"/>
      <c r="BB636" s="511"/>
      <c r="BC636" s="511"/>
      <c r="BD636" s="511"/>
      <c r="BE636" s="511"/>
    </row>
    <row r="637" ht="15.75" customHeight="1">
      <c r="A637" s="511"/>
      <c r="B637" s="511"/>
      <c r="C637" s="511"/>
      <c r="D637" s="511"/>
      <c r="E637" s="511"/>
      <c r="F637" s="511"/>
      <c r="G637" s="511"/>
      <c r="H637" s="511"/>
      <c r="I637" s="511"/>
      <c r="J637" s="511"/>
      <c r="K637" s="511"/>
      <c r="L637" s="511"/>
      <c r="M637" s="511"/>
      <c r="N637" s="511"/>
      <c r="O637" s="511"/>
      <c r="P637" s="511"/>
      <c r="Q637" s="511"/>
      <c r="R637" s="511"/>
      <c r="S637" s="511"/>
      <c r="T637" s="511"/>
      <c r="U637" s="511"/>
      <c r="V637" s="511"/>
      <c r="W637" s="511"/>
      <c r="X637" s="511"/>
      <c r="Y637" s="511"/>
      <c r="Z637" s="511"/>
      <c r="AA637" s="511"/>
      <c r="AB637" s="511"/>
      <c r="AC637" s="511"/>
      <c r="AD637" s="511"/>
      <c r="AE637" s="511"/>
      <c r="AF637" s="511"/>
      <c r="AG637" s="511"/>
      <c r="AH637" s="511"/>
      <c r="AI637" s="511"/>
      <c r="AJ637" s="511"/>
      <c r="AK637" s="511"/>
      <c r="AL637" s="511"/>
      <c r="AM637" s="511"/>
      <c r="AN637" s="511"/>
      <c r="AO637" s="511"/>
      <c r="AP637" s="511"/>
      <c r="AQ637" s="511"/>
      <c r="AR637" s="511"/>
      <c r="AS637" s="511"/>
      <c r="AT637" s="511"/>
      <c r="AU637" s="511"/>
      <c r="AV637" s="511"/>
      <c r="AW637" s="511"/>
      <c r="AX637" s="511"/>
      <c r="AY637" s="511"/>
      <c r="AZ637" s="511"/>
      <c r="BA637" s="511"/>
      <c r="BB637" s="511"/>
      <c r="BC637" s="511"/>
      <c r="BD637" s="511"/>
      <c r="BE637" s="511"/>
    </row>
    <row r="638" ht="15.75" customHeight="1">
      <c r="A638" s="511"/>
      <c r="B638" s="511"/>
      <c r="C638" s="511"/>
      <c r="D638" s="511"/>
      <c r="E638" s="511"/>
      <c r="F638" s="511"/>
      <c r="G638" s="511"/>
      <c r="H638" s="511"/>
      <c r="I638" s="511"/>
      <c r="J638" s="511"/>
      <c r="K638" s="511"/>
      <c r="L638" s="511"/>
      <c r="M638" s="511"/>
      <c r="N638" s="511"/>
      <c r="O638" s="511"/>
      <c r="P638" s="511"/>
      <c r="Q638" s="511"/>
      <c r="R638" s="511"/>
      <c r="S638" s="511"/>
      <c r="T638" s="511"/>
      <c r="U638" s="511"/>
      <c r="V638" s="511"/>
      <c r="W638" s="511"/>
      <c r="X638" s="511"/>
      <c r="Y638" s="511"/>
      <c r="Z638" s="511"/>
      <c r="AA638" s="511"/>
      <c r="AB638" s="511"/>
      <c r="AC638" s="511"/>
      <c r="AD638" s="511"/>
      <c r="AE638" s="511"/>
      <c r="AF638" s="511"/>
      <c r="AG638" s="511"/>
      <c r="AH638" s="511"/>
      <c r="AI638" s="511"/>
      <c r="AJ638" s="511"/>
      <c r="AK638" s="511"/>
      <c r="AL638" s="511"/>
      <c r="AM638" s="511"/>
      <c r="AN638" s="511"/>
      <c r="AO638" s="511"/>
      <c r="AP638" s="511"/>
      <c r="AQ638" s="511"/>
      <c r="AR638" s="511"/>
      <c r="AS638" s="511"/>
      <c r="AT638" s="511"/>
      <c r="AU638" s="511"/>
      <c r="AV638" s="511"/>
      <c r="AW638" s="511"/>
      <c r="AX638" s="511"/>
      <c r="AY638" s="511"/>
      <c r="AZ638" s="511"/>
      <c r="BA638" s="511"/>
      <c r="BB638" s="511"/>
      <c r="BC638" s="511"/>
      <c r="BD638" s="511"/>
      <c r="BE638" s="511"/>
    </row>
    <row r="639" ht="15.75" customHeight="1">
      <c r="A639" s="511"/>
      <c r="B639" s="511"/>
      <c r="C639" s="511"/>
      <c r="D639" s="511"/>
      <c r="E639" s="511"/>
      <c r="F639" s="511"/>
      <c r="G639" s="511"/>
      <c r="H639" s="511"/>
      <c r="I639" s="511"/>
      <c r="J639" s="511"/>
      <c r="K639" s="511"/>
      <c r="L639" s="511"/>
      <c r="M639" s="511"/>
      <c r="N639" s="511"/>
      <c r="O639" s="511"/>
      <c r="P639" s="511"/>
      <c r="Q639" s="511"/>
      <c r="R639" s="511"/>
      <c r="S639" s="511"/>
      <c r="T639" s="511"/>
      <c r="U639" s="511"/>
      <c r="V639" s="511"/>
      <c r="W639" s="511"/>
      <c r="X639" s="511"/>
      <c r="Y639" s="511"/>
      <c r="Z639" s="511"/>
      <c r="AA639" s="511"/>
      <c r="AB639" s="511"/>
      <c r="AC639" s="511"/>
      <c r="AD639" s="511"/>
      <c r="AE639" s="511"/>
      <c r="AF639" s="511"/>
      <c r="AG639" s="511"/>
      <c r="AH639" s="511"/>
      <c r="AI639" s="511"/>
      <c r="AJ639" s="511"/>
      <c r="AK639" s="511"/>
      <c r="AL639" s="511"/>
      <c r="AM639" s="511"/>
      <c r="AN639" s="511"/>
      <c r="AO639" s="511"/>
      <c r="AP639" s="511"/>
      <c r="AQ639" s="511"/>
      <c r="AR639" s="511"/>
      <c r="AS639" s="511"/>
      <c r="AT639" s="511"/>
      <c r="AU639" s="511"/>
      <c r="AV639" s="511"/>
      <c r="AW639" s="511"/>
      <c r="AX639" s="511"/>
      <c r="AY639" s="511"/>
      <c r="AZ639" s="511"/>
      <c r="BA639" s="511"/>
      <c r="BB639" s="511"/>
      <c r="BC639" s="511"/>
      <c r="BD639" s="511"/>
      <c r="BE639" s="511"/>
    </row>
    <row r="640" ht="15.75" customHeight="1">
      <c r="A640" s="511"/>
      <c r="B640" s="511"/>
      <c r="C640" s="511"/>
      <c r="D640" s="511"/>
      <c r="E640" s="511"/>
      <c r="F640" s="511"/>
      <c r="G640" s="511"/>
      <c r="H640" s="511"/>
      <c r="I640" s="511"/>
      <c r="J640" s="511"/>
      <c r="K640" s="511"/>
      <c r="L640" s="511"/>
      <c r="M640" s="511"/>
      <c r="N640" s="511"/>
      <c r="O640" s="511"/>
      <c r="P640" s="511"/>
      <c r="Q640" s="511"/>
      <c r="R640" s="511"/>
      <c r="S640" s="511"/>
      <c r="T640" s="511"/>
      <c r="U640" s="511"/>
      <c r="V640" s="511"/>
      <c r="W640" s="511"/>
      <c r="X640" s="511"/>
      <c r="Y640" s="511"/>
      <c r="Z640" s="511"/>
      <c r="AA640" s="511"/>
      <c r="AB640" s="511"/>
      <c r="AC640" s="511"/>
      <c r="AD640" s="511"/>
      <c r="AE640" s="511"/>
      <c r="AF640" s="511"/>
      <c r="AG640" s="511"/>
      <c r="AH640" s="511"/>
      <c r="AI640" s="511"/>
      <c r="AJ640" s="511"/>
      <c r="AK640" s="511"/>
      <c r="AL640" s="511"/>
      <c r="AM640" s="511"/>
      <c r="AN640" s="511"/>
      <c r="AO640" s="511"/>
      <c r="AP640" s="511"/>
      <c r="AQ640" s="511"/>
      <c r="AR640" s="511"/>
      <c r="AS640" s="511"/>
      <c r="AT640" s="511"/>
      <c r="AU640" s="511"/>
      <c r="AV640" s="511"/>
      <c r="AW640" s="511"/>
      <c r="AX640" s="511"/>
      <c r="AY640" s="511"/>
      <c r="AZ640" s="511"/>
      <c r="BA640" s="511"/>
      <c r="BB640" s="511"/>
      <c r="BC640" s="511"/>
      <c r="BD640" s="511"/>
      <c r="BE640" s="511"/>
    </row>
    <row r="641" ht="15.75" customHeight="1">
      <c r="A641" s="511"/>
      <c r="B641" s="511"/>
      <c r="C641" s="511"/>
      <c r="D641" s="511"/>
      <c r="E641" s="511"/>
      <c r="F641" s="511"/>
      <c r="G641" s="511"/>
      <c r="H641" s="511"/>
      <c r="I641" s="511"/>
      <c r="J641" s="511"/>
      <c r="K641" s="511"/>
      <c r="L641" s="511"/>
      <c r="M641" s="511"/>
      <c r="N641" s="511"/>
      <c r="O641" s="511"/>
      <c r="P641" s="511"/>
      <c r="Q641" s="511"/>
      <c r="R641" s="511"/>
      <c r="S641" s="511"/>
      <c r="T641" s="511"/>
      <c r="U641" s="511"/>
      <c r="V641" s="511"/>
      <c r="W641" s="511"/>
      <c r="X641" s="511"/>
      <c r="Y641" s="511"/>
      <c r="Z641" s="511"/>
      <c r="AA641" s="511"/>
      <c r="AB641" s="511"/>
      <c r="AC641" s="511"/>
      <c r="AD641" s="511"/>
      <c r="AE641" s="511"/>
      <c r="AF641" s="511"/>
      <c r="AG641" s="511"/>
      <c r="AH641" s="511"/>
      <c r="AI641" s="511"/>
      <c r="AJ641" s="511"/>
      <c r="AK641" s="511"/>
      <c r="AL641" s="511"/>
      <c r="AM641" s="511"/>
      <c r="AN641" s="511"/>
      <c r="AO641" s="511"/>
      <c r="AP641" s="511"/>
      <c r="AQ641" s="511"/>
      <c r="AR641" s="511"/>
      <c r="AS641" s="511"/>
      <c r="AT641" s="511"/>
      <c r="AU641" s="511"/>
      <c r="AV641" s="511"/>
      <c r="AW641" s="511"/>
      <c r="AX641" s="511"/>
      <c r="AY641" s="511"/>
      <c r="AZ641" s="511"/>
      <c r="BA641" s="511"/>
      <c r="BB641" s="511"/>
      <c r="BC641" s="511"/>
      <c r="BD641" s="511"/>
      <c r="BE641" s="511"/>
    </row>
    <row r="642" ht="15.75" customHeight="1">
      <c r="A642" s="511"/>
      <c r="B642" s="511"/>
      <c r="C642" s="511"/>
      <c r="D642" s="511"/>
      <c r="E642" s="511"/>
      <c r="F642" s="511"/>
      <c r="G642" s="511"/>
      <c r="H642" s="511"/>
      <c r="I642" s="511"/>
      <c r="J642" s="511"/>
      <c r="K642" s="511"/>
      <c r="L642" s="511"/>
      <c r="M642" s="511"/>
      <c r="N642" s="511"/>
      <c r="O642" s="511"/>
      <c r="P642" s="511"/>
      <c r="Q642" s="511"/>
      <c r="R642" s="511"/>
      <c r="S642" s="511"/>
      <c r="T642" s="511"/>
      <c r="U642" s="511"/>
      <c r="V642" s="511"/>
      <c r="W642" s="511"/>
      <c r="X642" s="511"/>
      <c r="Y642" s="511"/>
      <c r="Z642" s="511"/>
      <c r="AA642" s="511"/>
      <c r="AB642" s="511"/>
      <c r="AC642" s="511"/>
      <c r="AD642" s="511"/>
      <c r="AE642" s="511"/>
      <c r="AF642" s="511"/>
      <c r="AG642" s="511"/>
      <c r="AH642" s="511"/>
      <c r="AI642" s="511"/>
      <c r="AJ642" s="511"/>
      <c r="AK642" s="511"/>
      <c r="AL642" s="511"/>
      <c r="AM642" s="511"/>
      <c r="AN642" s="511"/>
      <c r="AO642" s="511"/>
      <c r="AP642" s="511"/>
      <c r="AQ642" s="511"/>
      <c r="AR642" s="511"/>
      <c r="AS642" s="511"/>
      <c r="AT642" s="511"/>
      <c r="AU642" s="511"/>
      <c r="AV642" s="511"/>
      <c r="AW642" s="511"/>
      <c r="AX642" s="511"/>
      <c r="AY642" s="511"/>
      <c r="AZ642" s="511"/>
      <c r="BA642" s="511"/>
      <c r="BB642" s="511"/>
      <c r="BC642" s="511"/>
      <c r="BD642" s="511"/>
      <c r="BE642" s="511"/>
    </row>
    <row r="643" ht="15.75" customHeight="1">
      <c r="A643" s="511"/>
      <c r="B643" s="511"/>
      <c r="C643" s="511"/>
      <c r="D643" s="511"/>
      <c r="E643" s="511"/>
      <c r="F643" s="511"/>
      <c r="G643" s="511"/>
      <c r="H643" s="511"/>
      <c r="I643" s="511"/>
      <c r="J643" s="511"/>
      <c r="K643" s="511"/>
      <c r="L643" s="511"/>
      <c r="M643" s="511"/>
      <c r="N643" s="511"/>
      <c r="O643" s="511"/>
      <c r="P643" s="511"/>
      <c r="Q643" s="511"/>
      <c r="R643" s="511"/>
      <c r="S643" s="511"/>
      <c r="T643" s="511"/>
      <c r="U643" s="511"/>
      <c r="V643" s="511"/>
      <c r="W643" s="511"/>
      <c r="X643" s="511"/>
      <c r="Y643" s="511"/>
      <c r="Z643" s="511"/>
      <c r="AA643" s="511"/>
      <c r="AB643" s="511"/>
      <c r="AC643" s="511"/>
      <c r="AD643" s="511"/>
      <c r="AE643" s="511"/>
      <c r="AF643" s="511"/>
      <c r="AG643" s="511"/>
      <c r="AH643" s="511"/>
      <c r="AI643" s="511"/>
      <c r="AJ643" s="511"/>
      <c r="AK643" s="511"/>
      <c r="AL643" s="511"/>
      <c r="AM643" s="511"/>
      <c r="AN643" s="511"/>
      <c r="AO643" s="511"/>
      <c r="AP643" s="511"/>
      <c r="AQ643" s="511"/>
      <c r="AR643" s="511"/>
      <c r="AS643" s="511"/>
      <c r="AT643" s="511"/>
      <c r="AU643" s="511"/>
      <c r="AV643" s="511"/>
      <c r="AW643" s="511"/>
      <c r="AX643" s="511"/>
      <c r="AY643" s="511"/>
      <c r="AZ643" s="511"/>
      <c r="BA643" s="511"/>
      <c r="BB643" s="511"/>
      <c r="BC643" s="511"/>
      <c r="BD643" s="511"/>
      <c r="BE643" s="511"/>
    </row>
    <row r="644" ht="15.75" customHeight="1">
      <c r="A644" s="511"/>
      <c r="B644" s="511"/>
      <c r="C644" s="511"/>
      <c r="D644" s="511"/>
      <c r="E644" s="511"/>
      <c r="F644" s="511"/>
      <c r="G644" s="511"/>
      <c r="H644" s="511"/>
      <c r="I644" s="511"/>
      <c r="J644" s="511"/>
      <c r="K644" s="511"/>
      <c r="L644" s="511"/>
      <c r="M644" s="511"/>
      <c r="N644" s="511"/>
      <c r="O644" s="511"/>
      <c r="P644" s="511"/>
      <c r="Q644" s="511"/>
      <c r="R644" s="511"/>
      <c r="S644" s="511"/>
      <c r="T644" s="511"/>
      <c r="U644" s="511"/>
      <c r="V644" s="511"/>
      <c r="W644" s="511"/>
      <c r="X644" s="511"/>
      <c r="Y644" s="511"/>
      <c r="Z644" s="511"/>
      <c r="AA644" s="511"/>
      <c r="AB644" s="511"/>
      <c r="AC644" s="511"/>
      <c r="AD644" s="511"/>
      <c r="AE644" s="511"/>
      <c r="AF644" s="511"/>
      <c r="AG644" s="511"/>
      <c r="AH644" s="511"/>
      <c r="AI644" s="511"/>
      <c r="AJ644" s="511"/>
      <c r="AK644" s="511"/>
      <c r="AL644" s="511"/>
      <c r="AM644" s="511"/>
      <c r="AN644" s="511"/>
      <c r="AO644" s="511"/>
      <c r="AP644" s="511"/>
      <c r="AQ644" s="511"/>
      <c r="AR644" s="511"/>
      <c r="AS644" s="511"/>
      <c r="AT644" s="511"/>
      <c r="AU644" s="511"/>
      <c r="AV644" s="511"/>
      <c r="AW644" s="511"/>
      <c r="AX644" s="511"/>
      <c r="AY644" s="511"/>
      <c r="AZ644" s="511"/>
      <c r="BA644" s="511"/>
      <c r="BB644" s="511"/>
      <c r="BC644" s="511"/>
      <c r="BD644" s="511"/>
      <c r="BE644" s="511"/>
    </row>
    <row r="645" ht="15.75" customHeight="1">
      <c r="A645" s="511"/>
      <c r="B645" s="511"/>
      <c r="C645" s="511"/>
      <c r="D645" s="511"/>
      <c r="E645" s="511"/>
      <c r="F645" s="511"/>
      <c r="G645" s="511"/>
      <c r="H645" s="511"/>
      <c r="I645" s="511"/>
      <c r="J645" s="511"/>
      <c r="K645" s="511"/>
      <c r="L645" s="511"/>
      <c r="M645" s="511"/>
      <c r="N645" s="511"/>
      <c r="O645" s="511"/>
      <c r="P645" s="511"/>
      <c r="Q645" s="511"/>
      <c r="R645" s="511"/>
      <c r="S645" s="511"/>
      <c r="T645" s="511"/>
      <c r="U645" s="511"/>
      <c r="V645" s="511"/>
      <c r="W645" s="511"/>
      <c r="X645" s="511"/>
      <c r="Y645" s="511"/>
      <c r="Z645" s="511"/>
      <c r="AA645" s="511"/>
      <c r="AB645" s="511"/>
      <c r="AC645" s="511"/>
      <c r="AD645" s="511"/>
      <c r="AE645" s="511"/>
      <c r="AF645" s="511"/>
      <c r="AG645" s="511"/>
      <c r="AH645" s="511"/>
      <c r="AI645" s="511"/>
      <c r="AJ645" s="511"/>
      <c r="AK645" s="511"/>
      <c r="AL645" s="511"/>
      <c r="AM645" s="511"/>
      <c r="AN645" s="511"/>
      <c r="AO645" s="511"/>
      <c r="AP645" s="511"/>
      <c r="AQ645" s="511"/>
      <c r="AR645" s="511"/>
      <c r="AS645" s="511"/>
      <c r="AT645" s="511"/>
      <c r="AU645" s="511"/>
      <c r="AV645" s="511"/>
      <c r="AW645" s="511"/>
      <c r="AX645" s="511"/>
      <c r="AY645" s="511"/>
      <c r="AZ645" s="511"/>
      <c r="BA645" s="511"/>
      <c r="BB645" s="511"/>
      <c r="BC645" s="511"/>
      <c r="BD645" s="511"/>
      <c r="BE645" s="511"/>
    </row>
    <row r="646" ht="15.75" customHeight="1">
      <c r="A646" s="511"/>
      <c r="B646" s="511"/>
      <c r="C646" s="511"/>
      <c r="D646" s="511"/>
      <c r="E646" s="511"/>
      <c r="F646" s="511"/>
      <c r="G646" s="511"/>
      <c r="H646" s="511"/>
      <c r="I646" s="511"/>
      <c r="J646" s="511"/>
      <c r="K646" s="511"/>
      <c r="L646" s="511"/>
      <c r="M646" s="511"/>
      <c r="N646" s="511"/>
      <c r="O646" s="511"/>
      <c r="P646" s="511"/>
      <c r="Q646" s="511"/>
      <c r="R646" s="511"/>
      <c r="S646" s="511"/>
      <c r="T646" s="511"/>
      <c r="U646" s="511"/>
      <c r="V646" s="511"/>
      <c r="W646" s="511"/>
      <c r="X646" s="511"/>
      <c r="Y646" s="511"/>
      <c r="Z646" s="511"/>
      <c r="AA646" s="511"/>
      <c r="AB646" s="511"/>
      <c r="AC646" s="511"/>
      <c r="AD646" s="511"/>
      <c r="AE646" s="511"/>
      <c r="AF646" s="511"/>
      <c r="AG646" s="511"/>
      <c r="AH646" s="511"/>
      <c r="AI646" s="511"/>
      <c r="AJ646" s="511"/>
      <c r="AK646" s="511"/>
      <c r="AL646" s="511"/>
      <c r="AM646" s="511"/>
      <c r="AN646" s="511"/>
      <c r="AO646" s="511"/>
      <c r="AP646" s="511"/>
      <c r="AQ646" s="511"/>
      <c r="AR646" s="511"/>
      <c r="AS646" s="511"/>
      <c r="AT646" s="511"/>
      <c r="AU646" s="511"/>
      <c r="AV646" s="511"/>
      <c r="AW646" s="511"/>
      <c r="AX646" s="511"/>
      <c r="AY646" s="511"/>
      <c r="AZ646" s="511"/>
      <c r="BA646" s="511"/>
      <c r="BB646" s="511"/>
      <c r="BC646" s="511"/>
      <c r="BD646" s="511"/>
      <c r="BE646" s="511"/>
    </row>
    <row r="647" ht="15.75" customHeight="1">
      <c r="A647" s="511"/>
      <c r="B647" s="511"/>
      <c r="C647" s="511"/>
      <c r="D647" s="511"/>
      <c r="E647" s="511"/>
      <c r="F647" s="511"/>
      <c r="G647" s="511"/>
      <c r="H647" s="511"/>
      <c r="I647" s="511"/>
      <c r="J647" s="511"/>
      <c r="K647" s="511"/>
      <c r="L647" s="511"/>
      <c r="M647" s="511"/>
      <c r="N647" s="511"/>
      <c r="O647" s="511"/>
      <c r="P647" s="511"/>
      <c r="Q647" s="511"/>
      <c r="R647" s="511"/>
      <c r="S647" s="511"/>
      <c r="T647" s="511"/>
      <c r="U647" s="511"/>
      <c r="V647" s="511"/>
      <c r="W647" s="511"/>
      <c r="X647" s="511"/>
      <c r="Y647" s="511"/>
      <c r="Z647" s="511"/>
      <c r="AA647" s="511"/>
      <c r="AB647" s="511"/>
      <c r="AC647" s="511"/>
      <c r="AD647" s="511"/>
      <c r="AE647" s="511"/>
      <c r="AF647" s="511"/>
      <c r="AG647" s="511"/>
      <c r="AH647" s="511"/>
      <c r="AI647" s="511"/>
      <c r="AJ647" s="511"/>
      <c r="AK647" s="511"/>
      <c r="AL647" s="511"/>
      <c r="AM647" s="511"/>
      <c r="AN647" s="511"/>
      <c r="AO647" s="511"/>
      <c r="AP647" s="511"/>
      <c r="AQ647" s="511"/>
      <c r="AR647" s="511"/>
      <c r="AS647" s="511"/>
      <c r="AT647" s="511"/>
      <c r="AU647" s="511"/>
      <c r="AV647" s="511"/>
      <c r="AW647" s="511"/>
      <c r="AX647" s="511"/>
      <c r="AY647" s="511"/>
      <c r="AZ647" s="511"/>
      <c r="BA647" s="511"/>
      <c r="BB647" s="511"/>
      <c r="BC647" s="511"/>
      <c r="BD647" s="511"/>
      <c r="BE647" s="511"/>
    </row>
    <row r="648" ht="15.75" customHeight="1">
      <c r="A648" s="511"/>
      <c r="B648" s="511"/>
      <c r="C648" s="511"/>
      <c r="D648" s="511"/>
      <c r="E648" s="511"/>
      <c r="F648" s="511"/>
      <c r="G648" s="511"/>
      <c r="H648" s="511"/>
      <c r="I648" s="511"/>
      <c r="J648" s="511"/>
      <c r="K648" s="511"/>
      <c r="L648" s="511"/>
      <c r="M648" s="511"/>
      <c r="N648" s="511"/>
      <c r="O648" s="511"/>
      <c r="P648" s="511"/>
      <c r="Q648" s="511"/>
      <c r="R648" s="511"/>
      <c r="S648" s="511"/>
      <c r="T648" s="511"/>
      <c r="U648" s="511"/>
      <c r="V648" s="511"/>
      <c r="W648" s="511"/>
      <c r="X648" s="511"/>
      <c r="Y648" s="511"/>
      <c r="Z648" s="511"/>
      <c r="AA648" s="511"/>
      <c r="AB648" s="511"/>
      <c r="AC648" s="511"/>
      <c r="AD648" s="511"/>
      <c r="AE648" s="511"/>
      <c r="AF648" s="511"/>
      <c r="AG648" s="511"/>
      <c r="AH648" s="511"/>
      <c r="AI648" s="511"/>
      <c r="AJ648" s="511"/>
      <c r="AK648" s="511"/>
      <c r="AL648" s="511"/>
      <c r="AM648" s="511"/>
      <c r="AN648" s="511"/>
      <c r="AO648" s="511"/>
      <c r="AP648" s="511"/>
      <c r="AQ648" s="511"/>
      <c r="AR648" s="511"/>
      <c r="AS648" s="511"/>
      <c r="AT648" s="511"/>
      <c r="AU648" s="511"/>
      <c r="AV648" s="511"/>
      <c r="AW648" s="511"/>
      <c r="AX648" s="511"/>
      <c r="AY648" s="511"/>
      <c r="AZ648" s="511"/>
      <c r="BA648" s="511"/>
      <c r="BB648" s="511"/>
      <c r="BC648" s="511"/>
      <c r="BD648" s="511"/>
      <c r="BE648" s="511"/>
    </row>
    <row r="649" ht="15.75" customHeight="1">
      <c r="A649" s="511"/>
      <c r="B649" s="511"/>
      <c r="C649" s="511"/>
      <c r="D649" s="511"/>
      <c r="E649" s="511"/>
      <c r="F649" s="511"/>
      <c r="G649" s="511"/>
      <c r="H649" s="511"/>
      <c r="I649" s="511"/>
      <c r="J649" s="511"/>
      <c r="K649" s="511"/>
      <c r="L649" s="511"/>
      <c r="M649" s="511"/>
      <c r="N649" s="511"/>
      <c r="O649" s="511"/>
      <c r="P649" s="511"/>
      <c r="Q649" s="511"/>
      <c r="R649" s="511"/>
      <c r="S649" s="511"/>
      <c r="T649" s="511"/>
      <c r="U649" s="511"/>
      <c r="V649" s="511"/>
      <c r="W649" s="511"/>
      <c r="X649" s="511"/>
      <c r="Y649" s="511"/>
      <c r="Z649" s="511"/>
      <c r="AA649" s="511"/>
      <c r="AB649" s="511"/>
      <c r="AC649" s="511"/>
      <c r="AD649" s="511"/>
      <c r="AE649" s="511"/>
      <c r="AF649" s="511"/>
      <c r="AG649" s="511"/>
      <c r="AH649" s="511"/>
      <c r="AI649" s="511"/>
      <c r="AJ649" s="511"/>
      <c r="AK649" s="511"/>
      <c r="AL649" s="511"/>
      <c r="AM649" s="511"/>
      <c r="AN649" s="511"/>
      <c r="AO649" s="511"/>
      <c r="AP649" s="511"/>
      <c r="AQ649" s="511"/>
      <c r="AR649" s="511"/>
      <c r="AS649" s="511"/>
      <c r="AT649" s="511"/>
      <c r="AU649" s="511"/>
      <c r="AV649" s="511"/>
      <c r="AW649" s="511"/>
      <c r="AX649" s="511"/>
      <c r="AY649" s="511"/>
      <c r="AZ649" s="511"/>
      <c r="BA649" s="511"/>
      <c r="BB649" s="511"/>
      <c r="BC649" s="511"/>
      <c r="BD649" s="511"/>
      <c r="BE649" s="511"/>
    </row>
    <row r="650" ht="15.75" customHeight="1">
      <c r="A650" s="511"/>
      <c r="B650" s="511"/>
      <c r="C650" s="511"/>
      <c r="D650" s="511"/>
      <c r="E650" s="511"/>
      <c r="F650" s="511"/>
      <c r="G650" s="511"/>
      <c r="H650" s="511"/>
      <c r="I650" s="511"/>
      <c r="J650" s="511"/>
      <c r="K650" s="511"/>
      <c r="L650" s="511"/>
      <c r="M650" s="511"/>
      <c r="N650" s="511"/>
      <c r="O650" s="511"/>
      <c r="P650" s="511"/>
      <c r="Q650" s="511"/>
      <c r="R650" s="511"/>
      <c r="S650" s="511"/>
      <c r="T650" s="511"/>
      <c r="U650" s="511"/>
      <c r="V650" s="511"/>
      <c r="W650" s="511"/>
      <c r="X650" s="511"/>
      <c r="Y650" s="511"/>
      <c r="Z650" s="511"/>
      <c r="AA650" s="511"/>
      <c r="AB650" s="511"/>
      <c r="AC650" s="511"/>
      <c r="AD650" s="511"/>
      <c r="AE650" s="511"/>
      <c r="AF650" s="511"/>
      <c r="AG650" s="511"/>
      <c r="AH650" s="511"/>
      <c r="AI650" s="511"/>
      <c r="AJ650" s="511"/>
      <c r="AK650" s="511"/>
      <c r="AL650" s="511"/>
      <c r="AM650" s="511"/>
      <c r="AN650" s="511"/>
      <c r="AO650" s="511"/>
      <c r="AP650" s="511"/>
      <c r="AQ650" s="511"/>
      <c r="AR650" s="511"/>
      <c r="AS650" s="511"/>
      <c r="AT650" s="511"/>
      <c r="AU650" s="511"/>
      <c r="AV650" s="511"/>
      <c r="AW650" s="511"/>
      <c r="AX650" s="511"/>
      <c r="AY650" s="511"/>
      <c r="AZ650" s="511"/>
      <c r="BA650" s="511"/>
      <c r="BB650" s="511"/>
      <c r="BC650" s="511"/>
      <c r="BD650" s="511"/>
      <c r="BE650" s="511"/>
    </row>
    <row r="651" ht="15.75" customHeight="1">
      <c r="A651" s="511"/>
      <c r="B651" s="511"/>
      <c r="C651" s="511"/>
      <c r="D651" s="511"/>
      <c r="E651" s="511"/>
      <c r="F651" s="511"/>
      <c r="G651" s="511"/>
      <c r="H651" s="511"/>
      <c r="I651" s="511"/>
      <c r="J651" s="511"/>
      <c r="K651" s="511"/>
      <c r="L651" s="511"/>
      <c r="M651" s="511"/>
      <c r="N651" s="511"/>
      <c r="O651" s="511"/>
      <c r="P651" s="511"/>
      <c r="Q651" s="511"/>
      <c r="R651" s="511"/>
      <c r="S651" s="511"/>
      <c r="T651" s="511"/>
      <c r="U651" s="511"/>
      <c r="V651" s="511"/>
      <c r="W651" s="511"/>
      <c r="X651" s="511"/>
      <c r="Y651" s="511"/>
      <c r="Z651" s="511"/>
      <c r="AA651" s="511"/>
      <c r="AB651" s="511"/>
      <c r="AC651" s="511"/>
      <c r="AD651" s="511"/>
      <c r="AE651" s="511"/>
      <c r="AF651" s="511"/>
      <c r="AG651" s="511"/>
      <c r="AH651" s="511"/>
      <c r="AI651" s="511"/>
      <c r="AJ651" s="511"/>
      <c r="AK651" s="511"/>
      <c r="AL651" s="511"/>
      <c r="AM651" s="511"/>
      <c r="AN651" s="511"/>
      <c r="AO651" s="511"/>
      <c r="AP651" s="511"/>
      <c r="AQ651" s="511"/>
      <c r="AR651" s="511"/>
      <c r="AS651" s="511"/>
      <c r="AT651" s="511"/>
      <c r="AU651" s="511"/>
      <c r="AV651" s="511"/>
      <c r="AW651" s="511"/>
      <c r="AX651" s="511"/>
      <c r="AY651" s="511"/>
      <c r="AZ651" s="511"/>
      <c r="BA651" s="511"/>
      <c r="BB651" s="511"/>
      <c r="BC651" s="511"/>
      <c r="BD651" s="511"/>
      <c r="BE651" s="511"/>
    </row>
    <row r="652" ht="15.75" customHeight="1">
      <c r="A652" s="511"/>
      <c r="B652" s="511"/>
      <c r="C652" s="511"/>
      <c r="D652" s="511"/>
      <c r="E652" s="511"/>
      <c r="F652" s="511"/>
      <c r="G652" s="511"/>
      <c r="H652" s="511"/>
      <c r="I652" s="511"/>
      <c r="J652" s="511"/>
      <c r="K652" s="511"/>
      <c r="L652" s="511"/>
      <c r="M652" s="511"/>
      <c r="N652" s="511"/>
      <c r="O652" s="511"/>
      <c r="P652" s="511"/>
      <c r="Q652" s="511"/>
      <c r="R652" s="511"/>
      <c r="S652" s="511"/>
      <c r="T652" s="511"/>
      <c r="U652" s="511"/>
      <c r="V652" s="511"/>
      <c r="W652" s="511"/>
      <c r="X652" s="511"/>
      <c r="Y652" s="511"/>
      <c r="Z652" s="511"/>
      <c r="AA652" s="511"/>
      <c r="AB652" s="511"/>
      <c r="AC652" s="511"/>
      <c r="AD652" s="511"/>
      <c r="AE652" s="511"/>
      <c r="AF652" s="511"/>
      <c r="AG652" s="511"/>
      <c r="AH652" s="511"/>
      <c r="AI652" s="511"/>
      <c r="AJ652" s="511"/>
      <c r="AK652" s="511"/>
      <c r="AL652" s="511"/>
      <c r="AM652" s="511"/>
      <c r="AN652" s="511"/>
      <c r="AO652" s="511"/>
      <c r="AP652" s="511"/>
      <c r="AQ652" s="511"/>
      <c r="AR652" s="511"/>
      <c r="AS652" s="511"/>
      <c r="AT652" s="511"/>
      <c r="AU652" s="511"/>
      <c r="AV652" s="511"/>
      <c r="AW652" s="511"/>
      <c r="AX652" s="511"/>
      <c r="AY652" s="511"/>
      <c r="AZ652" s="511"/>
      <c r="BA652" s="511"/>
      <c r="BB652" s="511"/>
      <c r="BC652" s="511"/>
      <c r="BD652" s="511"/>
      <c r="BE652" s="511"/>
    </row>
    <row r="653" ht="15.75" customHeight="1">
      <c r="A653" s="511"/>
      <c r="B653" s="511"/>
      <c r="C653" s="511"/>
      <c r="D653" s="511"/>
      <c r="E653" s="511"/>
      <c r="F653" s="511"/>
      <c r="G653" s="511"/>
      <c r="H653" s="511"/>
      <c r="I653" s="511"/>
      <c r="J653" s="511"/>
      <c r="K653" s="511"/>
      <c r="L653" s="511"/>
      <c r="M653" s="511"/>
      <c r="N653" s="511"/>
      <c r="O653" s="511"/>
      <c r="P653" s="511"/>
      <c r="Q653" s="511"/>
      <c r="R653" s="511"/>
      <c r="S653" s="511"/>
      <c r="T653" s="511"/>
      <c r="U653" s="511"/>
      <c r="V653" s="511"/>
      <c r="W653" s="511"/>
      <c r="X653" s="511"/>
      <c r="Y653" s="511"/>
      <c r="Z653" s="511"/>
      <c r="AA653" s="511"/>
      <c r="AB653" s="511"/>
      <c r="AC653" s="511"/>
      <c r="AD653" s="511"/>
      <c r="AE653" s="511"/>
      <c r="AF653" s="511"/>
      <c r="AG653" s="511"/>
      <c r="AH653" s="511"/>
      <c r="AI653" s="511"/>
      <c r="AJ653" s="511"/>
      <c r="AK653" s="511"/>
      <c r="AL653" s="511"/>
      <c r="AM653" s="511"/>
      <c r="AN653" s="511"/>
      <c r="AO653" s="511"/>
      <c r="AP653" s="511"/>
      <c r="AQ653" s="511"/>
      <c r="AR653" s="511"/>
      <c r="AS653" s="511"/>
      <c r="AT653" s="511"/>
      <c r="AU653" s="511"/>
      <c r="AV653" s="511"/>
      <c r="AW653" s="511"/>
      <c r="AX653" s="511"/>
      <c r="AY653" s="511"/>
      <c r="AZ653" s="511"/>
      <c r="BA653" s="511"/>
      <c r="BB653" s="511"/>
      <c r="BC653" s="511"/>
      <c r="BD653" s="511"/>
      <c r="BE653" s="511"/>
    </row>
    <row r="654" ht="15.75" customHeight="1">
      <c r="A654" s="511"/>
      <c r="B654" s="511"/>
      <c r="C654" s="511"/>
      <c r="D654" s="511"/>
      <c r="E654" s="511"/>
      <c r="F654" s="511"/>
      <c r="G654" s="511"/>
      <c r="H654" s="511"/>
      <c r="I654" s="511"/>
      <c r="J654" s="511"/>
      <c r="K654" s="511"/>
      <c r="L654" s="511"/>
      <c r="M654" s="511"/>
      <c r="N654" s="511"/>
      <c r="O654" s="511"/>
      <c r="P654" s="511"/>
      <c r="Q654" s="511"/>
      <c r="R654" s="511"/>
      <c r="S654" s="511"/>
      <c r="T654" s="511"/>
      <c r="U654" s="511"/>
      <c r="V654" s="511"/>
      <c r="W654" s="511"/>
      <c r="X654" s="511"/>
      <c r="Y654" s="511"/>
      <c r="Z654" s="511"/>
      <c r="AA654" s="511"/>
      <c r="AB654" s="511"/>
      <c r="AC654" s="511"/>
      <c r="AD654" s="511"/>
      <c r="AE654" s="511"/>
      <c r="AF654" s="511"/>
      <c r="AG654" s="511"/>
      <c r="AH654" s="511"/>
      <c r="AI654" s="511"/>
      <c r="AJ654" s="511"/>
      <c r="AK654" s="511"/>
      <c r="AL654" s="511"/>
      <c r="AM654" s="511"/>
      <c r="AN654" s="511"/>
      <c r="AO654" s="511"/>
      <c r="AP654" s="511"/>
      <c r="AQ654" s="511"/>
      <c r="AR654" s="511"/>
      <c r="AS654" s="511"/>
      <c r="AT654" s="511"/>
      <c r="AU654" s="511"/>
      <c r="AV654" s="511"/>
      <c r="AW654" s="511"/>
      <c r="AX654" s="511"/>
      <c r="AY654" s="511"/>
      <c r="AZ654" s="511"/>
      <c r="BA654" s="511"/>
      <c r="BB654" s="511"/>
      <c r="BC654" s="511"/>
      <c r="BD654" s="511"/>
      <c r="BE654" s="511"/>
    </row>
    <row r="655" ht="15.75" customHeight="1">
      <c r="A655" s="511"/>
      <c r="B655" s="511"/>
      <c r="C655" s="511"/>
      <c r="D655" s="511"/>
      <c r="E655" s="511"/>
      <c r="F655" s="511"/>
      <c r="G655" s="511"/>
      <c r="H655" s="511"/>
      <c r="I655" s="511"/>
      <c r="J655" s="511"/>
      <c r="K655" s="511"/>
      <c r="L655" s="511"/>
      <c r="M655" s="511"/>
      <c r="N655" s="511"/>
      <c r="O655" s="511"/>
      <c r="P655" s="511"/>
      <c r="Q655" s="511"/>
      <c r="R655" s="511"/>
      <c r="S655" s="511"/>
      <c r="T655" s="511"/>
      <c r="U655" s="511"/>
      <c r="V655" s="511"/>
      <c r="W655" s="511"/>
      <c r="X655" s="511"/>
      <c r="Y655" s="511"/>
      <c r="Z655" s="511"/>
      <c r="AA655" s="511"/>
      <c r="AB655" s="511"/>
      <c r="AC655" s="511"/>
      <c r="AD655" s="511"/>
      <c r="AE655" s="511"/>
      <c r="AF655" s="511"/>
      <c r="AG655" s="511"/>
      <c r="AH655" s="511"/>
      <c r="AI655" s="511"/>
      <c r="AJ655" s="511"/>
      <c r="AK655" s="511"/>
      <c r="AL655" s="511"/>
      <c r="AM655" s="511"/>
      <c r="AN655" s="511"/>
      <c r="AO655" s="511"/>
      <c r="AP655" s="511"/>
      <c r="AQ655" s="511"/>
      <c r="AR655" s="511"/>
      <c r="AS655" s="511"/>
      <c r="AT655" s="511"/>
      <c r="AU655" s="511"/>
      <c r="AV655" s="511"/>
      <c r="AW655" s="511"/>
      <c r="AX655" s="511"/>
      <c r="AY655" s="511"/>
      <c r="AZ655" s="511"/>
      <c r="BA655" s="511"/>
      <c r="BB655" s="511"/>
      <c r="BC655" s="511"/>
      <c r="BD655" s="511"/>
      <c r="BE655" s="511"/>
    </row>
    <row r="656" ht="15.75" customHeight="1">
      <c r="A656" s="511"/>
      <c r="B656" s="511"/>
      <c r="C656" s="511"/>
      <c r="D656" s="511"/>
      <c r="E656" s="511"/>
      <c r="F656" s="511"/>
      <c r="G656" s="511"/>
      <c r="H656" s="511"/>
      <c r="I656" s="511"/>
      <c r="J656" s="511"/>
      <c r="K656" s="511"/>
      <c r="L656" s="511"/>
      <c r="M656" s="511"/>
      <c r="N656" s="511"/>
      <c r="O656" s="511"/>
      <c r="P656" s="511"/>
      <c r="Q656" s="511"/>
      <c r="R656" s="511"/>
      <c r="S656" s="511"/>
      <c r="T656" s="511"/>
      <c r="U656" s="511"/>
      <c r="V656" s="511"/>
      <c r="W656" s="511"/>
      <c r="X656" s="511"/>
      <c r="Y656" s="511"/>
      <c r="Z656" s="511"/>
      <c r="AA656" s="511"/>
      <c r="AB656" s="511"/>
      <c r="AC656" s="511"/>
      <c r="AD656" s="511"/>
      <c r="AE656" s="511"/>
      <c r="AF656" s="511"/>
      <c r="AG656" s="511"/>
      <c r="AH656" s="511"/>
      <c r="AI656" s="511"/>
      <c r="AJ656" s="511"/>
      <c r="AK656" s="511"/>
      <c r="AL656" s="511"/>
      <c r="AM656" s="511"/>
      <c r="AN656" s="511"/>
      <c r="AO656" s="511"/>
      <c r="AP656" s="511"/>
      <c r="AQ656" s="511"/>
      <c r="AR656" s="511"/>
      <c r="AS656" s="511"/>
      <c r="AT656" s="511"/>
      <c r="AU656" s="511"/>
      <c r="AV656" s="511"/>
      <c r="AW656" s="511"/>
      <c r="AX656" s="511"/>
      <c r="AY656" s="511"/>
      <c r="AZ656" s="511"/>
      <c r="BA656" s="511"/>
      <c r="BB656" s="511"/>
      <c r="BC656" s="511"/>
      <c r="BD656" s="511"/>
      <c r="BE656" s="511"/>
    </row>
    <row r="657" ht="15.75" customHeight="1">
      <c r="A657" s="511"/>
      <c r="B657" s="511"/>
      <c r="C657" s="511"/>
      <c r="D657" s="511"/>
      <c r="E657" s="511"/>
      <c r="F657" s="511"/>
      <c r="G657" s="511"/>
      <c r="H657" s="511"/>
      <c r="I657" s="511"/>
      <c r="J657" s="511"/>
      <c r="K657" s="511"/>
      <c r="L657" s="511"/>
      <c r="M657" s="511"/>
      <c r="N657" s="511"/>
      <c r="O657" s="511"/>
      <c r="P657" s="511"/>
      <c r="Q657" s="511"/>
      <c r="R657" s="511"/>
      <c r="S657" s="511"/>
      <c r="T657" s="511"/>
      <c r="U657" s="511"/>
      <c r="V657" s="511"/>
      <c r="W657" s="511"/>
      <c r="X657" s="511"/>
      <c r="Y657" s="511"/>
      <c r="Z657" s="511"/>
      <c r="AA657" s="511"/>
      <c r="AB657" s="511"/>
      <c r="AC657" s="511"/>
      <c r="AD657" s="511"/>
      <c r="AE657" s="511"/>
      <c r="AF657" s="511"/>
      <c r="AG657" s="511"/>
      <c r="AH657" s="511"/>
      <c r="AI657" s="511"/>
      <c r="AJ657" s="511"/>
      <c r="AK657" s="511"/>
      <c r="AL657" s="511"/>
      <c r="AM657" s="511"/>
      <c r="AN657" s="511"/>
      <c r="AO657" s="511"/>
      <c r="AP657" s="511"/>
      <c r="AQ657" s="511"/>
      <c r="AR657" s="511"/>
      <c r="AS657" s="511"/>
      <c r="AT657" s="511"/>
      <c r="AU657" s="511"/>
      <c r="AV657" s="511"/>
      <c r="AW657" s="511"/>
      <c r="AX657" s="511"/>
      <c r="AY657" s="511"/>
      <c r="AZ657" s="511"/>
      <c r="BA657" s="511"/>
      <c r="BB657" s="511"/>
      <c r="BC657" s="511"/>
      <c r="BD657" s="511"/>
      <c r="BE657" s="511"/>
    </row>
    <row r="658" ht="15.75" customHeight="1">
      <c r="A658" s="511"/>
      <c r="B658" s="511"/>
      <c r="C658" s="511"/>
      <c r="D658" s="511"/>
      <c r="E658" s="511"/>
      <c r="F658" s="511"/>
      <c r="G658" s="511"/>
      <c r="H658" s="511"/>
      <c r="I658" s="511"/>
      <c r="J658" s="511"/>
      <c r="K658" s="511"/>
      <c r="L658" s="511"/>
      <c r="M658" s="511"/>
      <c r="N658" s="511"/>
      <c r="O658" s="511"/>
      <c r="P658" s="511"/>
      <c r="Q658" s="511"/>
      <c r="R658" s="511"/>
      <c r="S658" s="511"/>
      <c r="T658" s="511"/>
      <c r="U658" s="511"/>
      <c r="V658" s="511"/>
      <c r="W658" s="511"/>
      <c r="X658" s="511"/>
      <c r="Y658" s="511"/>
      <c r="Z658" s="511"/>
      <c r="AA658" s="511"/>
      <c r="AB658" s="511"/>
      <c r="AC658" s="511"/>
      <c r="AD658" s="511"/>
      <c r="AE658" s="511"/>
      <c r="AF658" s="511"/>
      <c r="AG658" s="511"/>
      <c r="AH658" s="511"/>
      <c r="AI658" s="511"/>
      <c r="AJ658" s="511"/>
      <c r="AK658" s="511"/>
      <c r="AL658" s="511"/>
      <c r="AM658" s="511"/>
      <c r="AN658" s="511"/>
      <c r="AO658" s="511"/>
      <c r="AP658" s="511"/>
      <c r="AQ658" s="511"/>
      <c r="AR658" s="511"/>
      <c r="AS658" s="511"/>
      <c r="AT658" s="511"/>
      <c r="AU658" s="511"/>
      <c r="AV658" s="511"/>
      <c r="AW658" s="511"/>
      <c r="AX658" s="511"/>
      <c r="AY658" s="511"/>
      <c r="AZ658" s="511"/>
      <c r="BA658" s="511"/>
      <c r="BB658" s="511"/>
      <c r="BC658" s="511"/>
      <c r="BD658" s="511"/>
      <c r="BE658" s="511"/>
    </row>
    <row r="659" ht="15.75" customHeight="1">
      <c r="A659" s="511"/>
      <c r="B659" s="511"/>
      <c r="C659" s="511"/>
      <c r="D659" s="511"/>
      <c r="E659" s="511"/>
      <c r="F659" s="511"/>
      <c r="G659" s="511"/>
      <c r="H659" s="511"/>
      <c r="I659" s="511"/>
      <c r="J659" s="511"/>
      <c r="K659" s="511"/>
      <c r="L659" s="511"/>
      <c r="M659" s="511"/>
      <c r="N659" s="511"/>
      <c r="O659" s="511"/>
      <c r="P659" s="511"/>
      <c r="Q659" s="511"/>
      <c r="R659" s="511"/>
      <c r="S659" s="511"/>
      <c r="T659" s="511"/>
      <c r="U659" s="511"/>
      <c r="V659" s="511"/>
      <c r="W659" s="511"/>
      <c r="X659" s="511"/>
      <c r="Y659" s="511"/>
      <c r="Z659" s="511"/>
      <c r="AA659" s="511"/>
      <c r="AB659" s="511"/>
      <c r="AC659" s="511"/>
      <c r="AD659" s="511"/>
      <c r="AE659" s="511"/>
      <c r="AF659" s="511"/>
      <c r="AG659" s="511"/>
      <c r="AH659" s="511"/>
      <c r="AI659" s="511"/>
      <c r="AJ659" s="511"/>
      <c r="AK659" s="511"/>
      <c r="AL659" s="511"/>
      <c r="AM659" s="511"/>
      <c r="AN659" s="511"/>
      <c r="AO659" s="511"/>
      <c r="AP659" s="511"/>
      <c r="AQ659" s="511"/>
      <c r="AR659" s="511"/>
      <c r="AS659" s="511"/>
      <c r="AT659" s="511"/>
      <c r="AU659" s="511"/>
      <c r="AV659" s="511"/>
      <c r="AW659" s="511"/>
      <c r="AX659" s="511"/>
      <c r="AY659" s="511"/>
      <c r="AZ659" s="511"/>
      <c r="BA659" s="511"/>
      <c r="BB659" s="511"/>
      <c r="BC659" s="511"/>
      <c r="BD659" s="511"/>
      <c r="BE659" s="511"/>
    </row>
    <row r="660" ht="15.75" customHeight="1">
      <c r="A660" s="511"/>
      <c r="B660" s="511"/>
      <c r="C660" s="511"/>
      <c r="D660" s="511"/>
      <c r="E660" s="511"/>
      <c r="F660" s="511"/>
      <c r="G660" s="511"/>
      <c r="H660" s="511"/>
      <c r="I660" s="511"/>
      <c r="J660" s="511"/>
      <c r="K660" s="511"/>
      <c r="L660" s="511"/>
      <c r="M660" s="511"/>
      <c r="N660" s="511"/>
      <c r="O660" s="511"/>
      <c r="P660" s="511"/>
      <c r="Q660" s="511"/>
      <c r="R660" s="511"/>
      <c r="S660" s="511"/>
      <c r="T660" s="511"/>
      <c r="U660" s="511"/>
      <c r="V660" s="511"/>
      <c r="W660" s="511"/>
      <c r="X660" s="511"/>
      <c r="Y660" s="511"/>
      <c r="Z660" s="511"/>
      <c r="AA660" s="511"/>
      <c r="AB660" s="511"/>
      <c r="AC660" s="511"/>
      <c r="AD660" s="511"/>
      <c r="AE660" s="511"/>
      <c r="AF660" s="511"/>
      <c r="AG660" s="511"/>
      <c r="AH660" s="511"/>
      <c r="AI660" s="511"/>
      <c r="AJ660" s="511"/>
      <c r="AK660" s="511"/>
      <c r="AL660" s="511"/>
      <c r="AM660" s="511"/>
      <c r="AN660" s="511"/>
      <c r="AO660" s="511"/>
      <c r="AP660" s="511"/>
      <c r="AQ660" s="511"/>
      <c r="AR660" s="511"/>
      <c r="AS660" s="511"/>
      <c r="AT660" s="511"/>
      <c r="AU660" s="511"/>
      <c r="AV660" s="511"/>
      <c r="AW660" s="511"/>
      <c r="AX660" s="511"/>
      <c r="AY660" s="511"/>
      <c r="AZ660" s="511"/>
      <c r="BA660" s="511"/>
      <c r="BB660" s="511"/>
      <c r="BC660" s="511"/>
      <c r="BD660" s="511"/>
      <c r="BE660" s="511"/>
    </row>
    <row r="661" ht="15.75" customHeight="1">
      <c r="A661" s="511"/>
      <c r="B661" s="511"/>
      <c r="C661" s="511"/>
      <c r="D661" s="511"/>
      <c r="E661" s="511"/>
      <c r="F661" s="511"/>
      <c r="G661" s="511"/>
      <c r="H661" s="511"/>
      <c r="I661" s="511"/>
      <c r="J661" s="511"/>
      <c r="K661" s="511"/>
      <c r="L661" s="511"/>
      <c r="M661" s="511"/>
      <c r="N661" s="511"/>
      <c r="O661" s="511"/>
      <c r="P661" s="511"/>
      <c r="Q661" s="511"/>
      <c r="R661" s="511"/>
      <c r="S661" s="511"/>
      <c r="T661" s="511"/>
      <c r="U661" s="511"/>
      <c r="V661" s="511"/>
      <c r="W661" s="511"/>
      <c r="X661" s="511"/>
      <c r="Y661" s="511"/>
      <c r="Z661" s="511"/>
      <c r="AA661" s="511"/>
      <c r="AB661" s="511"/>
      <c r="AC661" s="511"/>
      <c r="AD661" s="511"/>
      <c r="AE661" s="511"/>
      <c r="AF661" s="511"/>
      <c r="AG661" s="511"/>
      <c r="AH661" s="511"/>
      <c r="AI661" s="511"/>
      <c r="AJ661" s="511"/>
      <c r="AK661" s="511"/>
      <c r="AL661" s="511"/>
      <c r="AM661" s="511"/>
      <c r="AN661" s="511"/>
      <c r="AO661" s="511"/>
      <c r="AP661" s="511"/>
      <c r="AQ661" s="511"/>
      <c r="AR661" s="511"/>
      <c r="AS661" s="511"/>
      <c r="AT661" s="511"/>
      <c r="AU661" s="511"/>
      <c r="AV661" s="511"/>
      <c r="AW661" s="511"/>
      <c r="AX661" s="511"/>
      <c r="AY661" s="511"/>
      <c r="AZ661" s="511"/>
      <c r="BA661" s="511"/>
      <c r="BB661" s="511"/>
      <c r="BC661" s="511"/>
      <c r="BD661" s="511"/>
      <c r="BE661" s="511"/>
    </row>
    <row r="662" ht="15.75" customHeight="1">
      <c r="A662" s="511"/>
      <c r="B662" s="511"/>
      <c r="C662" s="511"/>
      <c r="D662" s="511"/>
      <c r="E662" s="511"/>
      <c r="F662" s="511"/>
      <c r="G662" s="511"/>
      <c r="H662" s="511"/>
      <c r="I662" s="511"/>
      <c r="J662" s="511"/>
      <c r="K662" s="511"/>
      <c r="L662" s="511"/>
      <c r="M662" s="511"/>
      <c r="N662" s="511"/>
      <c r="O662" s="511"/>
      <c r="P662" s="511"/>
      <c r="Q662" s="511"/>
      <c r="R662" s="511"/>
      <c r="S662" s="511"/>
      <c r="T662" s="511"/>
      <c r="U662" s="511"/>
      <c r="V662" s="511"/>
      <c r="W662" s="511"/>
      <c r="X662" s="511"/>
      <c r="Y662" s="511"/>
      <c r="Z662" s="511"/>
      <c r="AA662" s="511"/>
      <c r="AB662" s="511"/>
      <c r="AC662" s="511"/>
      <c r="AD662" s="511"/>
      <c r="AE662" s="511"/>
      <c r="AF662" s="511"/>
      <c r="AG662" s="511"/>
      <c r="AH662" s="511"/>
      <c r="AI662" s="511"/>
      <c r="AJ662" s="511"/>
      <c r="AK662" s="511"/>
      <c r="AL662" s="511"/>
      <c r="AM662" s="511"/>
      <c r="AN662" s="511"/>
      <c r="AO662" s="511"/>
      <c r="AP662" s="511"/>
      <c r="AQ662" s="511"/>
      <c r="AR662" s="511"/>
      <c r="AS662" s="511"/>
      <c r="AT662" s="511"/>
      <c r="AU662" s="511"/>
      <c r="AV662" s="511"/>
      <c r="AW662" s="511"/>
      <c r="AX662" s="511"/>
      <c r="AY662" s="511"/>
      <c r="AZ662" s="511"/>
      <c r="BA662" s="511"/>
      <c r="BB662" s="511"/>
      <c r="BC662" s="511"/>
      <c r="BD662" s="511"/>
      <c r="BE662" s="511"/>
    </row>
    <row r="663" ht="15.75" customHeight="1">
      <c r="A663" s="511"/>
      <c r="B663" s="511"/>
      <c r="C663" s="511"/>
      <c r="D663" s="511"/>
      <c r="E663" s="511"/>
      <c r="F663" s="511"/>
      <c r="G663" s="511"/>
      <c r="H663" s="511"/>
      <c r="I663" s="511"/>
      <c r="J663" s="511"/>
      <c r="K663" s="511"/>
      <c r="L663" s="511"/>
      <c r="M663" s="511"/>
      <c r="N663" s="511"/>
      <c r="O663" s="511"/>
      <c r="P663" s="511"/>
      <c r="Q663" s="511"/>
      <c r="R663" s="511"/>
      <c r="S663" s="511"/>
      <c r="T663" s="511"/>
      <c r="U663" s="511"/>
      <c r="V663" s="511"/>
      <c r="W663" s="511"/>
      <c r="X663" s="511"/>
      <c r="Y663" s="511"/>
      <c r="Z663" s="511"/>
      <c r="AA663" s="511"/>
      <c r="AB663" s="511"/>
      <c r="AC663" s="511"/>
      <c r="AD663" s="511"/>
      <c r="AE663" s="511"/>
      <c r="AF663" s="511"/>
      <c r="AG663" s="511"/>
      <c r="AH663" s="511"/>
      <c r="AI663" s="511"/>
      <c r="AJ663" s="511"/>
      <c r="AK663" s="511"/>
      <c r="AL663" s="511"/>
      <c r="AM663" s="511"/>
      <c r="AN663" s="511"/>
      <c r="AO663" s="511"/>
      <c r="AP663" s="511"/>
      <c r="AQ663" s="511"/>
      <c r="AR663" s="511"/>
      <c r="AS663" s="511"/>
      <c r="AT663" s="511"/>
      <c r="AU663" s="511"/>
      <c r="AV663" s="511"/>
      <c r="AW663" s="511"/>
      <c r="AX663" s="511"/>
      <c r="AY663" s="511"/>
      <c r="AZ663" s="511"/>
      <c r="BA663" s="511"/>
      <c r="BB663" s="511"/>
      <c r="BC663" s="511"/>
      <c r="BD663" s="511"/>
      <c r="BE663" s="511"/>
    </row>
    <row r="664" ht="15.75" customHeight="1">
      <c r="A664" s="511"/>
      <c r="B664" s="511"/>
      <c r="C664" s="511"/>
      <c r="D664" s="511"/>
      <c r="E664" s="511"/>
      <c r="F664" s="511"/>
      <c r="G664" s="511"/>
      <c r="H664" s="511"/>
      <c r="I664" s="511"/>
      <c r="J664" s="511"/>
      <c r="K664" s="511"/>
      <c r="L664" s="511"/>
      <c r="M664" s="511"/>
      <c r="N664" s="511"/>
      <c r="O664" s="511"/>
      <c r="P664" s="511"/>
      <c r="Q664" s="511"/>
      <c r="R664" s="511"/>
      <c r="S664" s="511"/>
      <c r="T664" s="511"/>
      <c r="U664" s="511"/>
      <c r="V664" s="511"/>
      <c r="W664" s="511"/>
      <c r="X664" s="511"/>
      <c r="Y664" s="511"/>
      <c r="Z664" s="511"/>
      <c r="AA664" s="511"/>
      <c r="AB664" s="511"/>
      <c r="AC664" s="511"/>
      <c r="AD664" s="511"/>
      <c r="AE664" s="511"/>
      <c r="AF664" s="511"/>
      <c r="AG664" s="511"/>
      <c r="AH664" s="511"/>
      <c r="AI664" s="511"/>
      <c r="AJ664" s="511"/>
      <c r="AK664" s="511"/>
      <c r="AL664" s="511"/>
      <c r="AM664" s="511"/>
      <c r="AN664" s="511"/>
      <c r="AO664" s="511"/>
      <c r="AP664" s="511"/>
      <c r="AQ664" s="511"/>
      <c r="AR664" s="511"/>
      <c r="AS664" s="511"/>
      <c r="AT664" s="511"/>
      <c r="AU664" s="511"/>
      <c r="AV664" s="511"/>
      <c r="AW664" s="511"/>
      <c r="AX664" s="511"/>
      <c r="AY664" s="511"/>
      <c r="AZ664" s="511"/>
      <c r="BA664" s="511"/>
      <c r="BB664" s="511"/>
      <c r="BC664" s="511"/>
      <c r="BD664" s="511"/>
      <c r="BE664" s="511"/>
    </row>
    <row r="665" ht="15.75" customHeight="1">
      <c r="A665" s="511"/>
      <c r="B665" s="511"/>
      <c r="C665" s="511"/>
      <c r="D665" s="511"/>
      <c r="E665" s="511"/>
      <c r="F665" s="511"/>
      <c r="G665" s="511"/>
      <c r="H665" s="511"/>
      <c r="I665" s="511"/>
      <c r="J665" s="511"/>
      <c r="K665" s="511"/>
      <c r="L665" s="511"/>
      <c r="M665" s="511"/>
      <c r="N665" s="511"/>
      <c r="O665" s="511"/>
      <c r="P665" s="511"/>
      <c r="Q665" s="511"/>
      <c r="R665" s="511"/>
      <c r="S665" s="511"/>
      <c r="T665" s="511"/>
      <c r="U665" s="511"/>
      <c r="V665" s="511"/>
      <c r="W665" s="511"/>
      <c r="X665" s="511"/>
      <c r="Y665" s="511"/>
      <c r="Z665" s="511"/>
      <c r="AA665" s="511"/>
      <c r="AB665" s="511"/>
      <c r="AC665" s="511"/>
      <c r="AD665" s="511"/>
      <c r="AE665" s="511"/>
      <c r="AF665" s="511"/>
      <c r="AG665" s="511"/>
      <c r="AH665" s="511"/>
      <c r="AI665" s="511"/>
      <c r="AJ665" s="511"/>
      <c r="AK665" s="511"/>
      <c r="AL665" s="511"/>
      <c r="AM665" s="511"/>
      <c r="AN665" s="511"/>
      <c r="AO665" s="511"/>
      <c r="AP665" s="511"/>
      <c r="AQ665" s="511"/>
      <c r="AR665" s="511"/>
      <c r="AS665" s="511"/>
      <c r="AT665" s="511"/>
      <c r="AU665" s="511"/>
      <c r="AV665" s="511"/>
      <c r="AW665" s="511"/>
      <c r="AX665" s="511"/>
      <c r="AY665" s="511"/>
      <c r="AZ665" s="511"/>
      <c r="BA665" s="511"/>
      <c r="BB665" s="511"/>
      <c r="BC665" s="511"/>
      <c r="BD665" s="511"/>
      <c r="BE665" s="511"/>
    </row>
    <row r="666" ht="15.75" customHeight="1">
      <c r="A666" s="511"/>
      <c r="B666" s="511"/>
      <c r="C666" s="511"/>
      <c r="D666" s="511"/>
      <c r="E666" s="511"/>
      <c r="F666" s="511"/>
      <c r="G666" s="511"/>
      <c r="H666" s="511"/>
      <c r="I666" s="511"/>
      <c r="J666" s="511"/>
      <c r="K666" s="511"/>
      <c r="L666" s="511"/>
      <c r="M666" s="511"/>
      <c r="N666" s="511"/>
      <c r="O666" s="511"/>
      <c r="P666" s="511"/>
      <c r="Q666" s="511"/>
      <c r="R666" s="511"/>
      <c r="S666" s="511"/>
      <c r="T666" s="511"/>
      <c r="U666" s="511"/>
      <c r="V666" s="511"/>
      <c r="W666" s="511"/>
      <c r="X666" s="511"/>
      <c r="Y666" s="511"/>
      <c r="Z666" s="511"/>
      <c r="AA666" s="511"/>
      <c r="AB666" s="511"/>
      <c r="AC666" s="511"/>
      <c r="AD666" s="511"/>
      <c r="AE666" s="511"/>
      <c r="AF666" s="511"/>
      <c r="AG666" s="511"/>
      <c r="AH666" s="511"/>
      <c r="AI666" s="511"/>
      <c r="AJ666" s="511"/>
      <c r="AK666" s="511"/>
      <c r="AL666" s="511"/>
      <c r="AM666" s="511"/>
      <c r="AN666" s="511"/>
      <c r="AO666" s="511"/>
      <c r="AP666" s="511"/>
      <c r="AQ666" s="511"/>
      <c r="AR666" s="511"/>
      <c r="AS666" s="511"/>
      <c r="AT666" s="511"/>
      <c r="AU666" s="511"/>
      <c r="AV666" s="511"/>
      <c r="AW666" s="511"/>
      <c r="AX666" s="511"/>
      <c r="AY666" s="511"/>
      <c r="AZ666" s="511"/>
      <c r="BA666" s="511"/>
      <c r="BB666" s="511"/>
      <c r="BC666" s="511"/>
      <c r="BD666" s="511"/>
      <c r="BE666" s="511"/>
    </row>
    <row r="667" ht="15.75" customHeight="1">
      <c r="A667" s="511"/>
      <c r="B667" s="511"/>
      <c r="C667" s="511"/>
      <c r="D667" s="511"/>
      <c r="E667" s="511"/>
      <c r="F667" s="511"/>
      <c r="G667" s="511"/>
      <c r="H667" s="511"/>
      <c r="I667" s="511"/>
      <c r="J667" s="511"/>
      <c r="K667" s="511"/>
      <c r="L667" s="511"/>
      <c r="M667" s="511"/>
      <c r="N667" s="511"/>
      <c r="O667" s="511"/>
      <c r="P667" s="511"/>
      <c r="Q667" s="511"/>
      <c r="R667" s="511"/>
      <c r="S667" s="511"/>
      <c r="T667" s="511"/>
      <c r="U667" s="511"/>
      <c r="V667" s="511"/>
      <c r="W667" s="511"/>
      <c r="X667" s="511"/>
      <c r="Y667" s="511"/>
      <c r="Z667" s="511"/>
      <c r="AA667" s="511"/>
      <c r="AB667" s="511"/>
      <c r="AC667" s="511"/>
      <c r="AD667" s="511"/>
      <c r="AE667" s="511"/>
      <c r="AF667" s="511"/>
      <c r="AG667" s="511"/>
      <c r="AH667" s="511"/>
      <c r="AI667" s="511"/>
      <c r="AJ667" s="511"/>
      <c r="AK667" s="511"/>
      <c r="AL667" s="511"/>
      <c r="AM667" s="511"/>
      <c r="AN667" s="511"/>
      <c r="AO667" s="511"/>
      <c r="AP667" s="511"/>
      <c r="AQ667" s="511"/>
      <c r="AR667" s="511"/>
      <c r="AS667" s="511"/>
      <c r="AT667" s="511"/>
      <c r="AU667" s="511"/>
      <c r="AV667" s="511"/>
      <c r="AW667" s="511"/>
      <c r="AX667" s="511"/>
      <c r="AY667" s="511"/>
      <c r="AZ667" s="511"/>
      <c r="BA667" s="511"/>
      <c r="BB667" s="511"/>
      <c r="BC667" s="511"/>
      <c r="BD667" s="511"/>
      <c r="BE667" s="511"/>
    </row>
    <row r="668" ht="15.75" customHeight="1">
      <c r="A668" s="511"/>
      <c r="B668" s="511"/>
      <c r="C668" s="511"/>
      <c r="D668" s="511"/>
      <c r="E668" s="511"/>
      <c r="F668" s="511"/>
      <c r="G668" s="511"/>
      <c r="H668" s="511"/>
      <c r="I668" s="511"/>
      <c r="J668" s="511"/>
      <c r="K668" s="511"/>
      <c r="L668" s="511"/>
      <c r="M668" s="511"/>
      <c r="N668" s="511"/>
      <c r="O668" s="511"/>
      <c r="P668" s="511"/>
      <c r="Q668" s="511"/>
      <c r="R668" s="511"/>
      <c r="S668" s="511"/>
      <c r="T668" s="511"/>
      <c r="U668" s="511"/>
      <c r="V668" s="511"/>
      <c r="W668" s="511"/>
      <c r="X668" s="511"/>
      <c r="Y668" s="511"/>
      <c r="Z668" s="511"/>
      <c r="AA668" s="511"/>
      <c r="AB668" s="511"/>
      <c r="AC668" s="511"/>
      <c r="AD668" s="511"/>
      <c r="AE668" s="511"/>
      <c r="AF668" s="511"/>
      <c r="AG668" s="511"/>
      <c r="AH668" s="511"/>
      <c r="AI668" s="511"/>
      <c r="AJ668" s="511"/>
      <c r="AK668" s="511"/>
      <c r="AL668" s="511"/>
      <c r="AM668" s="511"/>
      <c r="AN668" s="511"/>
      <c r="AO668" s="511"/>
      <c r="AP668" s="511"/>
      <c r="AQ668" s="511"/>
      <c r="AR668" s="511"/>
      <c r="AS668" s="511"/>
      <c r="AT668" s="511"/>
      <c r="AU668" s="511"/>
      <c r="AV668" s="511"/>
      <c r="AW668" s="511"/>
      <c r="AX668" s="511"/>
      <c r="AY668" s="511"/>
      <c r="AZ668" s="511"/>
      <c r="BA668" s="511"/>
      <c r="BB668" s="511"/>
      <c r="BC668" s="511"/>
      <c r="BD668" s="511"/>
      <c r="BE668" s="511"/>
    </row>
    <row r="669" ht="15.75" customHeight="1">
      <c r="A669" s="511"/>
      <c r="B669" s="511"/>
      <c r="C669" s="511"/>
      <c r="D669" s="511"/>
      <c r="E669" s="511"/>
      <c r="F669" s="511"/>
      <c r="G669" s="511"/>
      <c r="H669" s="511"/>
      <c r="I669" s="511"/>
      <c r="J669" s="511"/>
      <c r="K669" s="511"/>
      <c r="L669" s="511"/>
      <c r="M669" s="511"/>
      <c r="N669" s="511"/>
      <c r="O669" s="511"/>
      <c r="P669" s="511"/>
      <c r="Q669" s="511"/>
      <c r="R669" s="511"/>
      <c r="S669" s="511"/>
      <c r="T669" s="511"/>
      <c r="U669" s="511"/>
      <c r="V669" s="511"/>
      <c r="W669" s="511"/>
      <c r="X669" s="511"/>
      <c r="Y669" s="511"/>
      <c r="Z669" s="511"/>
      <c r="AA669" s="511"/>
      <c r="AB669" s="511"/>
      <c r="AC669" s="511"/>
      <c r="AD669" s="511"/>
      <c r="AE669" s="511"/>
      <c r="AF669" s="511"/>
      <c r="AG669" s="511"/>
      <c r="AH669" s="511"/>
      <c r="AI669" s="511"/>
      <c r="AJ669" s="511"/>
      <c r="AK669" s="511"/>
      <c r="AL669" s="511"/>
      <c r="AM669" s="511"/>
      <c r="AN669" s="511"/>
      <c r="AO669" s="511"/>
      <c r="AP669" s="511"/>
      <c r="AQ669" s="511"/>
      <c r="AR669" s="511"/>
      <c r="AS669" s="511"/>
      <c r="AT669" s="511"/>
      <c r="AU669" s="511"/>
      <c r="AV669" s="511"/>
      <c r="AW669" s="511"/>
      <c r="AX669" s="511"/>
      <c r="AY669" s="511"/>
      <c r="AZ669" s="511"/>
      <c r="BA669" s="511"/>
      <c r="BB669" s="511"/>
      <c r="BC669" s="511"/>
      <c r="BD669" s="511"/>
      <c r="BE669" s="511"/>
    </row>
    <row r="670" ht="15.75" customHeight="1">
      <c r="A670" s="511"/>
      <c r="B670" s="511"/>
      <c r="C670" s="511"/>
      <c r="D670" s="511"/>
      <c r="E670" s="511"/>
      <c r="F670" s="511"/>
      <c r="G670" s="511"/>
      <c r="H670" s="511"/>
      <c r="I670" s="511"/>
      <c r="J670" s="511"/>
      <c r="K670" s="511"/>
      <c r="L670" s="511"/>
      <c r="M670" s="511"/>
      <c r="N670" s="511"/>
      <c r="O670" s="511"/>
      <c r="P670" s="511"/>
      <c r="Q670" s="511"/>
      <c r="R670" s="511"/>
      <c r="S670" s="511"/>
      <c r="T670" s="511"/>
      <c r="U670" s="511"/>
      <c r="V670" s="511"/>
      <c r="W670" s="511"/>
      <c r="X670" s="511"/>
      <c r="Y670" s="511"/>
      <c r="Z670" s="511"/>
      <c r="AA670" s="511"/>
      <c r="AB670" s="511"/>
      <c r="AC670" s="511"/>
      <c r="AD670" s="511"/>
      <c r="AE670" s="511"/>
      <c r="AF670" s="511"/>
      <c r="AG670" s="511"/>
      <c r="AH670" s="511"/>
      <c r="AI670" s="511"/>
      <c r="AJ670" s="511"/>
      <c r="AK670" s="511"/>
      <c r="AL670" s="511"/>
      <c r="AM670" s="511"/>
      <c r="AN670" s="511"/>
      <c r="AO670" s="511"/>
      <c r="AP670" s="511"/>
      <c r="AQ670" s="511"/>
      <c r="AR670" s="511"/>
      <c r="AS670" s="511"/>
      <c r="AT670" s="511"/>
      <c r="AU670" s="511"/>
      <c r="AV670" s="511"/>
      <c r="AW670" s="511"/>
      <c r="AX670" s="511"/>
      <c r="AY670" s="511"/>
      <c r="AZ670" s="511"/>
      <c r="BA670" s="511"/>
      <c r="BB670" s="511"/>
      <c r="BC670" s="511"/>
      <c r="BD670" s="511"/>
      <c r="BE670" s="511"/>
    </row>
    <row r="671" ht="15.75" customHeight="1">
      <c r="A671" s="511"/>
      <c r="B671" s="511"/>
      <c r="C671" s="511"/>
      <c r="D671" s="511"/>
      <c r="E671" s="511"/>
      <c r="F671" s="511"/>
      <c r="G671" s="511"/>
      <c r="H671" s="511"/>
      <c r="I671" s="511"/>
      <c r="J671" s="511"/>
      <c r="K671" s="511"/>
      <c r="L671" s="511"/>
      <c r="M671" s="511"/>
      <c r="N671" s="511"/>
      <c r="O671" s="511"/>
      <c r="P671" s="511"/>
      <c r="Q671" s="511"/>
      <c r="R671" s="511"/>
      <c r="S671" s="511"/>
      <c r="T671" s="511"/>
      <c r="U671" s="511"/>
      <c r="V671" s="511"/>
      <c r="W671" s="511"/>
      <c r="X671" s="511"/>
      <c r="Y671" s="511"/>
      <c r="Z671" s="511"/>
      <c r="AA671" s="511"/>
      <c r="AB671" s="511"/>
      <c r="AC671" s="511"/>
      <c r="AD671" s="511"/>
      <c r="AE671" s="511"/>
      <c r="AF671" s="511"/>
      <c r="AG671" s="511"/>
      <c r="AH671" s="511"/>
      <c r="AI671" s="511"/>
      <c r="AJ671" s="511"/>
      <c r="AK671" s="511"/>
      <c r="AL671" s="511"/>
      <c r="AM671" s="511"/>
      <c r="AN671" s="511"/>
      <c r="AO671" s="511"/>
      <c r="AP671" s="511"/>
      <c r="AQ671" s="511"/>
      <c r="AR671" s="511"/>
      <c r="AS671" s="511"/>
      <c r="AT671" s="511"/>
      <c r="AU671" s="511"/>
      <c r="AV671" s="511"/>
      <c r="AW671" s="511"/>
      <c r="AX671" s="511"/>
      <c r="AY671" s="511"/>
      <c r="AZ671" s="511"/>
      <c r="BA671" s="511"/>
      <c r="BB671" s="511"/>
      <c r="BC671" s="511"/>
      <c r="BD671" s="511"/>
      <c r="BE671" s="511"/>
    </row>
    <row r="672" ht="15.75" customHeight="1">
      <c r="A672" s="511"/>
      <c r="B672" s="511"/>
      <c r="C672" s="511"/>
      <c r="D672" s="511"/>
      <c r="E672" s="511"/>
      <c r="F672" s="511"/>
      <c r="G672" s="511"/>
      <c r="H672" s="511"/>
      <c r="I672" s="511"/>
      <c r="J672" s="511"/>
      <c r="K672" s="511"/>
      <c r="L672" s="511"/>
      <c r="M672" s="511"/>
      <c r="N672" s="511"/>
      <c r="O672" s="511"/>
      <c r="P672" s="511"/>
      <c r="Q672" s="511"/>
      <c r="R672" s="511"/>
      <c r="S672" s="511"/>
      <c r="T672" s="511"/>
      <c r="U672" s="511"/>
      <c r="V672" s="511"/>
      <c r="W672" s="511"/>
      <c r="X672" s="511"/>
      <c r="Y672" s="511"/>
      <c r="Z672" s="511"/>
      <c r="AA672" s="511"/>
      <c r="AB672" s="511"/>
      <c r="AC672" s="511"/>
      <c r="AD672" s="511"/>
      <c r="AE672" s="511"/>
      <c r="AF672" s="511"/>
      <c r="AG672" s="511"/>
      <c r="AH672" s="511"/>
      <c r="AI672" s="511"/>
      <c r="AJ672" s="511"/>
      <c r="AK672" s="511"/>
      <c r="AL672" s="511"/>
      <c r="AM672" s="511"/>
      <c r="AN672" s="511"/>
      <c r="AO672" s="511"/>
      <c r="AP672" s="511"/>
      <c r="AQ672" s="511"/>
      <c r="AR672" s="511"/>
      <c r="AS672" s="511"/>
      <c r="AT672" s="511"/>
      <c r="AU672" s="511"/>
      <c r="AV672" s="511"/>
      <c r="AW672" s="511"/>
      <c r="AX672" s="511"/>
      <c r="AY672" s="511"/>
      <c r="AZ672" s="511"/>
      <c r="BA672" s="511"/>
      <c r="BB672" s="511"/>
      <c r="BC672" s="511"/>
      <c r="BD672" s="511"/>
      <c r="BE672" s="511"/>
    </row>
    <row r="673" ht="15.75" customHeight="1">
      <c r="A673" s="511"/>
      <c r="B673" s="511"/>
      <c r="C673" s="511"/>
      <c r="D673" s="511"/>
      <c r="E673" s="511"/>
      <c r="F673" s="511"/>
      <c r="G673" s="511"/>
      <c r="H673" s="511"/>
      <c r="I673" s="511"/>
      <c r="J673" s="511"/>
      <c r="K673" s="511"/>
      <c r="L673" s="511"/>
      <c r="M673" s="511"/>
      <c r="N673" s="511"/>
      <c r="O673" s="511"/>
      <c r="P673" s="511"/>
      <c r="Q673" s="511"/>
      <c r="R673" s="511"/>
      <c r="S673" s="511"/>
      <c r="T673" s="511"/>
      <c r="U673" s="511"/>
      <c r="V673" s="511"/>
      <c r="W673" s="511"/>
      <c r="X673" s="511"/>
      <c r="Y673" s="511"/>
      <c r="Z673" s="511"/>
      <c r="AA673" s="511"/>
      <c r="AB673" s="511"/>
      <c r="AC673" s="511"/>
      <c r="AD673" s="511"/>
      <c r="AE673" s="511"/>
      <c r="AF673" s="511"/>
      <c r="AG673" s="511"/>
      <c r="AH673" s="511"/>
      <c r="AI673" s="511"/>
      <c r="AJ673" s="511"/>
      <c r="AK673" s="511"/>
      <c r="AL673" s="511"/>
      <c r="AM673" s="511"/>
      <c r="AN673" s="511"/>
      <c r="AO673" s="511"/>
      <c r="AP673" s="511"/>
      <c r="AQ673" s="511"/>
      <c r="AR673" s="511"/>
      <c r="AS673" s="511"/>
      <c r="AT673" s="511"/>
      <c r="AU673" s="511"/>
      <c r="AV673" s="511"/>
      <c r="AW673" s="511"/>
      <c r="AX673" s="511"/>
      <c r="AY673" s="511"/>
      <c r="AZ673" s="511"/>
      <c r="BA673" s="511"/>
      <c r="BB673" s="511"/>
      <c r="BC673" s="511"/>
      <c r="BD673" s="511"/>
      <c r="BE673" s="511"/>
    </row>
    <row r="674" ht="15.75" customHeight="1">
      <c r="A674" s="511"/>
      <c r="B674" s="511"/>
      <c r="C674" s="511"/>
      <c r="D674" s="511"/>
      <c r="E674" s="511"/>
      <c r="F674" s="511"/>
      <c r="G674" s="511"/>
      <c r="H674" s="511"/>
      <c r="I674" s="511"/>
      <c r="J674" s="511"/>
      <c r="K674" s="511"/>
      <c r="L674" s="511"/>
      <c r="M674" s="511"/>
      <c r="N674" s="511"/>
      <c r="O674" s="511"/>
      <c r="P674" s="511"/>
      <c r="Q674" s="511"/>
      <c r="R674" s="511"/>
      <c r="S674" s="511"/>
      <c r="T674" s="511"/>
      <c r="U674" s="511"/>
      <c r="V674" s="511"/>
      <c r="W674" s="511"/>
      <c r="X674" s="511"/>
      <c r="Y674" s="511"/>
      <c r="Z674" s="511"/>
      <c r="AA674" s="511"/>
      <c r="AB674" s="511"/>
      <c r="AC674" s="511"/>
      <c r="AD674" s="511"/>
      <c r="AE674" s="511"/>
      <c r="AF674" s="511"/>
      <c r="AG674" s="511"/>
      <c r="AH674" s="511"/>
      <c r="AI674" s="511"/>
      <c r="AJ674" s="511"/>
      <c r="AK674" s="511"/>
      <c r="AL674" s="511"/>
      <c r="AM674" s="511"/>
      <c r="AN674" s="511"/>
      <c r="AO674" s="511"/>
      <c r="AP674" s="511"/>
      <c r="AQ674" s="511"/>
      <c r="AR674" s="511"/>
      <c r="AS674" s="511"/>
      <c r="AT674" s="511"/>
      <c r="AU674" s="511"/>
      <c r="AV674" s="511"/>
      <c r="AW674" s="511"/>
      <c r="AX674" s="511"/>
      <c r="AY674" s="511"/>
      <c r="AZ674" s="511"/>
      <c r="BA674" s="511"/>
      <c r="BB674" s="511"/>
      <c r="BC674" s="511"/>
      <c r="BD674" s="511"/>
      <c r="BE674" s="511"/>
    </row>
    <row r="675" ht="15.75" customHeight="1">
      <c r="A675" s="511"/>
      <c r="B675" s="511"/>
      <c r="C675" s="511"/>
      <c r="D675" s="511"/>
      <c r="E675" s="511"/>
      <c r="F675" s="511"/>
      <c r="G675" s="511"/>
      <c r="H675" s="511"/>
      <c r="I675" s="511"/>
      <c r="J675" s="511"/>
      <c r="K675" s="511"/>
      <c r="L675" s="511"/>
      <c r="M675" s="511"/>
      <c r="N675" s="511"/>
      <c r="O675" s="511"/>
      <c r="P675" s="511"/>
      <c r="Q675" s="511"/>
      <c r="R675" s="511"/>
      <c r="S675" s="511"/>
      <c r="T675" s="511"/>
      <c r="U675" s="511"/>
      <c r="V675" s="511"/>
      <c r="W675" s="511"/>
      <c r="X675" s="511"/>
      <c r="Y675" s="511"/>
      <c r="Z675" s="511"/>
      <c r="AA675" s="511"/>
      <c r="AB675" s="511"/>
      <c r="AC675" s="511"/>
      <c r="AD675" s="511"/>
      <c r="AE675" s="511"/>
      <c r="AF675" s="511"/>
      <c r="AG675" s="511"/>
      <c r="AH675" s="511"/>
      <c r="AI675" s="511"/>
      <c r="AJ675" s="511"/>
      <c r="AK675" s="511"/>
      <c r="AL675" s="511"/>
      <c r="AM675" s="511"/>
      <c r="AN675" s="511"/>
      <c r="AO675" s="511"/>
      <c r="AP675" s="511"/>
      <c r="AQ675" s="511"/>
      <c r="AR675" s="511"/>
      <c r="AS675" s="511"/>
      <c r="AT675" s="511"/>
      <c r="AU675" s="511"/>
      <c r="AV675" s="511"/>
      <c r="AW675" s="511"/>
      <c r="AX675" s="511"/>
      <c r="AY675" s="511"/>
      <c r="AZ675" s="511"/>
      <c r="BA675" s="511"/>
      <c r="BB675" s="511"/>
      <c r="BC675" s="511"/>
      <c r="BD675" s="511"/>
      <c r="BE675" s="511"/>
    </row>
    <row r="676" ht="15.75" customHeight="1">
      <c r="A676" s="511"/>
      <c r="B676" s="511"/>
      <c r="C676" s="511"/>
      <c r="D676" s="511"/>
      <c r="E676" s="511"/>
      <c r="F676" s="511"/>
      <c r="G676" s="511"/>
      <c r="H676" s="511"/>
      <c r="I676" s="511"/>
      <c r="J676" s="511"/>
      <c r="K676" s="511"/>
      <c r="L676" s="511"/>
      <c r="M676" s="511"/>
      <c r="N676" s="511"/>
      <c r="O676" s="511"/>
      <c r="P676" s="511"/>
      <c r="Q676" s="511"/>
      <c r="R676" s="511"/>
      <c r="S676" s="511"/>
      <c r="T676" s="511"/>
      <c r="U676" s="511"/>
      <c r="V676" s="511"/>
      <c r="W676" s="511"/>
      <c r="X676" s="511"/>
      <c r="Y676" s="511"/>
      <c r="Z676" s="511"/>
      <c r="AA676" s="511"/>
      <c r="AB676" s="511"/>
      <c r="AC676" s="511"/>
      <c r="AD676" s="511"/>
      <c r="AE676" s="511"/>
      <c r="AF676" s="511"/>
      <c r="AG676" s="511"/>
      <c r="AH676" s="511"/>
      <c r="AI676" s="511"/>
      <c r="AJ676" s="511"/>
      <c r="AK676" s="511"/>
      <c r="AL676" s="511"/>
      <c r="AM676" s="511"/>
      <c r="AN676" s="511"/>
      <c r="AO676" s="511"/>
      <c r="AP676" s="511"/>
      <c r="AQ676" s="511"/>
      <c r="AR676" s="511"/>
      <c r="AS676" s="511"/>
      <c r="AT676" s="511"/>
      <c r="AU676" s="511"/>
      <c r="AV676" s="511"/>
      <c r="AW676" s="511"/>
      <c r="AX676" s="511"/>
      <c r="AY676" s="511"/>
      <c r="AZ676" s="511"/>
      <c r="BA676" s="511"/>
      <c r="BB676" s="511"/>
      <c r="BC676" s="511"/>
      <c r="BD676" s="511"/>
      <c r="BE676" s="511"/>
    </row>
    <row r="677" ht="15.75" customHeight="1">
      <c r="A677" s="511"/>
      <c r="B677" s="511"/>
      <c r="C677" s="511"/>
      <c r="D677" s="511"/>
      <c r="E677" s="511"/>
      <c r="F677" s="511"/>
      <c r="G677" s="511"/>
      <c r="H677" s="511"/>
      <c r="I677" s="511"/>
      <c r="J677" s="511"/>
      <c r="K677" s="511"/>
      <c r="L677" s="511"/>
      <c r="M677" s="511"/>
      <c r="N677" s="511"/>
      <c r="O677" s="511"/>
      <c r="P677" s="511"/>
      <c r="Q677" s="511"/>
      <c r="R677" s="511"/>
      <c r="S677" s="511"/>
      <c r="T677" s="511"/>
      <c r="U677" s="511"/>
      <c r="V677" s="511"/>
      <c r="W677" s="511"/>
      <c r="X677" s="511"/>
      <c r="Y677" s="511"/>
      <c r="Z677" s="511"/>
      <c r="AA677" s="511"/>
      <c r="AB677" s="511"/>
      <c r="AC677" s="511"/>
      <c r="AD677" s="511"/>
      <c r="AE677" s="511"/>
      <c r="AF677" s="511"/>
      <c r="AG677" s="511"/>
      <c r="AH677" s="511"/>
      <c r="AI677" s="511"/>
      <c r="AJ677" s="511"/>
      <c r="AK677" s="511"/>
      <c r="AL677" s="511"/>
      <c r="AM677" s="511"/>
      <c r="AN677" s="511"/>
      <c r="AO677" s="511"/>
      <c r="AP677" s="511"/>
      <c r="AQ677" s="511"/>
      <c r="AR677" s="511"/>
      <c r="AS677" s="511"/>
      <c r="AT677" s="511"/>
      <c r="AU677" s="511"/>
      <c r="AV677" s="511"/>
      <c r="AW677" s="511"/>
      <c r="AX677" s="511"/>
      <c r="AY677" s="511"/>
      <c r="AZ677" s="511"/>
      <c r="BA677" s="511"/>
      <c r="BB677" s="511"/>
      <c r="BC677" s="511"/>
      <c r="BD677" s="511"/>
      <c r="BE677" s="511"/>
    </row>
    <row r="678" ht="15.75" customHeight="1">
      <c r="A678" s="511"/>
      <c r="B678" s="511"/>
      <c r="C678" s="511"/>
      <c r="D678" s="511"/>
      <c r="E678" s="511"/>
      <c r="F678" s="511"/>
      <c r="G678" s="511"/>
      <c r="H678" s="511"/>
      <c r="I678" s="511"/>
      <c r="J678" s="511"/>
      <c r="K678" s="511"/>
      <c r="L678" s="511"/>
      <c r="M678" s="511"/>
      <c r="N678" s="511"/>
      <c r="O678" s="511"/>
      <c r="P678" s="511"/>
      <c r="Q678" s="511"/>
      <c r="R678" s="511"/>
      <c r="S678" s="511"/>
      <c r="T678" s="511"/>
      <c r="U678" s="511"/>
      <c r="V678" s="511"/>
      <c r="W678" s="511"/>
      <c r="X678" s="511"/>
      <c r="Y678" s="511"/>
      <c r="Z678" s="511"/>
      <c r="AA678" s="511"/>
      <c r="AB678" s="511"/>
      <c r="AC678" s="511"/>
      <c r="AD678" s="511"/>
      <c r="AE678" s="511"/>
      <c r="AF678" s="511"/>
      <c r="AG678" s="511"/>
      <c r="AH678" s="511"/>
      <c r="AI678" s="511"/>
      <c r="AJ678" s="511"/>
      <c r="AK678" s="511"/>
      <c r="AL678" s="511"/>
      <c r="AM678" s="511"/>
      <c r="AN678" s="511"/>
      <c r="AO678" s="511"/>
      <c r="AP678" s="511"/>
      <c r="AQ678" s="511"/>
      <c r="AR678" s="511"/>
      <c r="AS678" s="511"/>
      <c r="AT678" s="511"/>
      <c r="AU678" s="511"/>
      <c r="AV678" s="511"/>
      <c r="AW678" s="511"/>
      <c r="AX678" s="511"/>
      <c r="AY678" s="511"/>
      <c r="AZ678" s="511"/>
      <c r="BA678" s="511"/>
      <c r="BB678" s="511"/>
      <c r="BC678" s="511"/>
      <c r="BD678" s="511"/>
      <c r="BE678" s="511"/>
    </row>
    <row r="679" ht="15.75" customHeight="1">
      <c r="A679" s="511"/>
      <c r="B679" s="511"/>
      <c r="C679" s="511"/>
      <c r="D679" s="511"/>
      <c r="E679" s="511"/>
      <c r="F679" s="511"/>
      <c r="G679" s="511"/>
      <c r="H679" s="511"/>
      <c r="I679" s="511"/>
      <c r="J679" s="511"/>
      <c r="K679" s="511"/>
      <c r="L679" s="511"/>
      <c r="M679" s="511"/>
      <c r="N679" s="511"/>
      <c r="O679" s="511"/>
      <c r="P679" s="511"/>
      <c r="Q679" s="511"/>
      <c r="R679" s="511"/>
      <c r="S679" s="511"/>
      <c r="T679" s="511"/>
      <c r="U679" s="511"/>
      <c r="V679" s="511"/>
      <c r="W679" s="511"/>
      <c r="X679" s="511"/>
      <c r="Y679" s="511"/>
      <c r="Z679" s="511"/>
      <c r="AA679" s="511"/>
      <c r="AB679" s="511"/>
      <c r="AC679" s="511"/>
      <c r="AD679" s="511"/>
      <c r="AE679" s="511"/>
      <c r="AF679" s="511"/>
      <c r="AG679" s="511"/>
      <c r="AH679" s="511"/>
      <c r="AI679" s="511"/>
      <c r="AJ679" s="511"/>
      <c r="AK679" s="511"/>
      <c r="AL679" s="511"/>
      <c r="AM679" s="511"/>
      <c r="AN679" s="511"/>
      <c r="AO679" s="511"/>
      <c r="AP679" s="511"/>
      <c r="AQ679" s="511"/>
      <c r="AR679" s="511"/>
      <c r="AS679" s="511"/>
      <c r="AT679" s="511"/>
      <c r="AU679" s="511"/>
      <c r="AV679" s="511"/>
      <c r="AW679" s="511"/>
      <c r="AX679" s="511"/>
      <c r="AY679" s="511"/>
      <c r="AZ679" s="511"/>
      <c r="BA679" s="511"/>
      <c r="BB679" s="511"/>
      <c r="BC679" s="511"/>
      <c r="BD679" s="511"/>
      <c r="BE679" s="511"/>
    </row>
    <row r="680" ht="15.75" customHeight="1">
      <c r="A680" s="511"/>
      <c r="B680" s="511"/>
      <c r="C680" s="511"/>
      <c r="D680" s="511"/>
      <c r="E680" s="511"/>
      <c r="F680" s="511"/>
      <c r="G680" s="511"/>
      <c r="H680" s="511"/>
      <c r="I680" s="511"/>
      <c r="J680" s="511"/>
      <c r="K680" s="511"/>
      <c r="L680" s="511"/>
      <c r="M680" s="511"/>
      <c r="N680" s="511"/>
      <c r="O680" s="511"/>
      <c r="P680" s="511"/>
      <c r="Q680" s="511"/>
      <c r="R680" s="511"/>
      <c r="S680" s="511"/>
      <c r="T680" s="511"/>
      <c r="U680" s="511"/>
      <c r="V680" s="511"/>
      <c r="W680" s="511"/>
      <c r="X680" s="511"/>
      <c r="Y680" s="511"/>
      <c r="Z680" s="511"/>
      <c r="AA680" s="511"/>
      <c r="AB680" s="511"/>
      <c r="AC680" s="511"/>
      <c r="AD680" s="511"/>
      <c r="AE680" s="511"/>
      <c r="AF680" s="511"/>
      <c r="AG680" s="511"/>
      <c r="AH680" s="511"/>
      <c r="AI680" s="511"/>
      <c r="AJ680" s="511"/>
      <c r="AK680" s="511"/>
      <c r="AL680" s="511"/>
      <c r="AM680" s="511"/>
      <c r="AN680" s="511"/>
      <c r="AO680" s="511"/>
      <c r="AP680" s="511"/>
      <c r="AQ680" s="511"/>
      <c r="AR680" s="511"/>
      <c r="AS680" s="511"/>
      <c r="AT680" s="511"/>
      <c r="AU680" s="511"/>
      <c r="AV680" s="511"/>
      <c r="AW680" s="511"/>
      <c r="AX680" s="511"/>
      <c r="AY680" s="511"/>
      <c r="AZ680" s="511"/>
      <c r="BA680" s="511"/>
      <c r="BB680" s="511"/>
      <c r="BC680" s="511"/>
      <c r="BD680" s="511"/>
      <c r="BE680" s="511"/>
    </row>
    <row r="681" ht="15.75" customHeight="1">
      <c r="A681" s="511"/>
      <c r="B681" s="511"/>
      <c r="C681" s="511"/>
      <c r="D681" s="511"/>
      <c r="E681" s="511"/>
      <c r="F681" s="511"/>
      <c r="G681" s="511"/>
      <c r="H681" s="511"/>
      <c r="I681" s="511"/>
      <c r="J681" s="511"/>
      <c r="K681" s="511"/>
      <c r="L681" s="511"/>
      <c r="M681" s="511"/>
      <c r="N681" s="511"/>
      <c r="O681" s="511"/>
      <c r="P681" s="511"/>
      <c r="Q681" s="511"/>
      <c r="R681" s="511"/>
      <c r="S681" s="511"/>
      <c r="T681" s="511"/>
      <c r="U681" s="511"/>
      <c r="V681" s="511"/>
      <c r="W681" s="511"/>
      <c r="X681" s="511"/>
      <c r="Y681" s="511"/>
      <c r="Z681" s="511"/>
      <c r="AA681" s="511"/>
      <c r="AB681" s="511"/>
      <c r="AC681" s="511"/>
      <c r="AD681" s="511"/>
      <c r="AE681" s="511"/>
      <c r="AF681" s="511"/>
      <c r="AG681" s="511"/>
      <c r="AH681" s="511"/>
      <c r="AI681" s="511"/>
      <c r="AJ681" s="511"/>
      <c r="AK681" s="511"/>
      <c r="AL681" s="511"/>
      <c r="AM681" s="511"/>
      <c r="AN681" s="511"/>
      <c r="AO681" s="511"/>
      <c r="AP681" s="511"/>
      <c r="AQ681" s="511"/>
      <c r="AR681" s="511"/>
      <c r="AS681" s="511"/>
      <c r="AT681" s="511"/>
      <c r="AU681" s="511"/>
      <c r="AV681" s="511"/>
      <c r="AW681" s="511"/>
      <c r="AX681" s="511"/>
      <c r="AY681" s="511"/>
      <c r="AZ681" s="511"/>
      <c r="BA681" s="511"/>
      <c r="BB681" s="511"/>
      <c r="BC681" s="511"/>
      <c r="BD681" s="511"/>
      <c r="BE681" s="511"/>
    </row>
    <row r="682" ht="15.75" customHeight="1">
      <c r="A682" s="511"/>
      <c r="B682" s="511"/>
      <c r="C682" s="511"/>
      <c r="D682" s="511"/>
      <c r="E682" s="511"/>
      <c r="F682" s="511"/>
      <c r="G682" s="511"/>
      <c r="H682" s="511"/>
      <c r="I682" s="511"/>
      <c r="J682" s="511"/>
      <c r="K682" s="511"/>
      <c r="L682" s="511"/>
      <c r="M682" s="511"/>
      <c r="N682" s="511"/>
      <c r="O682" s="511"/>
      <c r="P682" s="511"/>
      <c r="Q682" s="511"/>
      <c r="R682" s="511"/>
      <c r="S682" s="511"/>
      <c r="T682" s="511"/>
      <c r="U682" s="511"/>
      <c r="V682" s="511"/>
      <c r="W682" s="511"/>
      <c r="X682" s="511"/>
      <c r="Y682" s="511"/>
      <c r="Z682" s="511"/>
      <c r="AA682" s="511"/>
      <c r="AB682" s="511"/>
      <c r="AC682" s="511"/>
      <c r="AD682" s="511"/>
      <c r="AE682" s="511"/>
      <c r="AF682" s="511"/>
      <c r="AG682" s="511"/>
      <c r="AH682" s="511"/>
      <c r="AI682" s="511"/>
      <c r="AJ682" s="511"/>
      <c r="AK682" s="511"/>
      <c r="AL682" s="511"/>
      <c r="AM682" s="511"/>
      <c r="AN682" s="511"/>
      <c r="AO682" s="511"/>
      <c r="AP682" s="511"/>
      <c r="AQ682" s="511"/>
      <c r="AR682" s="511"/>
      <c r="AS682" s="511"/>
      <c r="AT682" s="511"/>
      <c r="AU682" s="511"/>
      <c r="AV682" s="511"/>
      <c r="AW682" s="511"/>
      <c r="AX682" s="511"/>
      <c r="AY682" s="511"/>
      <c r="AZ682" s="511"/>
      <c r="BA682" s="511"/>
      <c r="BB682" s="511"/>
      <c r="BC682" s="511"/>
      <c r="BD682" s="511"/>
      <c r="BE682" s="511"/>
    </row>
    <row r="683" ht="15.75" customHeight="1">
      <c r="A683" s="511"/>
      <c r="B683" s="511"/>
      <c r="C683" s="511"/>
      <c r="D683" s="511"/>
      <c r="E683" s="511"/>
      <c r="F683" s="511"/>
      <c r="G683" s="511"/>
      <c r="H683" s="511"/>
      <c r="I683" s="511"/>
      <c r="J683" s="511"/>
      <c r="K683" s="511"/>
      <c r="L683" s="511"/>
      <c r="M683" s="511"/>
      <c r="N683" s="511"/>
      <c r="O683" s="511"/>
      <c r="P683" s="511"/>
      <c r="Q683" s="511"/>
      <c r="R683" s="511"/>
      <c r="S683" s="511"/>
      <c r="T683" s="511"/>
      <c r="U683" s="511"/>
      <c r="V683" s="511"/>
      <c r="W683" s="511"/>
      <c r="X683" s="511"/>
      <c r="Y683" s="511"/>
      <c r="Z683" s="511"/>
      <c r="AA683" s="511"/>
      <c r="AB683" s="511"/>
      <c r="AC683" s="511"/>
      <c r="AD683" s="511"/>
      <c r="AE683" s="511"/>
      <c r="AF683" s="511"/>
      <c r="AG683" s="511"/>
      <c r="AH683" s="511"/>
      <c r="AI683" s="511"/>
      <c r="AJ683" s="511"/>
      <c r="AK683" s="511"/>
      <c r="AL683" s="511"/>
      <c r="AM683" s="511"/>
      <c r="AN683" s="511"/>
      <c r="AO683" s="511"/>
      <c r="AP683" s="511"/>
      <c r="AQ683" s="511"/>
      <c r="AR683" s="511"/>
      <c r="AS683" s="511"/>
      <c r="AT683" s="511"/>
      <c r="AU683" s="511"/>
      <c r="AV683" s="511"/>
      <c r="AW683" s="511"/>
      <c r="AX683" s="511"/>
      <c r="AY683" s="511"/>
      <c r="AZ683" s="511"/>
      <c r="BA683" s="511"/>
      <c r="BB683" s="511"/>
      <c r="BC683" s="511"/>
      <c r="BD683" s="511"/>
      <c r="BE683" s="511"/>
    </row>
    <row r="684" ht="15.75" customHeight="1">
      <c r="A684" s="511"/>
      <c r="B684" s="511"/>
      <c r="C684" s="511"/>
      <c r="D684" s="511"/>
      <c r="E684" s="511"/>
      <c r="F684" s="511"/>
      <c r="G684" s="511"/>
      <c r="H684" s="511"/>
      <c r="I684" s="511"/>
      <c r="J684" s="511"/>
      <c r="K684" s="511"/>
      <c r="L684" s="511"/>
      <c r="M684" s="511"/>
      <c r="N684" s="511"/>
      <c r="O684" s="511"/>
      <c r="P684" s="511"/>
      <c r="Q684" s="511"/>
      <c r="R684" s="511"/>
      <c r="S684" s="511"/>
      <c r="T684" s="511"/>
      <c r="U684" s="511"/>
      <c r="V684" s="511"/>
      <c r="W684" s="511"/>
      <c r="X684" s="511"/>
      <c r="Y684" s="511"/>
      <c r="Z684" s="511"/>
      <c r="AA684" s="511"/>
      <c r="AB684" s="511"/>
      <c r="AC684" s="511"/>
      <c r="AD684" s="511"/>
      <c r="AE684" s="511"/>
      <c r="AF684" s="511"/>
      <c r="AG684" s="511"/>
      <c r="AH684" s="511"/>
      <c r="AI684" s="511"/>
      <c r="AJ684" s="511"/>
      <c r="AK684" s="511"/>
      <c r="AL684" s="511"/>
      <c r="AM684" s="511"/>
      <c r="AN684" s="511"/>
      <c r="AO684" s="511"/>
      <c r="AP684" s="511"/>
      <c r="AQ684" s="511"/>
      <c r="AR684" s="511"/>
      <c r="AS684" s="511"/>
      <c r="AT684" s="511"/>
      <c r="AU684" s="511"/>
      <c r="AV684" s="511"/>
      <c r="AW684" s="511"/>
      <c r="AX684" s="511"/>
      <c r="AY684" s="511"/>
      <c r="AZ684" s="511"/>
      <c r="BA684" s="511"/>
      <c r="BB684" s="511"/>
      <c r="BC684" s="511"/>
      <c r="BD684" s="511"/>
      <c r="BE684" s="511"/>
    </row>
    <row r="685" ht="15.75" customHeight="1">
      <c r="A685" s="511"/>
      <c r="B685" s="511"/>
      <c r="C685" s="511"/>
      <c r="D685" s="511"/>
      <c r="E685" s="511"/>
      <c r="F685" s="511"/>
      <c r="G685" s="511"/>
      <c r="H685" s="511"/>
      <c r="I685" s="511"/>
      <c r="J685" s="511"/>
      <c r="K685" s="511"/>
      <c r="L685" s="511"/>
      <c r="M685" s="511"/>
      <c r="N685" s="511"/>
      <c r="O685" s="511"/>
      <c r="P685" s="511"/>
      <c r="Q685" s="511"/>
      <c r="R685" s="511"/>
      <c r="S685" s="511"/>
      <c r="T685" s="511"/>
      <c r="U685" s="511"/>
      <c r="V685" s="511"/>
      <c r="W685" s="511"/>
      <c r="X685" s="511"/>
      <c r="Y685" s="511"/>
      <c r="Z685" s="511"/>
      <c r="AA685" s="511"/>
      <c r="AB685" s="511"/>
      <c r="AC685" s="511"/>
      <c r="AD685" s="511"/>
      <c r="AE685" s="511"/>
      <c r="AF685" s="511"/>
      <c r="AG685" s="511"/>
      <c r="AH685" s="511"/>
      <c r="AI685" s="511"/>
      <c r="AJ685" s="511"/>
      <c r="AK685" s="511"/>
      <c r="AL685" s="511"/>
      <c r="AM685" s="511"/>
      <c r="AN685" s="511"/>
      <c r="AO685" s="511"/>
      <c r="AP685" s="511"/>
      <c r="AQ685" s="511"/>
      <c r="AR685" s="511"/>
      <c r="AS685" s="511"/>
      <c r="AT685" s="511"/>
      <c r="AU685" s="511"/>
      <c r="AV685" s="511"/>
      <c r="AW685" s="511"/>
      <c r="AX685" s="511"/>
      <c r="AY685" s="511"/>
      <c r="AZ685" s="511"/>
      <c r="BA685" s="511"/>
      <c r="BB685" s="511"/>
      <c r="BC685" s="511"/>
      <c r="BD685" s="511"/>
      <c r="BE685" s="511"/>
    </row>
    <row r="686" ht="15.75" customHeight="1">
      <c r="A686" s="511"/>
      <c r="B686" s="511"/>
      <c r="C686" s="511"/>
      <c r="D686" s="511"/>
      <c r="E686" s="511"/>
      <c r="F686" s="511"/>
      <c r="G686" s="511"/>
      <c r="H686" s="511"/>
      <c r="I686" s="511"/>
      <c r="J686" s="511"/>
      <c r="K686" s="511"/>
      <c r="L686" s="511"/>
      <c r="M686" s="511"/>
      <c r="N686" s="511"/>
      <c r="O686" s="511"/>
      <c r="P686" s="511"/>
      <c r="Q686" s="511"/>
      <c r="R686" s="511"/>
      <c r="S686" s="511"/>
      <c r="T686" s="511"/>
      <c r="U686" s="511"/>
      <c r="V686" s="511"/>
      <c r="W686" s="511"/>
      <c r="X686" s="511"/>
      <c r="Y686" s="511"/>
      <c r="Z686" s="511"/>
      <c r="AA686" s="511"/>
      <c r="AB686" s="511"/>
      <c r="AC686" s="511"/>
      <c r="AD686" s="511"/>
      <c r="AE686" s="511"/>
      <c r="AF686" s="511"/>
      <c r="AG686" s="511"/>
      <c r="AH686" s="511"/>
      <c r="AI686" s="511"/>
      <c r="AJ686" s="511"/>
      <c r="AK686" s="511"/>
      <c r="AL686" s="511"/>
      <c r="AM686" s="511"/>
      <c r="AN686" s="511"/>
      <c r="AO686" s="511"/>
      <c r="AP686" s="511"/>
      <c r="AQ686" s="511"/>
      <c r="AR686" s="511"/>
      <c r="AS686" s="511"/>
      <c r="AT686" s="511"/>
      <c r="AU686" s="511"/>
      <c r="AV686" s="511"/>
      <c r="AW686" s="511"/>
      <c r="AX686" s="511"/>
      <c r="AY686" s="511"/>
      <c r="AZ686" s="511"/>
      <c r="BA686" s="511"/>
      <c r="BB686" s="511"/>
      <c r="BC686" s="511"/>
      <c r="BD686" s="511"/>
      <c r="BE686" s="511"/>
    </row>
    <row r="687" ht="15.75" customHeight="1">
      <c r="A687" s="511"/>
      <c r="B687" s="511"/>
      <c r="C687" s="511"/>
      <c r="D687" s="511"/>
      <c r="E687" s="511"/>
      <c r="F687" s="511"/>
      <c r="G687" s="511"/>
      <c r="H687" s="511"/>
      <c r="I687" s="511"/>
      <c r="J687" s="511"/>
      <c r="K687" s="511"/>
      <c r="L687" s="511"/>
      <c r="M687" s="511"/>
      <c r="N687" s="511"/>
      <c r="O687" s="511"/>
      <c r="P687" s="511"/>
      <c r="Q687" s="511"/>
      <c r="R687" s="511"/>
      <c r="S687" s="511"/>
      <c r="T687" s="511"/>
      <c r="U687" s="511"/>
      <c r="V687" s="511"/>
      <c r="W687" s="511"/>
      <c r="X687" s="511"/>
      <c r="Y687" s="511"/>
      <c r="Z687" s="511"/>
      <c r="AA687" s="511"/>
      <c r="AB687" s="511"/>
      <c r="AC687" s="511"/>
      <c r="AD687" s="511"/>
      <c r="AE687" s="511"/>
      <c r="AF687" s="511"/>
      <c r="AG687" s="511"/>
      <c r="AH687" s="511"/>
      <c r="AI687" s="511"/>
      <c r="AJ687" s="511"/>
      <c r="AK687" s="511"/>
      <c r="AL687" s="511"/>
      <c r="AM687" s="511"/>
      <c r="AN687" s="511"/>
      <c r="AO687" s="511"/>
      <c r="AP687" s="511"/>
      <c r="AQ687" s="511"/>
      <c r="AR687" s="511"/>
      <c r="AS687" s="511"/>
      <c r="AT687" s="511"/>
      <c r="AU687" s="511"/>
      <c r="AV687" s="511"/>
      <c r="AW687" s="511"/>
      <c r="AX687" s="511"/>
      <c r="AY687" s="511"/>
      <c r="AZ687" s="511"/>
      <c r="BA687" s="511"/>
      <c r="BB687" s="511"/>
      <c r="BC687" s="511"/>
      <c r="BD687" s="511"/>
      <c r="BE687" s="511"/>
    </row>
    <row r="688" ht="15.75" customHeight="1">
      <c r="A688" s="511"/>
      <c r="B688" s="511"/>
      <c r="C688" s="511"/>
      <c r="D688" s="511"/>
      <c r="E688" s="511"/>
      <c r="F688" s="511"/>
      <c r="G688" s="511"/>
      <c r="H688" s="511"/>
      <c r="I688" s="511"/>
      <c r="J688" s="511"/>
      <c r="K688" s="511"/>
      <c r="L688" s="511"/>
      <c r="M688" s="511"/>
      <c r="N688" s="511"/>
      <c r="O688" s="511"/>
      <c r="P688" s="511"/>
      <c r="Q688" s="511"/>
      <c r="R688" s="511"/>
      <c r="S688" s="511"/>
      <c r="T688" s="511"/>
      <c r="U688" s="511"/>
      <c r="V688" s="511"/>
      <c r="W688" s="511"/>
      <c r="X688" s="511"/>
      <c r="Y688" s="511"/>
      <c r="Z688" s="511"/>
      <c r="AA688" s="511"/>
      <c r="AB688" s="511"/>
      <c r="AC688" s="511"/>
      <c r="AD688" s="511"/>
      <c r="AE688" s="511"/>
      <c r="AF688" s="511"/>
      <c r="AG688" s="511"/>
      <c r="AH688" s="511"/>
      <c r="AI688" s="511"/>
      <c r="AJ688" s="511"/>
      <c r="AK688" s="511"/>
      <c r="AL688" s="511"/>
      <c r="AM688" s="511"/>
      <c r="AN688" s="511"/>
      <c r="AO688" s="511"/>
      <c r="AP688" s="511"/>
      <c r="AQ688" s="511"/>
      <c r="AR688" s="511"/>
      <c r="AS688" s="511"/>
      <c r="AT688" s="511"/>
      <c r="AU688" s="511"/>
      <c r="AV688" s="511"/>
      <c r="AW688" s="511"/>
      <c r="AX688" s="511"/>
      <c r="AY688" s="511"/>
      <c r="AZ688" s="511"/>
      <c r="BA688" s="511"/>
      <c r="BB688" s="511"/>
      <c r="BC688" s="511"/>
      <c r="BD688" s="511"/>
      <c r="BE688" s="511"/>
    </row>
    <row r="689" ht="15.75" customHeight="1">
      <c r="A689" s="511"/>
      <c r="B689" s="511"/>
      <c r="C689" s="511"/>
      <c r="D689" s="511"/>
      <c r="E689" s="511"/>
      <c r="F689" s="511"/>
      <c r="G689" s="511"/>
      <c r="H689" s="511"/>
      <c r="I689" s="511"/>
      <c r="J689" s="511"/>
      <c r="K689" s="511"/>
      <c r="L689" s="511"/>
      <c r="M689" s="511"/>
      <c r="N689" s="511"/>
      <c r="O689" s="511"/>
      <c r="P689" s="511"/>
      <c r="Q689" s="511"/>
      <c r="R689" s="511"/>
      <c r="S689" s="511"/>
      <c r="T689" s="511"/>
      <c r="U689" s="511"/>
      <c r="V689" s="511"/>
      <c r="W689" s="511"/>
      <c r="X689" s="511"/>
      <c r="Y689" s="511"/>
      <c r="Z689" s="511"/>
      <c r="AA689" s="511"/>
      <c r="AB689" s="511"/>
      <c r="AC689" s="511"/>
      <c r="AD689" s="511"/>
      <c r="AE689" s="511"/>
      <c r="AF689" s="511"/>
      <c r="AG689" s="511"/>
      <c r="AH689" s="511"/>
      <c r="AI689" s="511"/>
      <c r="AJ689" s="511"/>
      <c r="AK689" s="511"/>
      <c r="AL689" s="511"/>
      <c r="AM689" s="511"/>
      <c r="AN689" s="511"/>
      <c r="AO689" s="511"/>
      <c r="AP689" s="511"/>
      <c r="AQ689" s="511"/>
      <c r="AR689" s="511"/>
      <c r="AS689" s="511"/>
      <c r="AT689" s="511"/>
      <c r="AU689" s="511"/>
      <c r="AV689" s="511"/>
      <c r="AW689" s="511"/>
      <c r="AX689" s="511"/>
      <c r="AY689" s="511"/>
      <c r="AZ689" s="511"/>
      <c r="BA689" s="511"/>
      <c r="BB689" s="511"/>
      <c r="BC689" s="511"/>
      <c r="BD689" s="511"/>
      <c r="BE689" s="511"/>
    </row>
    <row r="690" ht="15.75" customHeight="1">
      <c r="A690" s="511"/>
      <c r="B690" s="511"/>
      <c r="C690" s="511"/>
      <c r="D690" s="511"/>
      <c r="E690" s="511"/>
      <c r="F690" s="511"/>
      <c r="G690" s="511"/>
      <c r="H690" s="511"/>
      <c r="I690" s="511"/>
      <c r="J690" s="511"/>
      <c r="K690" s="511"/>
      <c r="L690" s="511"/>
      <c r="M690" s="511"/>
      <c r="N690" s="511"/>
      <c r="O690" s="511"/>
      <c r="P690" s="511"/>
      <c r="Q690" s="511"/>
      <c r="R690" s="511"/>
      <c r="S690" s="511"/>
      <c r="T690" s="511"/>
      <c r="U690" s="511"/>
      <c r="V690" s="511"/>
      <c r="W690" s="511"/>
      <c r="X690" s="511"/>
      <c r="Y690" s="511"/>
      <c r="Z690" s="511"/>
      <c r="AA690" s="511"/>
      <c r="AB690" s="511"/>
      <c r="AC690" s="511"/>
      <c r="AD690" s="511"/>
      <c r="AE690" s="511"/>
      <c r="AF690" s="511"/>
      <c r="AG690" s="511"/>
      <c r="AH690" s="511"/>
      <c r="AI690" s="511"/>
      <c r="AJ690" s="511"/>
      <c r="AK690" s="511"/>
      <c r="AL690" s="511"/>
      <c r="AM690" s="511"/>
      <c r="AN690" s="511"/>
      <c r="AO690" s="511"/>
      <c r="AP690" s="511"/>
      <c r="AQ690" s="511"/>
      <c r="AR690" s="511"/>
      <c r="AS690" s="511"/>
      <c r="AT690" s="511"/>
      <c r="AU690" s="511"/>
      <c r="AV690" s="511"/>
      <c r="AW690" s="511"/>
      <c r="AX690" s="511"/>
      <c r="AY690" s="511"/>
      <c r="AZ690" s="511"/>
      <c r="BA690" s="511"/>
      <c r="BB690" s="511"/>
      <c r="BC690" s="511"/>
      <c r="BD690" s="511"/>
      <c r="BE690" s="511"/>
    </row>
    <row r="691" ht="15.75" customHeight="1">
      <c r="A691" s="511"/>
      <c r="B691" s="511"/>
      <c r="C691" s="511"/>
      <c r="D691" s="511"/>
      <c r="E691" s="511"/>
      <c r="F691" s="511"/>
      <c r="G691" s="511"/>
      <c r="H691" s="511"/>
      <c r="I691" s="511"/>
      <c r="J691" s="511"/>
      <c r="K691" s="511"/>
      <c r="L691" s="511"/>
      <c r="M691" s="511"/>
      <c r="N691" s="511"/>
      <c r="O691" s="511"/>
      <c r="P691" s="511"/>
      <c r="Q691" s="511"/>
      <c r="R691" s="511"/>
      <c r="S691" s="511"/>
      <c r="T691" s="511"/>
      <c r="U691" s="511"/>
      <c r="V691" s="511"/>
      <c r="W691" s="511"/>
      <c r="X691" s="511"/>
      <c r="Y691" s="511"/>
      <c r="Z691" s="511"/>
      <c r="AA691" s="511"/>
      <c r="AB691" s="511"/>
      <c r="AC691" s="511"/>
      <c r="AD691" s="511"/>
      <c r="AE691" s="511"/>
      <c r="AF691" s="511"/>
      <c r="AG691" s="511"/>
      <c r="AH691" s="511"/>
      <c r="AI691" s="511"/>
      <c r="AJ691" s="511"/>
      <c r="AK691" s="511"/>
      <c r="AL691" s="511"/>
      <c r="AM691" s="511"/>
      <c r="AN691" s="511"/>
      <c r="AO691" s="511"/>
      <c r="AP691" s="511"/>
      <c r="AQ691" s="511"/>
      <c r="AR691" s="511"/>
      <c r="AS691" s="511"/>
      <c r="AT691" s="511"/>
      <c r="AU691" s="511"/>
      <c r="AV691" s="511"/>
      <c r="AW691" s="511"/>
      <c r="AX691" s="511"/>
      <c r="AY691" s="511"/>
      <c r="AZ691" s="511"/>
      <c r="BA691" s="511"/>
      <c r="BB691" s="511"/>
      <c r="BC691" s="511"/>
      <c r="BD691" s="511"/>
      <c r="BE691" s="511"/>
    </row>
    <row r="692" ht="15.75" customHeight="1">
      <c r="A692" s="511"/>
      <c r="B692" s="511"/>
      <c r="C692" s="511"/>
      <c r="D692" s="511"/>
      <c r="E692" s="511"/>
      <c r="F692" s="511"/>
      <c r="G692" s="511"/>
      <c r="H692" s="511"/>
      <c r="I692" s="511"/>
      <c r="J692" s="511"/>
      <c r="K692" s="511"/>
      <c r="L692" s="511"/>
      <c r="M692" s="511"/>
      <c r="N692" s="511"/>
      <c r="O692" s="511"/>
      <c r="P692" s="511"/>
      <c r="Q692" s="511"/>
      <c r="R692" s="511"/>
      <c r="S692" s="511"/>
      <c r="T692" s="511"/>
      <c r="U692" s="511"/>
      <c r="V692" s="511"/>
      <c r="W692" s="511"/>
      <c r="X692" s="511"/>
      <c r="Y692" s="511"/>
      <c r="Z692" s="511"/>
      <c r="AA692" s="511"/>
      <c r="AB692" s="511"/>
      <c r="AC692" s="511"/>
      <c r="AD692" s="511"/>
      <c r="AE692" s="511"/>
      <c r="AF692" s="511"/>
      <c r="AG692" s="511"/>
      <c r="AH692" s="511"/>
      <c r="AI692" s="511"/>
      <c r="AJ692" s="511"/>
      <c r="AK692" s="511"/>
      <c r="AL692" s="511"/>
      <c r="AM692" s="511"/>
      <c r="AN692" s="511"/>
      <c r="AO692" s="511"/>
      <c r="AP692" s="511"/>
      <c r="AQ692" s="511"/>
      <c r="AR692" s="511"/>
      <c r="AS692" s="511"/>
      <c r="AT692" s="511"/>
      <c r="AU692" s="511"/>
      <c r="AV692" s="511"/>
      <c r="AW692" s="511"/>
      <c r="AX692" s="511"/>
      <c r="AY692" s="511"/>
      <c r="AZ692" s="511"/>
      <c r="BA692" s="511"/>
      <c r="BB692" s="511"/>
      <c r="BC692" s="511"/>
      <c r="BD692" s="511"/>
      <c r="BE692" s="511"/>
    </row>
    <row r="693" ht="15.75" customHeight="1">
      <c r="A693" s="511"/>
      <c r="B693" s="511"/>
      <c r="C693" s="511"/>
      <c r="D693" s="511"/>
      <c r="E693" s="511"/>
      <c r="F693" s="511"/>
      <c r="G693" s="511"/>
      <c r="H693" s="511"/>
      <c r="I693" s="511"/>
      <c r="J693" s="511"/>
      <c r="K693" s="511"/>
      <c r="L693" s="511"/>
      <c r="M693" s="511"/>
      <c r="N693" s="511"/>
      <c r="O693" s="511"/>
      <c r="P693" s="511"/>
      <c r="Q693" s="511"/>
      <c r="R693" s="511"/>
      <c r="S693" s="511"/>
      <c r="T693" s="511"/>
      <c r="U693" s="511"/>
      <c r="V693" s="511"/>
      <c r="W693" s="511"/>
      <c r="X693" s="511"/>
      <c r="Y693" s="511"/>
      <c r="Z693" s="511"/>
      <c r="AA693" s="511"/>
      <c r="AB693" s="511"/>
      <c r="AC693" s="511"/>
      <c r="AD693" s="511"/>
      <c r="AE693" s="511"/>
      <c r="AF693" s="511"/>
      <c r="AG693" s="511"/>
      <c r="AH693" s="511"/>
      <c r="AI693" s="511"/>
      <c r="AJ693" s="511"/>
      <c r="AK693" s="511"/>
      <c r="AL693" s="511"/>
      <c r="AM693" s="511"/>
      <c r="AN693" s="511"/>
      <c r="AO693" s="511"/>
      <c r="AP693" s="511"/>
      <c r="AQ693" s="511"/>
      <c r="AR693" s="511"/>
      <c r="AS693" s="511"/>
      <c r="AT693" s="511"/>
      <c r="AU693" s="511"/>
      <c r="AV693" s="511"/>
      <c r="AW693" s="511"/>
      <c r="AX693" s="511"/>
      <c r="AY693" s="511"/>
      <c r="AZ693" s="511"/>
      <c r="BA693" s="511"/>
      <c r="BB693" s="511"/>
      <c r="BC693" s="511"/>
      <c r="BD693" s="511"/>
      <c r="BE693" s="511"/>
    </row>
    <row r="694" ht="15.75" customHeight="1">
      <c r="A694" s="511"/>
      <c r="B694" s="511"/>
      <c r="C694" s="511"/>
      <c r="D694" s="511"/>
      <c r="E694" s="511"/>
      <c r="F694" s="511"/>
      <c r="G694" s="511"/>
      <c r="H694" s="511"/>
      <c r="I694" s="511"/>
      <c r="J694" s="511"/>
      <c r="K694" s="511"/>
      <c r="L694" s="511"/>
      <c r="M694" s="511"/>
      <c r="N694" s="511"/>
      <c r="O694" s="511"/>
      <c r="P694" s="511"/>
      <c r="Q694" s="511"/>
      <c r="R694" s="511"/>
      <c r="S694" s="511"/>
      <c r="T694" s="511"/>
      <c r="U694" s="511"/>
      <c r="V694" s="511"/>
      <c r="W694" s="511"/>
      <c r="X694" s="511"/>
      <c r="Y694" s="511"/>
      <c r="Z694" s="511"/>
      <c r="AA694" s="511"/>
      <c r="AB694" s="511"/>
      <c r="AC694" s="511"/>
      <c r="AD694" s="511"/>
      <c r="AE694" s="511"/>
      <c r="AF694" s="511"/>
      <c r="AG694" s="511"/>
      <c r="AH694" s="511"/>
      <c r="AI694" s="511"/>
      <c r="AJ694" s="511"/>
      <c r="AK694" s="511"/>
      <c r="AL694" s="511"/>
      <c r="AM694" s="511"/>
      <c r="AN694" s="511"/>
      <c r="AO694" s="511"/>
      <c r="AP694" s="511"/>
      <c r="AQ694" s="511"/>
      <c r="AR694" s="511"/>
      <c r="AS694" s="511"/>
      <c r="AT694" s="511"/>
      <c r="AU694" s="511"/>
      <c r="AV694" s="511"/>
      <c r="AW694" s="511"/>
      <c r="AX694" s="511"/>
      <c r="AY694" s="511"/>
      <c r="AZ694" s="511"/>
      <c r="BA694" s="511"/>
      <c r="BB694" s="511"/>
      <c r="BC694" s="511"/>
      <c r="BD694" s="511"/>
      <c r="BE694" s="511"/>
    </row>
    <row r="695" ht="15.75" customHeight="1">
      <c r="A695" s="511"/>
      <c r="B695" s="511"/>
      <c r="C695" s="511"/>
      <c r="D695" s="511"/>
      <c r="E695" s="511"/>
      <c r="F695" s="511"/>
      <c r="G695" s="511"/>
      <c r="H695" s="511"/>
      <c r="I695" s="511"/>
      <c r="J695" s="511"/>
      <c r="K695" s="511"/>
      <c r="L695" s="511"/>
      <c r="M695" s="511"/>
      <c r="N695" s="511"/>
      <c r="O695" s="511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  <c r="AA695" s="511"/>
      <c r="AB695" s="511"/>
      <c r="AC695" s="511"/>
      <c r="AD695" s="511"/>
      <c r="AE695" s="511"/>
      <c r="AF695" s="511"/>
      <c r="AG695" s="511"/>
      <c r="AH695" s="511"/>
      <c r="AI695" s="511"/>
      <c r="AJ695" s="511"/>
      <c r="AK695" s="511"/>
      <c r="AL695" s="511"/>
      <c r="AM695" s="511"/>
      <c r="AN695" s="511"/>
      <c r="AO695" s="511"/>
      <c r="AP695" s="511"/>
      <c r="AQ695" s="511"/>
      <c r="AR695" s="511"/>
      <c r="AS695" s="511"/>
      <c r="AT695" s="511"/>
      <c r="AU695" s="511"/>
      <c r="AV695" s="511"/>
      <c r="AW695" s="511"/>
      <c r="AX695" s="511"/>
      <c r="AY695" s="511"/>
      <c r="AZ695" s="511"/>
      <c r="BA695" s="511"/>
      <c r="BB695" s="511"/>
      <c r="BC695" s="511"/>
      <c r="BD695" s="511"/>
      <c r="BE695" s="511"/>
    </row>
    <row r="696" ht="15.75" customHeight="1">
      <c r="A696" s="511"/>
      <c r="B696" s="511"/>
      <c r="C696" s="511"/>
      <c r="D696" s="511"/>
      <c r="E696" s="511"/>
      <c r="F696" s="511"/>
      <c r="G696" s="511"/>
      <c r="H696" s="511"/>
      <c r="I696" s="511"/>
      <c r="J696" s="511"/>
      <c r="K696" s="511"/>
      <c r="L696" s="511"/>
      <c r="M696" s="511"/>
      <c r="N696" s="511"/>
      <c r="O696" s="511"/>
      <c r="P696" s="511"/>
      <c r="Q696" s="511"/>
      <c r="R696" s="511"/>
      <c r="S696" s="511"/>
      <c r="T696" s="511"/>
      <c r="U696" s="511"/>
      <c r="V696" s="511"/>
      <c r="W696" s="511"/>
      <c r="X696" s="511"/>
      <c r="Y696" s="511"/>
      <c r="Z696" s="511"/>
      <c r="AA696" s="511"/>
      <c r="AB696" s="511"/>
      <c r="AC696" s="511"/>
      <c r="AD696" s="511"/>
      <c r="AE696" s="511"/>
      <c r="AF696" s="511"/>
      <c r="AG696" s="511"/>
      <c r="AH696" s="511"/>
      <c r="AI696" s="511"/>
      <c r="AJ696" s="511"/>
      <c r="AK696" s="511"/>
      <c r="AL696" s="511"/>
      <c r="AM696" s="511"/>
      <c r="AN696" s="511"/>
      <c r="AO696" s="511"/>
      <c r="AP696" s="511"/>
      <c r="AQ696" s="511"/>
      <c r="AR696" s="511"/>
      <c r="AS696" s="511"/>
      <c r="AT696" s="511"/>
      <c r="AU696" s="511"/>
      <c r="AV696" s="511"/>
      <c r="AW696" s="511"/>
      <c r="AX696" s="511"/>
      <c r="AY696" s="511"/>
      <c r="AZ696" s="511"/>
      <c r="BA696" s="511"/>
      <c r="BB696" s="511"/>
      <c r="BC696" s="511"/>
      <c r="BD696" s="511"/>
      <c r="BE696" s="511"/>
    </row>
    <row r="697" ht="15.75" customHeight="1">
      <c r="A697" s="511"/>
      <c r="B697" s="511"/>
      <c r="C697" s="511"/>
      <c r="D697" s="511"/>
      <c r="E697" s="511"/>
      <c r="F697" s="511"/>
      <c r="G697" s="511"/>
      <c r="H697" s="511"/>
      <c r="I697" s="511"/>
      <c r="J697" s="511"/>
      <c r="K697" s="511"/>
      <c r="L697" s="511"/>
      <c r="M697" s="511"/>
      <c r="N697" s="511"/>
      <c r="O697" s="511"/>
      <c r="P697" s="511"/>
      <c r="Q697" s="511"/>
      <c r="R697" s="511"/>
      <c r="S697" s="511"/>
      <c r="T697" s="511"/>
      <c r="U697" s="511"/>
      <c r="V697" s="511"/>
      <c r="W697" s="511"/>
      <c r="X697" s="511"/>
      <c r="Y697" s="511"/>
      <c r="Z697" s="511"/>
      <c r="AA697" s="511"/>
      <c r="AB697" s="511"/>
      <c r="AC697" s="511"/>
      <c r="AD697" s="511"/>
      <c r="AE697" s="511"/>
      <c r="AF697" s="511"/>
      <c r="AG697" s="511"/>
      <c r="AH697" s="511"/>
      <c r="AI697" s="511"/>
      <c r="AJ697" s="511"/>
      <c r="AK697" s="511"/>
      <c r="AL697" s="511"/>
      <c r="AM697" s="511"/>
      <c r="AN697" s="511"/>
      <c r="AO697" s="511"/>
      <c r="AP697" s="511"/>
      <c r="AQ697" s="511"/>
      <c r="AR697" s="511"/>
      <c r="AS697" s="511"/>
      <c r="AT697" s="511"/>
      <c r="AU697" s="511"/>
      <c r="AV697" s="511"/>
      <c r="AW697" s="511"/>
      <c r="AX697" s="511"/>
      <c r="AY697" s="511"/>
      <c r="AZ697" s="511"/>
      <c r="BA697" s="511"/>
      <c r="BB697" s="511"/>
      <c r="BC697" s="511"/>
      <c r="BD697" s="511"/>
      <c r="BE697" s="511"/>
    </row>
    <row r="698" ht="15.75" customHeight="1">
      <c r="A698" s="511"/>
      <c r="B698" s="511"/>
      <c r="C698" s="511"/>
      <c r="D698" s="511"/>
      <c r="E698" s="511"/>
      <c r="F698" s="511"/>
      <c r="G698" s="511"/>
      <c r="H698" s="511"/>
      <c r="I698" s="511"/>
      <c r="J698" s="511"/>
      <c r="K698" s="511"/>
      <c r="L698" s="511"/>
      <c r="M698" s="511"/>
      <c r="N698" s="511"/>
      <c r="O698" s="511"/>
      <c r="P698" s="511"/>
      <c r="Q698" s="511"/>
      <c r="R698" s="511"/>
      <c r="S698" s="511"/>
      <c r="T698" s="511"/>
      <c r="U698" s="511"/>
      <c r="V698" s="511"/>
      <c r="W698" s="511"/>
      <c r="X698" s="511"/>
      <c r="Y698" s="511"/>
      <c r="Z698" s="511"/>
      <c r="AA698" s="511"/>
      <c r="AB698" s="511"/>
      <c r="AC698" s="511"/>
      <c r="AD698" s="511"/>
      <c r="AE698" s="511"/>
      <c r="AF698" s="511"/>
      <c r="AG698" s="511"/>
      <c r="AH698" s="511"/>
      <c r="AI698" s="511"/>
      <c r="AJ698" s="511"/>
      <c r="AK698" s="511"/>
      <c r="AL698" s="511"/>
      <c r="AM698" s="511"/>
      <c r="AN698" s="511"/>
      <c r="AO698" s="511"/>
      <c r="AP698" s="511"/>
      <c r="AQ698" s="511"/>
      <c r="AR698" s="511"/>
      <c r="AS698" s="511"/>
      <c r="AT698" s="511"/>
      <c r="AU698" s="511"/>
      <c r="AV698" s="511"/>
      <c r="AW698" s="511"/>
      <c r="AX698" s="511"/>
      <c r="AY698" s="511"/>
      <c r="AZ698" s="511"/>
      <c r="BA698" s="511"/>
      <c r="BB698" s="511"/>
      <c r="BC698" s="511"/>
      <c r="BD698" s="511"/>
      <c r="BE698" s="511"/>
    </row>
    <row r="699" ht="15.75" customHeight="1">
      <c r="A699" s="511"/>
      <c r="B699" s="511"/>
      <c r="C699" s="511"/>
      <c r="D699" s="511"/>
      <c r="E699" s="511"/>
      <c r="F699" s="511"/>
      <c r="G699" s="511"/>
      <c r="H699" s="511"/>
      <c r="I699" s="511"/>
      <c r="J699" s="511"/>
      <c r="K699" s="511"/>
      <c r="L699" s="511"/>
      <c r="M699" s="511"/>
      <c r="N699" s="511"/>
      <c r="O699" s="511"/>
      <c r="P699" s="511"/>
      <c r="Q699" s="511"/>
      <c r="R699" s="511"/>
      <c r="S699" s="511"/>
      <c r="T699" s="511"/>
      <c r="U699" s="511"/>
      <c r="V699" s="511"/>
      <c r="W699" s="511"/>
      <c r="X699" s="511"/>
      <c r="Y699" s="511"/>
      <c r="Z699" s="511"/>
      <c r="AA699" s="511"/>
      <c r="AB699" s="511"/>
      <c r="AC699" s="511"/>
      <c r="AD699" s="511"/>
      <c r="AE699" s="511"/>
      <c r="AF699" s="511"/>
      <c r="AG699" s="511"/>
      <c r="AH699" s="511"/>
      <c r="AI699" s="511"/>
      <c r="AJ699" s="511"/>
      <c r="AK699" s="511"/>
      <c r="AL699" s="511"/>
      <c r="AM699" s="511"/>
      <c r="AN699" s="511"/>
      <c r="AO699" s="511"/>
      <c r="AP699" s="511"/>
      <c r="AQ699" s="511"/>
      <c r="AR699" s="511"/>
      <c r="AS699" s="511"/>
      <c r="AT699" s="511"/>
      <c r="AU699" s="511"/>
      <c r="AV699" s="511"/>
      <c r="AW699" s="511"/>
      <c r="AX699" s="511"/>
      <c r="AY699" s="511"/>
      <c r="AZ699" s="511"/>
      <c r="BA699" s="511"/>
      <c r="BB699" s="511"/>
      <c r="BC699" s="511"/>
      <c r="BD699" s="511"/>
      <c r="BE699" s="511"/>
    </row>
    <row r="700" ht="15.75" customHeight="1">
      <c r="A700" s="511"/>
      <c r="B700" s="511"/>
      <c r="C700" s="511"/>
      <c r="D700" s="511"/>
      <c r="E700" s="511"/>
      <c r="F700" s="511"/>
      <c r="G700" s="511"/>
      <c r="H700" s="511"/>
      <c r="I700" s="511"/>
      <c r="J700" s="511"/>
      <c r="K700" s="511"/>
      <c r="L700" s="511"/>
      <c r="M700" s="511"/>
      <c r="N700" s="511"/>
      <c r="O700" s="511"/>
      <c r="P700" s="511"/>
      <c r="Q700" s="511"/>
      <c r="R700" s="511"/>
      <c r="S700" s="511"/>
      <c r="T700" s="511"/>
      <c r="U700" s="511"/>
      <c r="V700" s="511"/>
      <c r="W700" s="511"/>
      <c r="X700" s="511"/>
      <c r="Y700" s="511"/>
      <c r="Z700" s="511"/>
      <c r="AA700" s="511"/>
      <c r="AB700" s="511"/>
      <c r="AC700" s="511"/>
      <c r="AD700" s="511"/>
      <c r="AE700" s="511"/>
      <c r="AF700" s="511"/>
      <c r="AG700" s="511"/>
      <c r="AH700" s="511"/>
      <c r="AI700" s="511"/>
      <c r="AJ700" s="511"/>
      <c r="AK700" s="511"/>
      <c r="AL700" s="511"/>
      <c r="AM700" s="511"/>
      <c r="AN700" s="511"/>
      <c r="AO700" s="511"/>
      <c r="AP700" s="511"/>
      <c r="AQ700" s="511"/>
      <c r="AR700" s="511"/>
      <c r="AS700" s="511"/>
      <c r="AT700" s="511"/>
      <c r="AU700" s="511"/>
      <c r="AV700" s="511"/>
      <c r="AW700" s="511"/>
      <c r="AX700" s="511"/>
      <c r="AY700" s="511"/>
      <c r="AZ700" s="511"/>
      <c r="BA700" s="511"/>
      <c r="BB700" s="511"/>
      <c r="BC700" s="511"/>
      <c r="BD700" s="511"/>
      <c r="BE700" s="511"/>
    </row>
    <row r="701" ht="15.75" customHeight="1">
      <c r="A701" s="511"/>
      <c r="B701" s="511"/>
      <c r="C701" s="511"/>
      <c r="D701" s="511"/>
      <c r="E701" s="511"/>
      <c r="F701" s="511"/>
      <c r="G701" s="511"/>
      <c r="H701" s="511"/>
      <c r="I701" s="511"/>
      <c r="J701" s="511"/>
      <c r="K701" s="511"/>
      <c r="L701" s="511"/>
      <c r="M701" s="511"/>
      <c r="N701" s="511"/>
      <c r="O701" s="511"/>
      <c r="P701" s="511"/>
      <c r="Q701" s="511"/>
      <c r="R701" s="511"/>
      <c r="S701" s="511"/>
      <c r="T701" s="511"/>
      <c r="U701" s="511"/>
      <c r="V701" s="511"/>
      <c r="W701" s="511"/>
      <c r="X701" s="511"/>
      <c r="Y701" s="511"/>
      <c r="Z701" s="511"/>
      <c r="AA701" s="511"/>
      <c r="AB701" s="511"/>
      <c r="AC701" s="511"/>
      <c r="AD701" s="511"/>
      <c r="AE701" s="511"/>
      <c r="AF701" s="511"/>
      <c r="AG701" s="511"/>
      <c r="AH701" s="511"/>
      <c r="AI701" s="511"/>
      <c r="AJ701" s="511"/>
      <c r="AK701" s="511"/>
      <c r="AL701" s="511"/>
      <c r="AM701" s="511"/>
      <c r="AN701" s="511"/>
      <c r="AO701" s="511"/>
      <c r="AP701" s="511"/>
      <c r="AQ701" s="511"/>
      <c r="AR701" s="511"/>
      <c r="AS701" s="511"/>
      <c r="AT701" s="511"/>
      <c r="AU701" s="511"/>
      <c r="AV701" s="511"/>
      <c r="AW701" s="511"/>
      <c r="AX701" s="511"/>
      <c r="AY701" s="511"/>
      <c r="AZ701" s="511"/>
      <c r="BA701" s="511"/>
      <c r="BB701" s="511"/>
      <c r="BC701" s="511"/>
      <c r="BD701" s="511"/>
      <c r="BE701" s="511"/>
    </row>
    <row r="702" ht="15.75" customHeight="1">
      <c r="A702" s="511"/>
      <c r="B702" s="511"/>
      <c r="C702" s="511"/>
      <c r="D702" s="511"/>
      <c r="E702" s="511"/>
      <c r="F702" s="511"/>
      <c r="G702" s="511"/>
      <c r="H702" s="511"/>
      <c r="I702" s="511"/>
      <c r="J702" s="511"/>
      <c r="K702" s="511"/>
      <c r="L702" s="511"/>
      <c r="M702" s="511"/>
      <c r="N702" s="511"/>
      <c r="O702" s="511"/>
      <c r="P702" s="511"/>
      <c r="Q702" s="511"/>
      <c r="R702" s="511"/>
      <c r="S702" s="511"/>
      <c r="T702" s="511"/>
      <c r="U702" s="511"/>
      <c r="V702" s="511"/>
      <c r="W702" s="511"/>
      <c r="X702" s="511"/>
      <c r="Y702" s="511"/>
      <c r="Z702" s="511"/>
      <c r="AA702" s="511"/>
      <c r="AB702" s="511"/>
      <c r="AC702" s="511"/>
      <c r="AD702" s="511"/>
      <c r="AE702" s="511"/>
      <c r="AF702" s="511"/>
      <c r="AG702" s="511"/>
      <c r="AH702" s="511"/>
      <c r="AI702" s="511"/>
      <c r="AJ702" s="511"/>
      <c r="AK702" s="511"/>
      <c r="AL702" s="511"/>
      <c r="AM702" s="511"/>
      <c r="AN702" s="511"/>
      <c r="AO702" s="511"/>
      <c r="AP702" s="511"/>
      <c r="AQ702" s="511"/>
      <c r="AR702" s="511"/>
      <c r="AS702" s="511"/>
      <c r="AT702" s="511"/>
      <c r="AU702" s="511"/>
      <c r="AV702" s="511"/>
      <c r="AW702" s="511"/>
      <c r="AX702" s="511"/>
      <c r="AY702" s="511"/>
      <c r="AZ702" s="511"/>
      <c r="BA702" s="511"/>
      <c r="BB702" s="511"/>
      <c r="BC702" s="511"/>
      <c r="BD702" s="511"/>
      <c r="BE702" s="511"/>
    </row>
    <row r="703" ht="15.75" customHeight="1">
      <c r="A703" s="511"/>
      <c r="B703" s="511"/>
      <c r="C703" s="511"/>
      <c r="D703" s="511"/>
      <c r="E703" s="511"/>
      <c r="F703" s="511"/>
      <c r="G703" s="511"/>
      <c r="H703" s="511"/>
      <c r="I703" s="511"/>
      <c r="J703" s="511"/>
      <c r="K703" s="511"/>
      <c r="L703" s="511"/>
      <c r="M703" s="511"/>
      <c r="N703" s="511"/>
      <c r="O703" s="511"/>
      <c r="P703" s="511"/>
      <c r="Q703" s="511"/>
      <c r="R703" s="511"/>
      <c r="S703" s="511"/>
      <c r="T703" s="511"/>
      <c r="U703" s="511"/>
      <c r="V703" s="511"/>
      <c r="W703" s="511"/>
      <c r="X703" s="511"/>
      <c r="Y703" s="511"/>
      <c r="Z703" s="511"/>
      <c r="AA703" s="511"/>
      <c r="AB703" s="511"/>
      <c r="AC703" s="511"/>
      <c r="AD703" s="511"/>
      <c r="AE703" s="511"/>
      <c r="AF703" s="511"/>
      <c r="AG703" s="511"/>
      <c r="AH703" s="511"/>
      <c r="AI703" s="511"/>
      <c r="AJ703" s="511"/>
      <c r="AK703" s="511"/>
      <c r="AL703" s="511"/>
      <c r="AM703" s="511"/>
      <c r="AN703" s="511"/>
      <c r="AO703" s="511"/>
      <c r="AP703" s="511"/>
      <c r="AQ703" s="511"/>
      <c r="AR703" s="511"/>
      <c r="AS703" s="511"/>
      <c r="AT703" s="511"/>
      <c r="AU703" s="511"/>
      <c r="AV703" s="511"/>
      <c r="AW703" s="511"/>
      <c r="AX703" s="511"/>
      <c r="AY703" s="511"/>
      <c r="AZ703" s="511"/>
      <c r="BA703" s="511"/>
      <c r="BB703" s="511"/>
      <c r="BC703" s="511"/>
      <c r="BD703" s="511"/>
      <c r="BE703" s="511"/>
    </row>
    <row r="704" ht="15.75" customHeight="1">
      <c r="A704" s="511"/>
      <c r="B704" s="511"/>
      <c r="C704" s="511"/>
      <c r="D704" s="511"/>
      <c r="E704" s="511"/>
      <c r="F704" s="511"/>
      <c r="G704" s="511"/>
      <c r="H704" s="511"/>
      <c r="I704" s="511"/>
      <c r="J704" s="511"/>
      <c r="K704" s="511"/>
      <c r="L704" s="511"/>
      <c r="M704" s="511"/>
      <c r="N704" s="511"/>
      <c r="O704" s="511"/>
      <c r="P704" s="511"/>
      <c r="Q704" s="511"/>
      <c r="R704" s="511"/>
      <c r="S704" s="511"/>
      <c r="T704" s="511"/>
      <c r="U704" s="511"/>
      <c r="V704" s="511"/>
      <c r="W704" s="511"/>
      <c r="X704" s="511"/>
      <c r="Y704" s="511"/>
      <c r="Z704" s="511"/>
      <c r="AA704" s="511"/>
      <c r="AB704" s="511"/>
      <c r="AC704" s="511"/>
      <c r="AD704" s="511"/>
      <c r="AE704" s="511"/>
      <c r="AF704" s="511"/>
      <c r="AG704" s="511"/>
      <c r="AH704" s="511"/>
      <c r="AI704" s="511"/>
      <c r="AJ704" s="511"/>
      <c r="AK704" s="511"/>
      <c r="AL704" s="511"/>
      <c r="AM704" s="511"/>
      <c r="AN704" s="511"/>
      <c r="AO704" s="511"/>
      <c r="AP704" s="511"/>
      <c r="AQ704" s="511"/>
      <c r="AR704" s="511"/>
      <c r="AS704" s="511"/>
      <c r="AT704" s="511"/>
      <c r="AU704" s="511"/>
      <c r="AV704" s="511"/>
      <c r="AW704" s="511"/>
      <c r="AX704" s="511"/>
      <c r="AY704" s="511"/>
      <c r="AZ704" s="511"/>
      <c r="BA704" s="511"/>
      <c r="BB704" s="511"/>
      <c r="BC704" s="511"/>
      <c r="BD704" s="511"/>
      <c r="BE704" s="511"/>
    </row>
    <row r="705" ht="15.75" customHeight="1">
      <c r="A705" s="511"/>
      <c r="B705" s="511"/>
      <c r="C705" s="511"/>
      <c r="D705" s="511"/>
      <c r="E705" s="511"/>
      <c r="F705" s="511"/>
      <c r="G705" s="511"/>
      <c r="H705" s="511"/>
      <c r="I705" s="511"/>
      <c r="J705" s="511"/>
      <c r="K705" s="511"/>
      <c r="L705" s="511"/>
      <c r="M705" s="511"/>
      <c r="N705" s="511"/>
      <c r="O705" s="511"/>
      <c r="P705" s="511"/>
      <c r="Q705" s="511"/>
      <c r="R705" s="511"/>
      <c r="S705" s="511"/>
      <c r="T705" s="511"/>
      <c r="U705" s="511"/>
      <c r="V705" s="511"/>
      <c r="W705" s="511"/>
      <c r="X705" s="511"/>
      <c r="Y705" s="511"/>
      <c r="Z705" s="511"/>
      <c r="AA705" s="511"/>
      <c r="AB705" s="511"/>
      <c r="AC705" s="511"/>
      <c r="AD705" s="511"/>
      <c r="AE705" s="511"/>
      <c r="AF705" s="511"/>
      <c r="AG705" s="511"/>
      <c r="AH705" s="511"/>
      <c r="AI705" s="511"/>
      <c r="AJ705" s="511"/>
      <c r="AK705" s="511"/>
      <c r="AL705" s="511"/>
      <c r="AM705" s="511"/>
      <c r="AN705" s="511"/>
      <c r="AO705" s="511"/>
      <c r="AP705" s="511"/>
      <c r="AQ705" s="511"/>
      <c r="AR705" s="511"/>
      <c r="AS705" s="511"/>
      <c r="AT705" s="511"/>
      <c r="AU705" s="511"/>
      <c r="AV705" s="511"/>
      <c r="AW705" s="511"/>
      <c r="AX705" s="511"/>
      <c r="AY705" s="511"/>
      <c r="AZ705" s="511"/>
      <c r="BA705" s="511"/>
      <c r="BB705" s="511"/>
      <c r="BC705" s="511"/>
      <c r="BD705" s="511"/>
      <c r="BE705" s="511"/>
    </row>
    <row r="706" ht="15.75" customHeight="1">
      <c r="A706" s="511"/>
      <c r="B706" s="511"/>
      <c r="C706" s="511"/>
      <c r="D706" s="511"/>
      <c r="E706" s="511"/>
      <c r="F706" s="511"/>
      <c r="G706" s="511"/>
      <c r="H706" s="511"/>
      <c r="I706" s="511"/>
      <c r="J706" s="511"/>
      <c r="K706" s="511"/>
      <c r="L706" s="511"/>
      <c r="M706" s="511"/>
      <c r="N706" s="511"/>
      <c r="O706" s="511"/>
      <c r="P706" s="511"/>
      <c r="Q706" s="511"/>
      <c r="R706" s="511"/>
      <c r="S706" s="511"/>
      <c r="T706" s="511"/>
      <c r="U706" s="511"/>
      <c r="V706" s="511"/>
      <c r="W706" s="511"/>
      <c r="X706" s="511"/>
      <c r="Y706" s="511"/>
      <c r="Z706" s="511"/>
      <c r="AA706" s="511"/>
      <c r="AB706" s="511"/>
      <c r="AC706" s="511"/>
      <c r="AD706" s="511"/>
      <c r="AE706" s="511"/>
      <c r="AF706" s="511"/>
      <c r="AG706" s="511"/>
      <c r="AH706" s="511"/>
      <c r="AI706" s="511"/>
      <c r="AJ706" s="511"/>
      <c r="AK706" s="511"/>
      <c r="AL706" s="511"/>
      <c r="AM706" s="511"/>
      <c r="AN706" s="511"/>
      <c r="AO706" s="511"/>
      <c r="AP706" s="511"/>
      <c r="AQ706" s="511"/>
      <c r="AR706" s="511"/>
      <c r="AS706" s="511"/>
      <c r="AT706" s="511"/>
      <c r="AU706" s="511"/>
      <c r="AV706" s="511"/>
      <c r="AW706" s="511"/>
      <c r="AX706" s="511"/>
      <c r="AY706" s="511"/>
      <c r="AZ706" s="511"/>
      <c r="BA706" s="511"/>
      <c r="BB706" s="511"/>
      <c r="BC706" s="511"/>
      <c r="BD706" s="511"/>
      <c r="BE706" s="511"/>
    </row>
    <row r="707" ht="15.75" customHeight="1">
      <c r="A707" s="511"/>
      <c r="B707" s="511"/>
      <c r="C707" s="511"/>
      <c r="D707" s="511"/>
      <c r="E707" s="511"/>
      <c r="F707" s="511"/>
      <c r="G707" s="511"/>
      <c r="H707" s="511"/>
      <c r="I707" s="511"/>
      <c r="J707" s="511"/>
      <c r="K707" s="511"/>
      <c r="L707" s="511"/>
      <c r="M707" s="511"/>
      <c r="N707" s="511"/>
      <c r="O707" s="511"/>
      <c r="P707" s="511"/>
      <c r="Q707" s="511"/>
      <c r="R707" s="511"/>
      <c r="S707" s="511"/>
      <c r="T707" s="511"/>
      <c r="U707" s="511"/>
      <c r="V707" s="511"/>
      <c r="W707" s="511"/>
      <c r="X707" s="511"/>
      <c r="Y707" s="511"/>
      <c r="Z707" s="511"/>
      <c r="AA707" s="511"/>
      <c r="AB707" s="511"/>
      <c r="AC707" s="511"/>
      <c r="AD707" s="511"/>
      <c r="AE707" s="511"/>
      <c r="AF707" s="511"/>
      <c r="AG707" s="511"/>
      <c r="AH707" s="511"/>
      <c r="AI707" s="511"/>
      <c r="AJ707" s="511"/>
      <c r="AK707" s="511"/>
      <c r="AL707" s="511"/>
      <c r="AM707" s="511"/>
      <c r="AN707" s="511"/>
      <c r="AO707" s="511"/>
      <c r="AP707" s="511"/>
      <c r="AQ707" s="511"/>
      <c r="AR707" s="511"/>
      <c r="AS707" s="511"/>
      <c r="AT707" s="511"/>
      <c r="AU707" s="511"/>
      <c r="AV707" s="511"/>
      <c r="AW707" s="511"/>
      <c r="AX707" s="511"/>
      <c r="AY707" s="511"/>
      <c r="AZ707" s="511"/>
      <c r="BA707" s="511"/>
      <c r="BB707" s="511"/>
      <c r="BC707" s="511"/>
      <c r="BD707" s="511"/>
      <c r="BE707" s="511"/>
    </row>
    <row r="708" ht="15.75" customHeight="1">
      <c r="A708" s="511"/>
      <c r="B708" s="511"/>
      <c r="C708" s="511"/>
      <c r="D708" s="511"/>
      <c r="E708" s="511"/>
      <c r="F708" s="511"/>
      <c r="G708" s="511"/>
      <c r="H708" s="511"/>
      <c r="I708" s="511"/>
      <c r="J708" s="511"/>
      <c r="K708" s="511"/>
      <c r="L708" s="511"/>
      <c r="M708" s="511"/>
      <c r="N708" s="511"/>
      <c r="O708" s="511"/>
      <c r="P708" s="511"/>
      <c r="Q708" s="511"/>
      <c r="R708" s="511"/>
      <c r="S708" s="511"/>
      <c r="T708" s="511"/>
      <c r="U708" s="511"/>
      <c r="V708" s="511"/>
      <c r="W708" s="511"/>
      <c r="X708" s="511"/>
      <c r="Y708" s="511"/>
      <c r="Z708" s="511"/>
      <c r="AA708" s="511"/>
      <c r="AB708" s="511"/>
      <c r="AC708" s="511"/>
      <c r="AD708" s="511"/>
      <c r="AE708" s="511"/>
      <c r="AF708" s="511"/>
      <c r="AG708" s="511"/>
      <c r="AH708" s="511"/>
      <c r="AI708" s="511"/>
      <c r="AJ708" s="511"/>
      <c r="AK708" s="511"/>
      <c r="AL708" s="511"/>
      <c r="AM708" s="511"/>
      <c r="AN708" s="511"/>
      <c r="AO708" s="511"/>
      <c r="AP708" s="511"/>
      <c r="AQ708" s="511"/>
      <c r="AR708" s="511"/>
      <c r="AS708" s="511"/>
      <c r="AT708" s="511"/>
      <c r="AU708" s="511"/>
      <c r="AV708" s="511"/>
      <c r="AW708" s="511"/>
      <c r="AX708" s="511"/>
      <c r="AY708" s="511"/>
      <c r="AZ708" s="511"/>
      <c r="BA708" s="511"/>
      <c r="BB708" s="511"/>
      <c r="BC708" s="511"/>
      <c r="BD708" s="511"/>
      <c r="BE708" s="511"/>
    </row>
    <row r="709" ht="15.75" customHeight="1">
      <c r="A709" s="511"/>
      <c r="B709" s="511"/>
      <c r="C709" s="511"/>
      <c r="D709" s="511"/>
      <c r="E709" s="511"/>
      <c r="F709" s="511"/>
      <c r="G709" s="511"/>
      <c r="H709" s="511"/>
      <c r="I709" s="511"/>
      <c r="J709" s="511"/>
      <c r="K709" s="511"/>
      <c r="L709" s="511"/>
      <c r="M709" s="511"/>
      <c r="N709" s="511"/>
      <c r="O709" s="511"/>
      <c r="P709" s="511"/>
      <c r="Q709" s="511"/>
      <c r="R709" s="511"/>
      <c r="S709" s="511"/>
      <c r="T709" s="511"/>
      <c r="U709" s="511"/>
      <c r="V709" s="511"/>
      <c r="W709" s="511"/>
      <c r="X709" s="511"/>
      <c r="Y709" s="511"/>
      <c r="Z709" s="511"/>
      <c r="AA709" s="511"/>
      <c r="AB709" s="511"/>
      <c r="AC709" s="511"/>
      <c r="AD709" s="511"/>
      <c r="AE709" s="511"/>
      <c r="AF709" s="511"/>
      <c r="AG709" s="511"/>
      <c r="AH709" s="511"/>
      <c r="AI709" s="511"/>
      <c r="AJ709" s="511"/>
      <c r="AK709" s="511"/>
      <c r="AL709" s="511"/>
      <c r="AM709" s="511"/>
      <c r="AN709" s="511"/>
      <c r="AO709" s="511"/>
      <c r="AP709" s="511"/>
      <c r="AQ709" s="511"/>
      <c r="AR709" s="511"/>
      <c r="AS709" s="511"/>
      <c r="AT709" s="511"/>
      <c r="AU709" s="511"/>
      <c r="AV709" s="511"/>
      <c r="AW709" s="511"/>
      <c r="AX709" s="511"/>
      <c r="AY709" s="511"/>
      <c r="AZ709" s="511"/>
      <c r="BA709" s="511"/>
      <c r="BB709" s="511"/>
      <c r="BC709" s="511"/>
      <c r="BD709" s="511"/>
      <c r="BE709" s="511"/>
    </row>
    <row r="710" ht="15.75" customHeight="1">
      <c r="A710" s="511"/>
      <c r="B710" s="511"/>
      <c r="C710" s="511"/>
      <c r="D710" s="511"/>
      <c r="E710" s="511"/>
      <c r="F710" s="511"/>
      <c r="G710" s="511"/>
      <c r="H710" s="511"/>
      <c r="I710" s="511"/>
      <c r="J710" s="511"/>
      <c r="K710" s="511"/>
      <c r="L710" s="511"/>
      <c r="M710" s="511"/>
      <c r="N710" s="511"/>
      <c r="O710" s="511"/>
      <c r="P710" s="511"/>
      <c r="Q710" s="511"/>
      <c r="R710" s="511"/>
      <c r="S710" s="511"/>
      <c r="T710" s="511"/>
      <c r="U710" s="511"/>
      <c r="V710" s="511"/>
      <c r="W710" s="511"/>
      <c r="X710" s="511"/>
      <c r="Y710" s="511"/>
      <c r="Z710" s="511"/>
      <c r="AA710" s="511"/>
      <c r="AB710" s="511"/>
      <c r="AC710" s="511"/>
      <c r="AD710" s="511"/>
      <c r="AE710" s="511"/>
      <c r="AF710" s="511"/>
      <c r="AG710" s="511"/>
      <c r="AH710" s="511"/>
      <c r="AI710" s="511"/>
      <c r="AJ710" s="511"/>
      <c r="AK710" s="511"/>
      <c r="AL710" s="511"/>
      <c r="AM710" s="511"/>
      <c r="AN710" s="511"/>
      <c r="AO710" s="511"/>
      <c r="AP710" s="511"/>
      <c r="AQ710" s="511"/>
      <c r="AR710" s="511"/>
      <c r="AS710" s="511"/>
      <c r="AT710" s="511"/>
      <c r="AU710" s="511"/>
      <c r="AV710" s="511"/>
      <c r="AW710" s="511"/>
      <c r="AX710" s="511"/>
      <c r="AY710" s="511"/>
      <c r="AZ710" s="511"/>
      <c r="BA710" s="511"/>
      <c r="BB710" s="511"/>
      <c r="BC710" s="511"/>
      <c r="BD710" s="511"/>
      <c r="BE710" s="511"/>
    </row>
    <row r="711" ht="15.75" customHeight="1">
      <c r="A711" s="511"/>
      <c r="B711" s="511"/>
      <c r="C711" s="511"/>
      <c r="D711" s="511"/>
      <c r="E711" s="511"/>
      <c r="F711" s="511"/>
      <c r="G711" s="511"/>
      <c r="H711" s="511"/>
      <c r="I711" s="511"/>
      <c r="J711" s="511"/>
      <c r="K711" s="511"/>
      <c r="L711" s="511"/>
      <c r="M711" s="511"/>
      <c r="N711" s="511"/>
      <c r="O711" s="511"/>
      <c r="P711" s="511"/>
      <c r="Q711" s="511"/>
      <c r="R711" s="511"/>
      <c r="S711" s="511"/>
      <c r="T711" s="511"/>
      <c r="U711" s="511"/>
      <c r="V711" s="511"/>
      <c r="W711" s="511"/>
      <c r="X711" s="511"/>
      <c r="Y711" s="511"/>
      <c r="Z711" s="511"/>
      <c r="AA711" s="511"/>
      <c r="AB711" s="511"/>
      <c r="AC711" s="511"/>
      <c r="AD711" s="511"/>
      <c r="AE711" s="511"/>
      <c r="AF711" s="511"/>
      <c r="AG711" s="511"/>
      <c r="AH711" s="511"/>
      <c r="AI711" s="511"/>
      <c r="AJ711" s="511"/>
      <c r="AK711" s="511"/>
      <c r="AL711" s="511"/>
      <c r="AM711" s="511"/>
      <c r="AN711" s="511"/>
      <c r="AO711" s="511"/>
      <c r="AP711" s="511"/>
      <c r="AQ711" s="511"/>
      <c r="AR711" s="511"/>
      <c r="AS711" s="511"/>
      <c r="AT711" s="511"/>
      <c r="AU711" s="511"/>
      <c r="AV711" s="511"/>
      <c r="AW711" s="511"/>
      <c r="AX711" s="511"/>
      <c r="AY711" s="511"/>
      <c r="AZ711" s="511"/>
      <c r="BA711" s="511"/>
      <c r="BB711" s="511"/>
      <c r="BC711" s="511"/>
      <c r="BD711" s="511"/>
      <c r="BE711" s="511"/>
    </row>
    <row r="712" ht="15.75" customHeight="1">
      <c r="A712" s="511"/>
      <c r="B712" s="511"/>
      <c r="C712" s="511"/>
      <c r="D712" s="511"/>
      <c r="E712" s="511"/>
      <c r="F712" s="511"/>
      <c r="G712" s="511"/>
      <c r="H712" s="511"/>
      <c r="I712" s="511"/>
      <c r="J712" s="511"/>
      <c r="K712" s="511"/>
      <c r="L712" s="511"/>
      <c r="M712" s="511"/>
      <c r="N712" s="511"/>
      <c r="O712" s="511"/>
      <c r="P712" s="511"/>
      <c r="Q712" s="511"/>
      <c r="R712" s="511"/>
      <c r="S712" s="511"/>
      <c r="T712" s="511"/>
      <c r="U712" s="511"/>
      <c r="V712" s="511"/>
      <c r="W712" s="511"/>
      <c r="X712" s="511"/>
      <c r="Y712" s="511"/>
      <c r="Z712" s="511"/>
      <c r="AA712" s="511"/>
      <c r="AB712" s="511"/>
      <c r="AC712" s="511"/>
      <c r="AD712" s="511"/>
      <c r="AE712" s="511"/>
      <c r="AF712" s="511"/>
      <c r="AG712" s="511"/>
      <c r="AH712" s="511"/>
      <c r="AI712" s="511"/>
      <c r="AJ712" s="511"/>
      <c r="AK712" s="511"/>
      <c r="AL712" s="511"/>
      <c r="AM712" s="511"/>
      <c r="AN712" s="511"/>
      <c r="AO712" s="511"/>
      <c r="AP712" s="511"/>
      <c r="AQ712" s="511"/>
      <c r="AR712" s="511"/>
      <c r="AS712" s="511"/>
      <c r="AT712" s="511"/>
      <c r="AU712" s="511"/>
      <c r="AV712" s="511"/>
      <c r="AW712" s="511"/>
      <c r="AX712" s="511"/>
      <c r="AY712" s="511"/>
      <c r="AZ712" s="511"/>
      <c r="BA712" s="511"/>
      <c r="BB712" s="511"/>
      <c r="BC712" s="511"/>
      <c r="BD712" s="511"/>
      <c r="BE712" s="511"/>
    </row>
    <row r="713" ht="15.75" customHeight="1">
      <c r="A713" s="511"/>
      <c r="B713" s="511"/>
      <c r="C713" s="511"/>
      <c r="D713" s="511"/>
      <c r="E713" s="511"/>
      <c r="F713" s="511"/>
      <c r="G713" s="511"/>
      <c r="H713" s="511"/>
      <c r="I713" s="511"/>
      <c r="J713" s="511"/>
      <c r="K713" s="511"/>
      <c r="L713" s="511"/>
      <c r="M713" s="511"/>
      <c r="N713" s="511"/>
      <c r="O713" s="511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  <c r="AA713" s="511"/>
      <c r="AB713" s="511"/>
      <c r="AC713" s="511"/>
      <c r="AD713" s="511"/>
      <c r="AE713" s="511"/>
      <c r="AF713" s="511"/>
      <c r="AG713" s="511"/>
      <c r="AH713" s="511"/>
      <c r="AI713" s="511"/>
      <c r="AJ713" s="511"/>
      <c r="AK713" s="511"/>
      <c r="AL713" s="511"/>
      <c r="AM713" s="511"/>
      <c r="AN713" s="511"/>
      <c r="AO713" s="511"/>
      <c r="AP713" s="511"/>
      <c r="AQ713" s="511"/>
      <c r="AR713" s="511"/>
      <c r="AS713" s="511"/>
      <c r="AT713" s="511"/>
      <c r="AU713" s="511"/>
      <c r="AV713" s="511"/>
      <c r="AW713" s="511"/>
      <c r="AX713" s="511"/>
      <c r="AY713" s="511"/>
      <c r="AZ713" s="511"/>
      <c r="BA713" s="511"/>
      <c r="BB713" s="511"/>
      <c r="BC713" s="511"/>
      <c r="BD713" s="511"/>
      <c r="BE713" s="511"/>
    </row>
    <row r="714" ht="15.75" customHeight="1">
      <c r="A714" s="511"/>
      <c r="B714" s="511"/>
      <c r="C714" s="511"/>
      <c r="D714" s="511"/>
      <c r="E714" s="511"/>
      <c r="F714" s="511"/>
      <c r="G714" s="511"/>
      <c r="H714" s="511"/>
      <c r="I714" s="511"/>
      <c r="J714" s="511"/>
      <c r="K714" s="511"/>
      <c r="L714" s="511"/>
      <c r="M714" s="511"/>
      <c r="N714" s="511"/>
      <c r="O714" s="511"/>
      <c r="P714" s="511"/>
      <c r="Q714" s="511"/>
      <c r="R714" s="511"/>
      <c r="S714" s="511"/>
      <c r="T714" s="511"/>
      <c r="U714" s="511"/>
      <c r="V714" s="511"/>
      <c r="W714" s="511"/>
      <c r="X714" s="511"/>
      <c r="Y714" s="511"/>
      <c r="Z714" s="511"/>
      <c r="AA714" s="511"/>
      <c r="AB714" s="511"/>
      <c r="AC714" s="511"/>
      <c r="AD714" s="511"/>
      <c r="AE714" s="511"/>
      <c r="AF714" s="511"/>
      <c r="AG714" s="511"/>
      <c r="AH714" s="511"/>
      <c r="AI714" s="511"/>
      <c r="AJ714" s="511"/>
      <c r="AK714" s="511"/>
      <c r="AL714" s="511"/>
      <c r="AM714" s="511"/>
      <c r="AN714" s="511"/>
      <c r="AO714" s="511"/>
      <c r="AP714" s="511"/>
      <c r="AQ714" s="511"/>
      <c r="AR714" s="511"/>
      <c r="AS714" s="511"/>
      <c r="AT714" s="511"/>
      <c r="AU714" s="511"/>
      <c r="AV714" s="511"/>
      <c r="AW714" s="511"/>
      <c r="AX714" s="511"/>
      <c r="AY714" s="511"/>
      <c r="AZ714" s="511"/>
      <c r="BA714" s="511"/>
      <c r="BB714" s="511"/>
      <c r="BC714" s="511"/>
      <c r="BD714" s="511"/>
      <c r="BE714" s="511"/>
    </row>
    <row r="715" ht="15.75" customHeight="1">
      <c r="A715" s="511"/>
      <c r="B715" s="511"/>
      <c r="C715" s="511"/>
      <c r="D715" s="511"/>
      <c r="E715" s="511"/>
      <c r="F715" s="511"/>
      <c r="G715" s="511"/>
      <c r="H715" s="511"/>
      <c r="I715" s="511"/>
      <c r="J715" s="511"/>
      <c r="K715" s="511"/>
      <c r="L715" s="511"/>
      <c r="M715" s="511"/>
      <c r="N715" s="511"/>
      <c r="O715" s="511"/>
      <c r="P715" s="511"/>
      <c r="Q715" s="511"/>
      <c r="R715" s="511"/>
      <c r="S715" s="511"/>
      <c r="T715" s="511"/>
      <c r="U715" s="511"/>
      <c r="V715" s="511"/>
      <c r="W715" s="511"/>
      <c r="X715" s="511"/>
      <c r="Y715" s="511"/>
      <c r="Z715" s="511"/>
      <c r="AA715" s="511"/>
      <c r="AB715" s="511"/>
      <c r="AC715" s="511"/>
      <c r="AD715" s="511"/>
      <c r="AE715" s="511"/>
      <c r="AF715" s="511"/>
      <c r="AG715" s="511"/>
      <c r="AH715" s="511"/>
      <c r="AI715" s="511"/>
      <c r="AJ715" s="511"/>
      <c r="AK715" s="511"/>
      <c r="AL715" s="511"/>
      <c r="AM715" s="511"/>
      <c r="AN715" s="511"/>
      <c r="AO715" s="511"/>
      <c r="AP715" s="511"/>
      <c r="AQ715" s="511"/>
      <c r="AR715" s="511"/>
      <c r="AS715" s="511"/>
      <c r="AT715" s="511"/>
      <c r="AU715" s="511"/>
      <c r="AV715" s="511"/>
      <c r="AW715" s="511"/>
      <c r="AX715" s="511"/>
      <c r="AY715" s="511"/>
      <c r="AZ715" s="511"/>
      <c r="BA715" s="511"/>
      <c r="BB715" s="511"/>
      <c r="BC715" s="511"/>
      <c r="BD715" s="511"/>
      <c r="BE715" s="511"/>
    </row>
    <row r="716" ht="15.75" customHeight="1">
      <c r="A716" s="511"/>
      <c r="B716" s="511"/>
      <c r="C716" s="511"/>
      <c r="D716" s="511"/>
      <c r="E716" s="511"/>
      <c r="F716" s="511"/>
      <c r="G716" s="511"/>
      <c r="H716" s="511"/>
      <c r="I716" s="511"/>
      <c r="J716" s="511"/>
      <c r="K716" s="511"/>
      <c r="L716" s="511"/>
      <c r="M716" s="511"/>
      <c r="N716" s="511"/>
      <c r="O716" s="511"/>
      <c r="P716" s="511"/>
      <c r="Q716" s="511"/>
      <c r="R716" s="511"/>
      <c r="S716" s="511"/>
      <c r="T716" s="511"/>
      <c r="U716" s="511"/>
      <c r="V716" s="511"/>
      <c r="W716" s="511"/>
      <c r="X716" s="511"/>
      <c r="Y716" s="511"/>
      <c r="Z716" s="511"/>
      <c r="AA716" s="511"/>
      <c r="AB716" s="511"/>
      <c r="AC716" s="511"/>
      <c r="AD716" s="511"/>
      <c r="AE716" s="511"/>
      <c r="AF716" s="511"/>
      <c r="AG716" s="511"/>
      <c r="AH716" s="511"/>
      <c r="AI716" s="511"/>
      <c r="AJ716" s="511"/>
      <c r="AK716" s="511"/>
      <c r="AL716" s="511"/>
      <c r="AM716" s="511"/>
      <c r="AN716" s="511"/>
      <c r="AO716" s="511"/>
      <c r="AP716" s="511"/>
      <c r="AQ716" s="511"/>
      <c r="AR716" s="511"/>
      <c r="AS716" s="511"/>
      <c r="AT716" s="511"/>
      <c r="AU716" s="511"/>
      <c r="AV716" s="511"/>
      <c r="AW716" s="511"/>
      <c r="AX716" s="511"/>
      <c r="AY716" s="511"/>
      <c r="AZ716" s="511"/>
      <c r="BA716" s="511"/>
      <c r="BB716" s="511"/>
      <c r="BC716" s="511"/>
      <c r="BD716" s="511"/>
      <c r="BE716" s="511"/>
    </row>
    <row r="717" ht="15.75" customHeight="1">
      <c r="A717" s="511"/>
      <c r="B717" s="511"/>
      <c r="C717" s="511"/>
      <c r="D717" s="511"/>
      <c r="E717" s="511"/>
      <c r="F717" s="511"/>
      <c r="G717" s="511"/>
      <c r="H717" s="511"/>
      <c r="I717" s="511"/>
      <c r="J717" s="511"/>
      <c r="K717" s="511"/>
      <c r="L717" s="511"/>
      <c r="M717" s="511"/>
      <c r="N717" s="511"/>
      <c r="O717" s="511"/>
      <c r="P717" s="511"/>
      <c r="Q717" s="511"/>
      <c r="R717" s="511"/>
      <c r="S717" s="511"/>
      <c r="T717" s="511"/>
      <c r="U717" s="511"/>
      <c r="V717" s="511"/>
      <c r="W717" s="511"/>
      <c r="X717" s="511"/>
      <c r="Y717" s="511"/>
      <c r="Z717" s="511"/>
      <c r="AA717" s="511"/>
      <c r="AB717" s="511"/>
      <c r="AC717" s="511"/>
      <c r="AD717" s="511"/>
      <c r="AE717" s="511"/>
      <c r="AF717" s="511"/>
      <c r="AG717" s="511"/>
      <c r="AH717" s="511"/>
      <c r="AI717" s="511"/>
      <c r="AJ717" s="511"/>
      <c r="AK717" s="511"/>
      <c r="AL717" s="511"/>
      <c r="AM717" s="511"/>
      <c r="AN717" s="511"/>
      <c r="AO717" s="511"/>
      <c r="AP717" s="511"/>
      <c r="AQ717" s="511"/>
      <c r="AR717" s="511"/>
      <c r="AS717" s="511"/>
      <c r="AT717" s="511"/>
      <c r="AU717" s="511"/>
      <c r="AV717" s="511"/>
      <c r="AW717" s="511"/>
      <c r="AX717" s="511"/>
      <c r="AY717" s="511"/>
      <c r="AZ717" s="511"/>
      <c r="BA717" s="511"/>
      <c r="BB717" s="511"/>
      <c r="BC717" s="511"/>
      <c r="BD717" s="511"/>
      <c r="BE717" s="511"/>
    </row>
    <row r="718" ht="15.75" customHeight="1">
      <c r="A718" s="511"/>
      <c r="B718" s="511"/>
      <c r="C718" s="511"/>
      <c r="D718" s="511"/>
      <c r="E718" s="511"/>
      <c r="F718" s="511"/>
      <c r="G718" s="511"/>
      <c r="H718" s="511"/>
      <c r="I718" s="511"/>
      <c r="J718" s="511"/>
      <c r="K718" s="511"/>
      <c r="L718" s="511"/>
      <c r="M718" s="511"/>
      <c r="N718" s="511"/>
      <c r="O718" s="511"/>
      <c r="P718" s="511"/>
      <c r="Q718" s="511"/>
      <c r="R718" s="511"/>
      <c r="S718" s="511"/>
      <c r="T718" s="511"/>
      <c r="U718" s="511"/>
      <c r="V718" s="511"/>
      <c r="W718" s="511"/>
      <c r="X718" s="511"/>
      <c r="Y718" s="511"/>
      <c r="Z718" s="511"/>
      <c r="AA718" s="511"/>
      <c r="AB718" s="511"/>
      <c r="AC718" s="511"/>
      <c r="AD718" s="511"/>
      <c r="AE718" s="511"/>
      <c r="AF718" s="511"/>
      <c r="AG718" s="511"/>
      <c r="AH718" s="511"/>
      <c r="AI718" s="511"/>
      <c r="AJ718" s="511"/>
      <c r="AK718" s="511"/>
      <c r="AL718" s="511"/>
      <c r="AM718" s="511"/>
      <c r="AN718" s="511"/>
      <c r="AO718" s="511"/>
      <c r="AP718" s="511"/>
      <c r="AQ718" s="511"/>
      <c r="AR718" s="511"/>
      <c r="AS718" s="511"/>
      <c r="AT718" s="511"/>
      <c r="AU718" s="511"/>
      <c r="AV718" s="511"/>
      <c r="AW718" s="511"/>
      <c r="AX718" s="511"/>
      <c r="AY718" s="511"/>
      <c r="AZ718" s="511"/>
      <c r="BA718" s="511"/>
      <c r="BB718" s="511"/>
      <c r="BC718" s="511"/>
      <c r="BD718" s="511"/>
      <c r="BE718" s="511"/>
    </row>
    <row r="719" ht="15.75" customHeight="1">
      <c r="A719" s="511"/>
      <c r="B719" s="511"/>
      <c r="C719" s="511"/>
      <c r="D719" s="511"/>
      <c r="E719" s="511"/>
      <c r="F719" s="511"/>
      <c r="G719" s="511"/>
      <c r="H719" s="511"/>
      <c r="I719" s="511"/>
      <c r="J719" s="511"/>
      <c r="K719" s="511"/>
      <c r="L719" s="511"/>
      <c r="M719" s="511"/>
      <c r="N719" s="511"/>
      <c r="O719" s="511"/>
      <c r="P719" s="511"/>
      <c r="Q719" s="511"/>
      <c r="R719" s="511"/>
      <c r="S719" s="511"/>
      <c r="T719" s="511"/>
      <c r="U719" s="511"/>
      <c r="V719" s="511"/>
      <c r="W719" s="511"/>
      <c r="X719" s="511"/>
      <c r="Y719" s="511"/>
      <c r="Z719" s="511"/>
      <c r="AA719" s="511"/>
      <c r="AB719" s="511"/>
      <c r="AC719" s="511"/>
      <c r="AD719" s="511"/>
      <c r="AE719" s="511"/>
      <c r="AF719" s="511"/>
      <c r="AG719" s="511"/>
      <c r="AH719" s="511"/>
      <c r="AI719" s="511"/>
      <c r="AJ719" s="511"/>
      <c r="AK719" s="511"/>
      <c r="AL719" s="511"/>
      <c r="AM719" s="511"/>
      <c r="AN719" s="511"/>
      <c r="AO719" s="511"/>
      <c r="AP719" s="511"/>
      <c r="AQ719" s="511"/>
      <c r="AR719" s="511"/>
      <c r="AS719" s="511"/>
      <c r="AT719" s="511"/>
      <c r="AU719" s="511"/>
      <c r="AV719" s="511"/>
      <c r="AW719" s="511"/>
      <c r="AX719" s="511"/>
      <c r="AY719" s="511"/>
      <c r="AZ719" s="511"/>
      <c r="BA719" s="511"/>
      <c r="BB719" s="511"/>
      <c r="BC719" s="511"/>
      <c r="BD719" s="511"/>
      <c r="BE719" s="511"/>
    </row>
    <row r="720" ht="15.75" customHeight="1">
      <c r="A720" s="511"/>
      <c r="B720" s="511"/>
      <c r="C720" s="511"/>
      <c r="D720" s="511"/>
      <c r="E720" s="511"/>
      <c r="F720" s="511"/>
      <c r="G720" s="511"/>
      <c r="H720" s="511"/>
      <c r="I720" s="511"/>
      <c r="J720" s="511"/>
      <c r="K720" s="511"/>
      <c r="L720" s="511"/>
      <c r="M720" s="511"/>
      <c r="N720" s="511"/>
      <c r="O720" s="511"/>
      <c r="P720" s="511"/>
      <c r="Q720" s="511"/>
      <c r="R720" s="511"/>
      <c r="S720" s="511"/>
      <c r="T720" s="511"/>
      <c r="U720" s="511"/>
      <c r="V720" s="511"/>
      <c r="W720" s="511"/>
      <c r="X720" s="511"/>
      <c r="Y720" s="511"/>
      <c r="Z720" s="511"/>
      <c r="AA720" s="511"/>
      <c r="AB720" s="511"/>
      <c r="AC720" s="511"/>
      <c r="AD720" s="511"/>
      <c r="AE720" s="511"/>
      <c r="AF720" s="511"/>
      <c r="AG720" s="511"/>
      <c r="AH720" s="511"/>
      <c r="AI720" s="511"/>
      <c r="AJ720" s="511"/>
      <c r="AK720" s="511"/>
      <c r="AL720" s="511"/>
      <c r="AM720" s="511"/>
      <c r="AN720" s="511"/>
      <c r="AO720" s="511"/>
      <c r="AP720" s="511"/>
      <c r="AQ720" s="511"/>
      <c r="AR720" s="511"/>
      <c r="AS720" s="511"/>
      <c r="AT720" s="511"/>
      <c r="AU720" s="511"/>
      <c r="AV720" s="511"/>
      <c r="AW720" s="511"/>
      <c r="AX720" s="511"/>
      <c r="AY720" s="511"/>
      <c r="AZ720" s="511"/>
      <c r="BA720" s="511"/>
      <c r="BB720" s="511"/>
      <c r="BC720" s="511"/>
      <c r="BD720" s="511"/>
      <c r="BE720" s="511"/>
    </row>
    <row r="721" ht="15.75" customHeight="1">
      <c r="A721" s="511"/>
      <c r="B721" s="511"/>
      <c r="C721" s="511"/>
      <c r="D721" s="511"/>
      <c r="E721" s="511"/>
      <c r="F721" s="511"/>
      <c r="G721" s="511"/>
      <c r="H721" s="511"/>
      <c r="I721" s="511"/>
      <c r="J721" s="511"/>
      <c r="K721" s="511"/>
      <c r="L721" s="511"/>
      <c r="M721" s="511"/>
      <c r="N721" s="511"/>
      <c r="O721" s="511"/>
      <c r="P721" s="511"/>
      <c r="Q721" s="511"/>
      <c r="R721" s="511"/>
      <c r="S721" s="511"/>
      <c r="T721" s="511"/>
      <c r="U721" s="511"/>
      <c r="V721" s="511"/>
      <c r="W721" s="511"/>
      <c r="X721" s="511"/>
      <c r="Y721" s="511"/>
      <c r="Z721" s="511"/>
      <c r="AA721" s="511"/>
      <c r="AB721" s="511"/>
      <c r="AC721" s="511"/>
      <c r="AD721" s="511"/>
      <c r="AE721" s="511"/>
      <c r="AF721" s="511"/>
      <c r="AG721" s="511"/>
      <c r="AH721" s="511"/>
      <c r="AI721" s="511"/>
      <c r="AJ721" s="511"/>
      <c r="AK721" s="511"/>
      <c r="AL721" s="511"/>
      <c r="AM721" s="511"/>
      <c r="AN721" s="511"/>
      <c r="AO721" s="511"/>
      <c r="AP721" s="511"/>
      <c r="AQ721" s="511"/>
      <c r="AR721" s="511"/>
      <c r="AS721" s="511"/>
      <c r="AT721" s="511"/>
      <c r="AU721" s="511"/>
      <c r="AV721" s="511"/>
      <c r="AW721" s="511"/>
      <c r="AX721" s="511"/>
      <c r="AY721" s="511"/>
      <c r="AZ721" s="511"/>
      <c r="BA721" s="511"/>
      <c r="BB721" s="511"/>
      <c r="BC721" s="511"/>
      <c r="BD721" s="511"/>
      <c r="BE721" s="511"/>
    </row>
    <row r="722" ht="15.75" customHeight="1">
      <c r="A722" s="511"/>
      <c r="B722" s="511"/>
      <c r="C722" s="511"/>
      <c r="D722" s="511"/>
      <c r="E722" s="511"/>
      <c r="F722" s="511"/>
      <c r="G722" s="511"/>
      <c r="H722" s="511"/>
      <c r="I722" s="511"/>
      <c r="J722" s="511"/>
      <c r="K722" s="511"/>
      <c r="L722" s="511"/>
      <c r="M722" s="511"/>
      <c r="N722" s="511"/>
      <c r="O722" s="511"/>
      <c r="P722" s="511"/>
      <c r="Q722" s="511"/>
      <c r="R722" s="511"/>
      <c r="S722" s="511"/>
      <c r="T722" s="511"/>
      <c r="U722" s="511"/>
      <c r="V722" s="511"/>
      <c r="W722" s="511"/>
      <c r="X722" s="511"/>
      <c r="Y722" s="511"/>
      <c r="Z722" s="511"/>
      <c r="AA722" s="511"/>
      <c r="AB722" s="511"/>
      <c r="AC722" s="511"/>
      <c r="AD722" s="511"/>
      <c r="AE722" s="511"/>
      <c r="AF722" s="511"/>
      <c r="AG722" s="511"/>
      <c r="AH722" s="511"/>
      <c r="AI722" s="511"/>
      <c r="AJ722" s="511"/>
      <c r="AK722" s="511"/>
      <c r="AL722" s="511"/>
      <c r="AM722" s="511"/>
      <c r="AN722" s="511"/>
      <c r="AO722" s="511"/>
      <c r="AP722" s="511"/>
      <c r="AQ722" s="511"/>
      <c r="AR722" s="511"/>
      <c r="AS722" s="511"/>
      <c r="AT722" s="511"/>
      <c r="AU722" s="511"/>
      <c r="AV722" s="511"/>
      <c r="AW722" s="511"/>
      <c r="AX722" s="511"/>
      <c r="AY722" s="511"/>
      <c r="AZ722" s="511"/>
      <c r="BA722" s="511"/>
      <c r="BB722" s="511"/>
      <c r="BC722" s="511"/>
      <c r="BD722" s="511"/>
      <c r="BE722" s="511"/>
    </row>
    <row r="723" ht="15.75" customHeight="1">
      <c r="A723" s="511"/>
      <c r="B723" s="511"/>
      <c r="C723" s="511"/>
      <c r="D723" s="511"/>
      <c r="E723" s="511"/>
      <c r="F723" s="511"/>
      <c r="G723" s="511"/>
      <c r="H723" s="511"/>
      <c r="I723" s="511"/>
      <c r="J723" s="511"/>
      <c r="K723" s="511"/>
      <c r="L723" s="511"/>
      <c r="M723" s="511"/>
      <c r="N723" s="511"/>
      <c r="O723" s="511"/>
      <c r="P723" s="511"/>
      <c r="Q723" s="511"/>
      <c r="R723" s="511"/>
      <c r="S723" s="511"/>
      <c r="T723" s="511"/>
      <c r="U723" s="511"/>
      <c r="V723" s="511"/>
      <c r="W723" s="511"/>
      <c r="X723" s="511"/>
      <c r="Y723" s="511"/>
      <c r="Z723" s="511"/>
      <c r="AA723" s="511"/>
      <c r="AB723" s="511"/>
      <c r="AC723" s="511"/>
      <c r="AD723" s="511"/>
      <c r="AE723" s="511"/>
      <c r="AF723" s="511"/>
      <c r="AG723" s="511"/>
      <c r="AH723" s="511"/>
      <c r="AI723" s="511"/>
      <c r="AJ723" s="511"/>
      <c r="AK723" s="511"/>
      <c r="AL723" s="511"/>
      <c r="AM723" s="511"/>
      <c r="AN723" s="511"/>
      <c r="AO723" s="511"/>
      <c r="AP723" s="511"/>
      <c r="AQ723" s="511"/>
      <c r="AR723" s="511"/>
      <c r="AS723" s="511"/>
      <c r="AT723" s="511"/>
      <c r="AU723" s="511"/>
      <c r="AV723" s="511"/>
      <c r="AW723" s="511"/>
      <c r="AX723" s="511"/>
      <c r="AY723" s="511"/>
      <c r="AZ723" s="511"/>
      <c r="BA723" s="511"/>
      <c r="BB723" s="511"/>
      <c r="BC723" s="511"/>
      <c r="BD723" s="511"/>
      <c r="BE723" s="511"/>
    </row>
    <row r="724" ht="15.75" customHeight="1">
      <c r="A724" s="511"/>
      <c r="B724" s="511"/>
      <c r="C724" s="511"/>
      <c r="D724" s="511"/>
      <c r="E724" s="511"/>
      <c r="F724" s="511"/>
      <c r="G724" s="511"/>
      <c r="H724" s="511"/>
      <c r="I724" s="511"/>
      <c r="J724" s="511"/>
      <c r="K724" s="511"/>
      <c r="L724" s="511"/>
      <c r="M724" s="511"/>
      <c r="N724" s="511"/>
      <c r="O724" s="511"/>
      <c r="P724" s="511"/>
      <c r="Q724" s="511"/>
      <c r="R724" s="511"/>
      <c r="S724" s="511"/>
      <c r="T724" s="511"/>
      <c r="U724" s="511"/>
      <c r="V724" s="511"/>
      <c r="W724" s="511"/>
      <c r="X724" s="511"/>
      <c r="Y724" s="511"/>
      <c r="Z724" s="511"/>
      <c r="AA724" s="511"/>
      <c r="AB724" s="511"/>
      <c r="AC724" s="511"/>
      <c r="AD724" s="511"/>
      <c r="AE724" s="511"/>
      <c r="AF724" s="511"/>
      <c r="AG724" s="511"/>
      <c r="AH724" s="511"/>
      <c r="AI724" s="511"/>
      <c r="AJ724" s="511"/>
      <c r="AK724" s="511"/>
      <c r="AL724" s="511"/>
      <c r="AM724" s="511"/>
      <c r="AN724" s="511"/>
      <c r="AO724" s="511"/>
      <c r="AP724" s="511"/>
      <c r="AQ724" s="511"/>
      <c r="AR724" s="511"/>
      <c r="AS724" s="511"/>
      <c r="AT724" s="511"/>
      <c r="AU724" s="511"/>
      <c r="AV724" s="511"/>
      <c r="AW724" s="511"/>
      <c r="AX724" s="511"/>
      <c r="AY724" s="511"/>
      <c r="AZ724" s="511"/>
      <c r="BA724" s="511"/>
      <c r="BB724" s="511"/>
      <c r="BC724" s="511"/>
      <c r="BD724" s="511"/>
      <c r="BE724" s="511"/>
    </row>
    <row r="725" ht="15.75" customHeight="1">
      <c r="A725" s="511"/>
      <c r="B725" s="511"/>
      <c r="C725" s="511"/>
      <c r="D725" s="511"/>
      <c r="E725" s="511"/>
      <c r="F725" s="511"/>
      <c r="G725" s="511"/>
      <c r="H725" s="511"/>
      <c r="I725" s="511"/>
      <c r="J725" s="511"/>
      <c r="K725" s="511"/>
      <c r="L725" s="511"/>
      <c r="M725" s="511"/>
      <c r="N725" s="511"/>
      <c r="O725" s="511"/>
      <c r="P725" s="511"/>
      <c r="Q725" s="511"/>
      <c r="R725" s="511"/>
      <c r="S725" s="511"/>
      <c r="T725" s="511"/>
      <c r="U725" s="511"/>
      <c r="V725" s="511"/>
      <c r="W725" s="511"/>
      <c r="X725" s="511"/>
      <c r="Y725" s="511"/>
      <c r="Z725" s="511"/>
      <c r="AA725" s="511"/>
      <c r="AB725" s="511"/>
      <c r="AC725" s="511"/>
      <c r="AD725" s="511"/>
      <c r="AE725" s="511"/>
      <c r="AF725" s="511"/>
      <c r="AG725" s="511"/>
      <c r="AH725" s="511"/>
      <c r="AI725" s="511"/>
      <c r="AJ725" s="511"/>
      <c r="AK725" s="511"/>
      <c r="AL725" s="511"/>
      <c r="AM725" s="511"/>
      <c r="AN725" s="511"/>
      <c r="AO725" s="511"/>
      <c r="AP725" s="511"/>
      <c r="AQ725" s="511"/>
      <c r="AR725" s="511"/>
      <c r="AS725" s="511"/>
      <c r="AT725" s="511"/>
      <c r="AU725" s="511"/>
      <c r="AV725" s="511"/>
      <c r="AW725" s="511"/>
      <c r="AX725" s="511"/>
      <c r="AY725" s="511"/>
      <c r="AZ725" s="511"/>
      <c r="BA725" s="511"/>
      <c r="BB725" s="511"/>
      <c r="BC725" s="511"/>
      <c r="BD725" s="511"/>
      <c r="BE725" s="511"/>
    </row>
    <row r="726" ht="15.75" customHeight="1">
      <c r="A726" s="511"/>
      <c r="B726" s="511"/>
      <c r="C726" s="511"/>
      <c r="D726" s="511"/>
      <c r="E726" s="511"/>
      <c r="F726" s="511"/>
      <c r="G726" s="511"/>
      <c r="H726" s="511"/>
      <c r="I726" s="511"/>
      <c r="J726" s="511"/>
      <c r="K726" s="511"/>
      <c r="L726" s="511"/>
      <c r="M726" s="511"/>
      <c r="N726" s="511"/>
      <c r="O726" s="511"/>
      <c r="P726" s="511"/>
      <c r="Q726" s="511"/>
      <c r="R726" s="511"/>
      <c r="S726" s="511"/>
      <c r="T726" s="511"/>
      <c r="U726" s="511"/>
      <c r="V726" s="511"/>
      <c r="W726" s="511"/>
      <c r="X726" s="511"/>
      <c r="Y726" s="511"/>
      <c r="Z726" s="511"/>
      <c r="AA726" s="511"/>
      <c r="AB726" s="511"/>
      <c r="AC726" s="511"/>
      <c r="AD726" s="511"/>
      <c r="AE726" s="511"/>
      <c r="AF726" s="511"/>
      <c r="AG726" s="511"/>
      <c r="AH726" s="511"/>
      <c r="AI726" s="511"/>
      <c r="AJ726" s="511"/>
      <c r="AK726" s="511"/>
      <c r="AL726" s="511"/>
      <c r="AM726" s="511"/>
      <c r="AN726" s="511"/>
      <c r="AO726" s="511"/>
      <c r="AP726" s="511"/>
      <c r="AQ726" s="511"/>
      <c r="AR726" s="511"/>
      <c r="AS726" s="511"/>
      <c r="AT726" s="511"/>
      <c r="AU726" s="511"/>
      <c r="AV726" s="511"/>
      <c r="AW726" s="511"/>
      <c r="AX726" s="511"/>
      <c r="AY726" s="511"/>
      <c r="AZ726" s="511"/>
      <c r="BA726" s="511"/>
      <c r="BB726" s="511"/>
      <c r="BC726" s="511"/>
      <c r="BD726" s="511"/>
      <c r="BE726" s="511"/>
    </row>
    <row r="727" ht="15.75" customHeight="1">
      <c r="A727" s="511"/>
      <c r="B727" s="511"/>
      <c r="C727" s="511"/>
      <c r="D727" s="511"/>
      <c r="E727" s="511"/>
      <c r="F727" s="511"/>
      <c r="G727" s="511"/>
      <c r="H727" s="511"/>
      <c r="I727" s="511"/>
      <c r="J727" s="511"/>
      <c r="K727" s="511"/>
      <c r="L727" s="511"/>
      <c r="M727" s="511"/>
      <c r="N727" s="511"/>
      <c r="O727" s="511"/>
      <c r="P727" s="511"/>
      <c r="Q727" s="511"/>
      <c r="R727" s="511"/>
      <c r="S727" s="511"/>
      <c r="T727" s="511"/>
      <c r="U727" s="511"/>
      <c r="V727" s="511"/>
      <c r="W727" s="511"/>
      <c r="X727" s="511"/>
      <c r="Y727" s="511"/>
      <c r="Z727" s="511"/>
      <c r="AA727" s="511"/>
      <c r="AB727" s="511"/>
      <c r="AC727" s="511"/>
      <c r="AD727" s="511"/>
      <c r="AE727" s="511"/>
      <c r="AF727" s="511"/>
      <c r="AG727" s="511"/>
      <c r="AH727" s="511"/>
      <c r="AI727" s="511"/>
      <c r="AJ727" s="511"/>
      <c r="AK727" s="511"/>
      <c r="AL727" s="511"/>
      <c r="AM727" s="511"/>
      <c r="AN727" s="511"/>
      <c r="AO727" s="511"/>
      <c r="AP727" s="511"/>
      <c r="AQ727" s="511"/>
      <c r="AR727" s="511"/>
      <c r="AS727" s="511"/>
      <c r="AT727" s="511"/>
      <c r="AU727" s="511"/>
      <c r="AV727" s="511"/>
      <c r="AW727" s="511"/>
      <c r="AX727" s="511"/>
      <c r="AY727" s="511"/>
      <c r="AZ727" s="511"/>
      <c r="BA727" s="511"/>
      <c r="BB727" s="511"/>
      <c r="BC727" s="511"/>
      <c r="BD727" s="511"/>
      <c r="BE727" s="511"/>
    </row>
    <row r="728" ht="15.75" customHeight="1">
      <c r="A728" s="511"/>
      <c r="B728" s="511"/>
      <c r="C728" s="511"/>
      <c r="D728" s="511"/>
      <c r="E728" s="511"/>
      <c r="F728" s="511"/>
      <c r="G728" s="511"/>
      <c r="H728" s="511"/>
      <c r="I728" s="511"/>
      <c r="J728" s="511"/>
      <c r="K728" s="511"/>
      <c r="L728" s="511"/>
      <c r="M728" s="511"/>
      <c r="N728" s="511"/>
      <c r="O728" s="511"/>
      <c r="P728" s="511"/>
      <c r="Q728" s="511"/>
      <c r="R728" s="511"/>
      <c r="S728" s="511"/>
      <c r="T728" s="511"/>
      <c r="U728" s="511"/>
      <c r="V728" s="511"/>
      <c r="W728" s="511"/>
      <c r="X728" s="511"/>
      <c r="Y728" s="511"/>
      <c r="Z728" s="511"/>
      <c r="AA728" s="511"/>
      <c r="AB728" s="511"/>
      <c r="AC728" s="511"/>
      <c r="AD728" s="511"/>
      <c r="AE728" s="511"/>
      <c r="AF728" s="511"/>
      <c r="AG728" s="511"/>
      <c r="AH728" s="511"/>
      <c r="AI728" s="511"/>
      <c r="AJ728" s="511"/>
      <c r="AK728" s="511"/>
      <c r="AL728" s="511"/>
      <c r="AM728" s="511"/>
      <c r="AN728" s="511"/>
      <c r="AO728" s="511"/>
      <c r="AP728" s="511"/>
      <c r="AQ728" s="511"/>
      <c r="AR728" s="511"/>
      <c r="AS728" s="511"/>
      <c r="AT728" s="511"/>
      <c r="AU728" s="511"/>
      <c r="AV728" s="511"/>
      <c r="AW728" s="511"/>
      <c r="AX728" s="511"/>
      <c r="AY728" s="511"/>
      <c r="AZ728" s="511"/>
      <c r="BA728" s="511"/>
      <c r="BB728" s="511"/>
      <c r="BC728" s="511"/>
      <c r="BD728" s="511"/>
      <c r="BE728" s="511"/>
    </row>
    <row r="729" ht="15.75" customHeight="1">
      <c r="A729" s="511"/>
      <c r="B729" s="511"/>
      <c r="C729" s="511"/>
      <c r="D729" s="511"/>
      <c r="E729" s="511"/>
      <c r="F729" s="511"/>
      <c r="G729" s="511"/>
      <c r="H729" s="511"/>
      <c r="I729" s="511"/>
      <c r="J729" s="511"/>
      <c r="K729" s="511"/>
      <c r="L729" s="511"/>
      <c r="M729" s="511"/>
      <c r="N729" s="511"/>
      <c r="O729" s="511"/>
      <c r="P729" s="511"/>
      <c r="Q729" s="511"/>
      <c r="R729" s="511"/>
      <c r="S729" s="511"/>
      <c r="T729" s="511"/>
      <c r="U729" s="511"/>
      <c r="V729" s="511"/>
      <c r="W729" s="511"/>
      <c r="X729" s="511"/>
      <c r="Y729" s="511"/>
      <c r="Z729" s="511"/>
      <c r="AA729" s="511"/>
      <c r="AB729" s="511"/>
      <c r="AC729" s="511"/>
      <c r="AD729" s="511"/>
      <c r="AE729" s="511"/>
      <c r="AF729" s="511"/>
      <c r="AG729" s="511"/>
      <c r="AH729" s="511"/>
      <c r="AI729" s="511"/>
      <c r="AJ729" s="511"/>
      <c r="AK729" s="511"/>
      <c r="AL729" s="511"/>
      <c r="AM729" s="511"/>
      <c r="AN729" s="511"/>
      <c r="AO729" s="511"/>
      <c r="AP729" s="511"/>
      <c r="AQ729" s="511"/>
      <c r="AR729" s="511"/>
      <c r="AS729" s="511"/>
      <c r="AT729" s="511"/>
      <c r="AU729" s="511"/>
      <c r="AV729" s="511"/>
      <c r="AW729" s="511"/>
      <c r="AX729" s="511"/>
      <c r="AY729" s="511"/>
      <c r="AZ729" s="511"/>
      <c r="BA729" s="511"/>
      <c r="BB729" s="511"/>
      <c r="BC729" s="511"/>
      <c r="BD729" s="511"/>
      <c r="BE729" s="511"/>
    </row>
    <row r="730" ht="15.75" customHeight="1">
      <c r="A730" s="511"/>
      <c r="B730" s="511"/>
      <c r="C730" s="511"/>
      <c r="D730" s="511"/>
      <c r="E730" s="511"/>
      <c r="F730" s="511"/>
      <c r="G730" s="511"/>
      <c r="H730" s="511"/>
      <c r="I730" s="511"/>
      <c r="J730" s="511"/>
      <c r="K730" s="511"/>
      <c r="L730" s="511"/>
      <c r="M730" s="511"/>
      <c r="N730" s="511"/>
      <c r="O730" s="511"/>
      <c r="P730" s="511"/>
      <c r="Q730" s="511"/>
      <c r="R730" s="511"/>
      <c r="S730" s="511"/>
      <c r="T730" s="511"/>
      <c r="U730" s="511"/>
      <c r="V730" s="511"/>
      <c r="W730" s="511"/>
      <c r="X730" s="511"/>
      <c r="Y730" s="511"/>
      <c r="Z730" s="511"/>
      <c r="AA730" s="511"/>
      <c r="AB730" s="511"/>
      <c r="AC730" s="511"/>
      <c r="AD730" s="511"/>
      <c r="AE730" s="511"/>
      <c r="AF730" s="511"/>
      <c r="AG730" s="511"/>
      <c r="AH730" s="511"/>
      <c r="AI730" s="511"/>
      <c r="AJ730" s="511"/>
      <c r="AK730" s="511"/>
      <c r="AL730" s="511"/>
      <c r="AM730" s="511"/>
      <c r="AN730" s="511"/>
      <c r="AO730" s="511"/>
      <c r="AP730" s="511"/>
      <c r="AQ730" s="511"/>
      <c r="AR730" s="511"/>
      <c r="AS730" s="511"/>
      <c r="AT730" s="511"/>
      <c r="AU730" s="511"/>
      <c r="AV730" s="511"/>
      <c r="AW730" s="511"/>
      <c r="AX730" s="511"/>
      <c r="AY730" s="511"/>
      <c r="AZ730" s="511"/>
      <c r="BA730" s="511"/>
      <c r="BB730" s="511"/>
      <c r="BC730" s="511"/>
      <c r="BD730" s="511"/>
      <c r="BE730" s="511"/>
    </row>
    <row r="731" ht="15.75" customHeight="1">
      <c r="A731" s="511"/>
      <c r="B731" s="511"/>
      <c r="C731" s="511"/>
      <c r="D731" s="511"/>
      <c r="E731" s="511"/>
      <c r="F731" s="511"/>
      <c r="G731" s="511"/>
      <c r="H731" s="511"/>
      <c r="I731" s="511"/>
      <c r="J731" s="511"/>
      <c r="K731" s="511"/>
      <c r="L731" s="511"/>
      <c r="M731" s="511"/>
      <c r="N731" s="511"/>
      <c r="O731" s="511"/>
      <c r="P731" s="511"/>
      <c r="Q731" s="511"/>
      <c r="R731" s="511"/>
      <c r="S731" s="511"/>
      <c r="T731" s="511"/>
      <c r="U731" s="511"/>
      <c r="V731" s="511"/>
      <c r="W731" s="511"/>
      <c r="X731" s="511"/>
      <c r="Y731" s="511"/>
      <c r="Z731" s="511"/>
      <c r="AA731" s="511"/>
      <c r="AB731" s="511"/>
      <c r="AC731" s="511"/>
      <c r="AD731" s="511"/>
      <c r="AE731" s="511"/>
      <c r="AF731" s="511"/>
      <c r="AG731" s="511"/>
      <c r="AH731" s="511"/>
      <c r="AI731" s="511"/>
      <c r="AJ731" s="511"/>
      <c r="AK731" s="511"/>
      <c r="AL731" s="511"/>
      <c r="AM731" s="511"/>
      <c r="AN731" s="511"/>
      <c r="AO731" s="511"/>
      <c r="AP731" s="511"/>
      <c r="AQ731" s="511"/>
      <c r="AR731" s="511"/>
      <c r="AS731" s="511"/>
      <c r="AT731" s="511"/>
      <c r="AU731" s="511"/>
      <c r="AV731" s="511"/>
      <c r="AW731" s="511"/>
      <c r="AX731" s="511"/>
      <c r="AY731" s="511"/>
      <c r="AZ731" s="511"/>
      <c r="BA731" s="511"/>
      <c r="BB731" s="511"/>
      <c r="BC731" s="511"/>
      <c r="BD731" s="511"/>
      <c r="BE731" s="511"/>
    </row>
    <row r="732" ht="15.75" customHeight="1">
      <c r="A732" s="511"/>
      <c r="B732" s="511"/>
      <c r="C732" s="511"/>
      <c r="D732" s="511"/>
      <c r="E732" s="511"/>
      <c r="F732" s="511"/>
      <c r="G732" s="511"/>
      <c r="H732" s="511"/>
      <c r="I732" s="511"/>
      <c r="J732" s="511"/>
      <c r="K732" s="511"/>
      <c r="L732" s="511"/>
      <c r="M732" s="511"/>
      <c r="N732" s="511"/>
      <c r="O732" s="511"/>
      <c r="P732" s="511"/>
      <c r="Q732" s="511"/>
      <c r="R732" s="511"/>
      <c r="S732" s="511"/>
      <c r="T732" s="511"/>
      <c r="U732" s="511"/>
      <c r="V732" s="511"/>
      <c r="W732" s="511"/>
      <c r="X732" s="511"/>
      <c r="Y732" s="511"/>
      <c r="Z732" s="511"/>
      <c r="AA732" s="511"/>
      <c r="AB732" s="511"/>
      <c r="AC732" s="511"/>
      <c r="AD732" s="511"/>
      <c r="AE732" s="511"/>
      <c r="AF732" s="511"/>
      <c r="AG732" s="511"/>
      <c r="AH732" s="511"/>
      <c r="AI732" s="511"/>
      <c r="AJ732" s="511"/>
      <c r="AK732" s="511"/>
      <c r="AL732" s="511"/>
      <c r="AM732" s="511"/>
      <c r="AN732" s="511"/>
      <c r="AO732" s="511"/>
      <c r="AP732" s="511"/>
      <c r="AQ732" s="511"/>
      <c r="AR732" s="511"/>
      <c r="AS732" s="511"/>
      <c r="AT732" s="511"/>
      <c r="AU732" s="511"/>
      <c r="AV732" s="511"/>
      <c r="AW732" s="511"/>
      <c r="AX732" s="511"/>
      <c r="AY732" s="511"/>
      <c r="AZ732" s="511"/>
      <c r="BA732" s="511"/>
      <c r="BB732" s="511"/>
      <c r="BC732" s="511"/>
      <c r="BD732" s="511"/>
      <c r="BE732" s="511"/>
    </row>
    <row r="733" ht="15.75" customHeight="1">
      <c r="A733" s="511"/>
      <c r="B733" s="511"/>
      <c r="C733" s="511"/>
      <c r="D733" s="511"/>
      <c r="E733" s="511"/>
      <c r="F733" s="511"/>
      <c r="G733" s="511"/>
      <c r="H733" s="511"/>
      <c r="I733" s="511"/>
      <c r="J733" s="511"/>
      <c r="K733" s="511"/>
      <c r="L733" s="511"/>
      <c r="M733" s="511"/>
      <c r="N733" s="511"/>
      <c r="O733" s="511"/>
      <c r="P733" s="511"/>
      <c r="Q733" s="511"/>
      <c r="R733" s="511"/>
      <c r="S733" s="511"/>
      <c r="T733" s="511"/>
      <c r="U733" s="511"/>
      <c r="V733" s="511"/>
      <c r="W733" s="511"/>
      <c r="X733" s="511"/>
      <c r="Y733" s="511"/>
      <c r="Z733" s="511"/>
      <c r="AA733" s="511"/>
      <c r="AB733" s="511"/>
      <c r="AC733" s="511"/>
      <c r="AD733" s="511"/>
      <c r="AE733" s="511"/>
      <c r="AF733" s="511"/>
      <c r="AG733" s="511"/>
      <c r="AH733" s="511"/>
      <c r="AI733" s="511"/>
      <c r="AJ733" s="511"/>
      <c r="AK733" s="511"/>
      <c r="AL733" s="511"/>
      <c r="AM733" s="511"/>
      <c r="AN733" s="511"/>
      <c r="AO733" s="511"/>
      <c r="AP733" s="511"/>
      <c r="AQ733" s="511"/>
      <c r="AR733" s="511"/>
      <c r="AS733" s="511"/>
      <c r="AT733" s="511"/>
      <c r="AU733" s="511"/>
      <c r="AV733" s="511"/>
      <c r="AW733" s="511"/>
      <c r="AX733" s="511"/>
      <c r="AY733" s="511"/>
      <c r="AZ733" s="511"/>
      <c r="BA733" s="511"/>
      <c r="BB733" s="511"/>
      <c r="BC733" s="511"/>
      <c r="BD733" s="511"/>
      <c r="BE733" s="511"/>
    </row>
    <row r="734" ht="15.75" customHeight="1">
      <c r="A734" s="511"/>
      <c r="B734" s="511"/>
      <c r="C734" s="511"/>
      <c r="D734" s="511"/>
      <c r="E734" s="511"/>
      <c r="F734" s="511"/>
      <c r="G734" s="511"/>
      <c r="H734" s="511"/>
      <c r="I734" s="511"/>
      <c r="J734" s="511"/>
      <c r="K734" s="511"/>
      <c r="L734" s="511"/>
      <c r="M734" s="511"/>
      <c r="N734" s="511"/>
      <c r="O734" s="511"/>
      <c r="P734" s="511"/>
      <c r="Q734" s="511"/>
      <c r="R734" s="511"/>
      <c r="S734" s="511"/>
      <c r="T734" s="511"/>
      <c r="U734" s="511"/>
      <c r="V734" s="511"/>
      <c r="W734" s="511"/>
      <c r="X734" s="511"/>
      <c r="Y734" s="511"/>
      <c r="Z734" s="511"/>
      <c r="AA734" s="511"/>
      <c r="AB734" s="511"/>
      <c r="AC734" s="511"/>
      <c r="AD734" s="511"/>
      <c r="AE734" s="511"/>
      <c r="AF734" s="511"/>
      <c r="AG734" s="511"/>
      <c r="AH734" s="511"/>
      <c r="AI734" s="511"/>
      <c r="AJ734" s="511"/>
      <c r="AK734" s="511"/>
      <c r="AL734" s="511"/>
      <c r="AM734" s="511"/>
      <c r="AN734" s="511"/>
      <c r="AO734" s="511"/>
      <c r="AP734" s="511"/>
      <c r="AQ734" s="511"/>
      <c r="AR734" s="511"/>
      <c r="AS734" s="511"/>
      <c r="AT734" s="511"/>
      <c r="AU734" s="511"/>
      <c r="AV734" s="511"/>
      <c r="AW734" s="511"/>
      <c r="AX734" s="511"/>
      <c r="AY734" s="511"/>
      <c r="AZ734" s="511"/>
      <c r="BA734" s="511"/>
      <c r="BB734" s="511"/>
      <c r="BC734" s="511"/>
      <c r="BD734" s="511"/>
      <c r="BE734" s="511"/>
    </row>
    <row r="735" ht="15.75" customHeight="1">
      <c r="A735" s="511"/>
      <c r="B735" s="511"/>
      <c r="C735" s="511"/>
      <c r="D735" s="511"/>
      <c r="E735" s="511"/>
      <c r="F735" s="511"/>
      <c r="G735" s="511"/>
      <c r="H735" s="511"/>
      <c r="I735" s="511"/>
      <c r="J735" s="511"/>
      <c r="K735" s="511"/>
      <c r="L735" s="511"/>
      <c r="M735" s="511"/>
      <c r="N735" s="511"/>
      <c r="O735" s="511"/>
      <c r="P735" s="511"/>
      <c r="Q735" s="511"/>
      <c r="R735" s="511"/>
      <c r="S735" s="511"/>
      <c r="T735" s="511"/>
      <c r="U735" s="511"/>
      <c r="V735" s="511"/>
      <c r="W735" s="511"/>
      <c r="X735" s="511"/>
      <c r="Y735" s="511"/>
      <c r="Z735" s="511"/>
      <c r="AA735" s="511"/>
      <c r="AB735" s="511"/>
      <c r="AC735" s="511"/>
      <c r="AD735" s="511"/>
      <c r="AE735" s="511"/>
      <c r="AF735" s="511"/>
      <c r="AG735" s="511"/>
      <c r="AH735" s="511"/>
      <c r="AI735" s="511"/>
      <c r="AJ735" s="511"/>
      <c r="AK735" s="511"/>
      <c r="AL735" s="511"/>
      <c r="AM735" s="511"/>
      <c r="AN735" s="511"/>
      <c r="AO735" s="511"/>
      <c r="AP735" s="511"/>
      <c r="AQ735" s="511"/>
      <c r="AR735" s="511"/>
      <c r="AS735" s="511"/>
      <c r="AT735" s="511"/>
      <c r="AU735" s="511"/>
      <c r="AV735" s="511"/>
      <c r="AW735" s="511"/>
      <c r="AX735" s="511"/>
      <c r="AY735" s="511"/>
      <c r="AZ735" s="511"/>
      <c r="BA735" s="511"/>
      <c r="BB735" s="511"/>
      <c r="BC735" s="511"/>
      <c r="BD735" s="511"/>
      <c r="BE735" s="511"/>
    </row>
    <row r="736" ht="15.75" customHeight="1">
      <c r="A736" s="511"/>
      <c r="B736" s="511"/>
      <c r="C736" s="511"/>
      <c r="D736" s="511"/>
      <c r="E736" s="511"/>
      <c r="F736" s="511"/>
      <c r="G736" s="511"/>
      <c r="H736" s="511"/>
      <c r="I736" s="511"/>
      <c r="J736" s="511"/>
      <c r="K736" s="511"/>
      <c r="L736" s="511"/>
      <c r="M736" s="511"/>
      <c r="N736" s="511"/>
      <c r="O736" s="511"/>
      <c r="P736" s="511"/>
      <c r="Q736" s="511"/>
      <c r="R736" s="511"/>
      <c r="S736" s="511"/>
      <c r="T736" s="511"/>
      <c r="U736" s="511"/>
      <c r="V736" s="511"/>
      <c r="W736" s="511"/>
      <c r="X736" s="511"/>
      <c r="Y736" s="511"/>
      <c r="Z736" s="511"/>
      <c r="AA736" s="511"/>
      <c r="AB736" s="511"/>
      <c r="AC736" s="511"/>
      <c r="AD736" s="511"/>
      <c r="AE736" s="511"/>
      <c r="AF736" s="511"/>
      <c r="AG736" s="511"/>
      <c r="AH736" s="511"/>
      <c r="AI736" s="511"/>
      <c r="AJ736" s="511"/>
      <c r="AK736" s="511"/>
      <c r="AL736" s="511"/>
      <c r="AM736" s="511"/>
      <c r="AN736" s="511"/>
      <c r="AO736" s="511"/>
      <c r="AP736" s="511"/>
      <c r="AQ736" s="511"/>
      <c r="AR736" s="511"/>
      <c r="AS736" s="511"/>
      <c r="AT736" s="511"/>
      <c r="AU736" s="511"/>
      <c r="AV736" s="511"/>
      <c r="AW736" s="511"/>
      <c r="AX736" s="511"/>
      <c r="AY736" s="511"/>
      <c r="AZ736" s="511"/>
      <c r="BA736" s="511"/>
      <c r="BB736" s="511"/>
      <c r="BC736" s="511"/>
      <c r="BD736" s="511"/>
      <c r="BE736" s="511"/>
    </row>
    <row r="737" ht="15.75" customHeight="1">
      <c r="A737" s="511"/>
      <c r="B737" s="511"/>
      <c r="C737" s="511"/>
      <c r="D737" s="511"/>
      <c r="E737" s="511"/>
      <c r="F737" s="511"/>
      <c r="G737" s="511"/>
      <c r="H737" s="511"/>
      <c r="I737" s="511"/>
      <c r="J737" s="511"/>
      <c r="K737" s="511"/>
      <c r="L737" s="511"/>
      <c r="M737" s="511"/>
      <c r="N737" s="511"/>
      <c r="O737" s="511"/>
      <c r="P737" s="511"/>
      <c r="Q737" s="511"/>
      <c r="R737" s="511"/>
      <c r="S737" s="511"/>
      <c r="T737" s="511"/>
      <c r="U737" s="511"/>
      <c r="V737" s="511"/>
      <c r="W737" s="511"/>
      <c r="X737" s="511"/>
      <c r="Y737" s="511"/>
      <c r="Z737" s="511"/>
      <c r="AA737" s="511"/>
      <c r="AB737" s="511"/>
      <c r="AC737" s="511"/>
      <c r="AD737" s="511"/>
      <c r="AE737" s="511"/>
      <c r="AF737" s="511"/>
      <c r="AG737" s="511"/>
      <c r="AH737" s="511"/>
      <c r="AI737" s="511"/>
      <c r="AJ737" s="511"/>
      <c r="AK737" s="511"/>
      <c r="AL737" s="511"/>
      <c r="AM737" s="511"/>
      <c r="AN737" s="511"/>
      <c r="AO737" s="511"/>
      <c r="AP737" s="511"/>
      <c r="AQ737" s="511"/>
      <c r="AR737" s="511"/>
      <c r="AS737" s="511"/>
      <c r="AT737" s="511"/>
      <c r="AU737" s="511"/>
      <c r="AV737" s="511"/>
      <c r="AW737" s="511"/>
      <c r="AX737" s="511"/>
      <c r="AY737" s="511"/>
      <c r="AZ737" s="511"/>
      <c r="BA737" s="511"/>
      <c r="BB737" s="511"/>
      <c r="BC737" s="511"/>
      <c r="BD737" s="511"/>
      <c r="BE737" s="511"/>
    </row>
    <row r="738" ht="15.75" customHeight="1">
      <c r="A738" s="511"/>
      <c r="B738" s="511"/>
      <c r="C738" s="511"/>
      <c r="D738" s="511"/>
      <c r="E738" s="511"/>
      <c r="F738" s="511"/>
      <c r="G738" s="511"/>
      <c r="H738" s="511"/>
      <c r="I738" s="511"/>
      <c r="J738" s="511"/>
      <c r="K738" s="511"/>
      <c r="L738" s="511"/>
      <c r="M738" s="511"/>
      <c r="N738" s="511"/>
      <c r="O738" s="511"/>
      <c r="P738" s="511"/>
      <c r="Q738" s="511"/>
      <c r="R738" s="511"/>
      <c r="S738" s="511"/>
      <c r="T738" s="511"/>
      <c r="U738" s="511"/>
      <c r="V738" s="511"/>
      <c r="W738" s="511"/>
      <c r="X738" s="511"/>
      <c r="Y738" s="511"/>
      <c r="Z738" s="511"/>
      <c r="AA738" s="511"/>
      <c r="AB738" s="511"/>
      <c r="AC738" s="511"/>
      <c r="AD738" s="511"/>
      <c r="AE738" s="511"/>
      <c r="AF738" s="511"/>
      <c r="AG738" s="511"/>
      <c r="AH738" s="511"/>
      <c r="AI738" s="511"/>
      <c r="AJ738" s="511"/>
      <c r="AK738" s="511"/>
      <c r="AL738" s="511"/>
      <c r="AM738" s="511"/>
      <c r="AN738" s="511"/>
      <c r="AO738" s="511"/>
      <c r="AP738" s="511"/>
      <c r="AQ738" s="511"/>
      <c r="AR738" s="511"/>
      <c r="AS738" s="511"/>
      <c r="AT738" s="511"/>
      <c r="AU738" s="511"/>
      <c r="AV738" s="511"/>
      <c r="AW738" s="511"/>
      <c r="AX738" s="511"/>
      <c r="AY738" s="511"/>
      <c r="AZ738" s="511"/>
      <c r="BA738" s="511"/>
      <c r="BB738" s="511"/>
      <c r="BC738" s="511"/>
      <c r="BD738" s="511"/>
      <c r="BE738" s="511"/>
    </row>
    <row r="739" ht="15.75" customHeight="1">
      <c r="A739" s="511"/>
      <c r="B739" s="511"/>
      <c r="C739" s="511"/>
      <c r="D739" s="511"/>
      <c r="E739" s="511"/>
      <c r="F739" s="511"/>
      <c r="G739" s="511"/>
      <c r="H739" s="511"/>
      <c r="I739" s="511"/>
      <c r="J739" s="511"/>
      <c r="K739" s="511"/>
      <c r="L739" s="511"/>
      <c r="M739" s="511"/>
      <c r="N739" s="511"/>
      <c r="O739" s="511"/>
      <c r="P739" s="511"/>
      <c r="Q739" s="511"/>
      <c r="R739" s="511"/>
      <c r="S739" s="511"/>
      <c r="T739" s="511"/>
      <c r="U739" s="511"/>
      <c r="V739" s="511"/>
      <c r="W739" s="511"/>
      <c r="X739" s="511"/>
      <c r="Y739" s="511"/>
      <c r="Z739" s="511"/>
      <c r="AA739" s="511"/>
      <c r="AB739" s="511"/>
      <c r="AC739" s="511"/>
      <c r="AD739" s="511"/>
      <c r="AE739" s="511"/>
      <c r="AF739" s="511"/>
      <c r="AG739" s="511"/>
      <c r="AH739" s="511"/>
      <c r="AI739" s="511"/>
      <c r="AJ739" s="511"/>
      <c r="AK739" s="511"/>
      <c r="AL739" s="511"/>
      <c r="AM739" s="511"/>
      <c r="AN739" s="511"/>
      <c r="AO739" s="511"/>
      <c r="AP739" s="511"/>
      <c r="AQ739" s="511"/>
      <c r="AR739" s="511"/>
      <c r="AS739" s="511"/>
      <c r="AT739" s="511"/>
      <c r="AU739" s="511"/>
      <c r="AV739" s="511"/>
      <c r="AW739" s="511"/>
      <c r="AX739" s="511"/>
      <c r="AY739" s="511"/>
      <c r="AZ739" s="511"/>
      <c r="BA739" s="511"/>
      <c r="BB739" s="511"/>
      <c r="BC739" s="511"/>
      <c r="BD739" s="511"/>
      <c r="BE739" s="511"/>
    </row>
    <row r="740" ht="15.75" customHeight="1">
      <c r="A740" s="511"/>
      <c r="B740" s="511"/>
      <c r="C740" s="511"/>
      <c r="D740" s="511"/>
      <c r="E740" s="511"/>
      <c r="F740" s="511"/>
      <c r="G740" s="511"/>
      <c r="H740" s="511"/>
      <c r="I740" s="511"/>
      <c r="J740" s="511"/>
      <c r="K740" s="511"/>
      <c r="L740" s="511"/>
      <c r="M740" s="511"/>
      <c r="N740" s="511"/>
      <c r="O740" s="511"/>
      <c r="P740" s="511"/>
      <c r="Q740" s="511"/>
      <c r="R740" s="511"/>
      <c r="S740" s="511"/>
      <c r="T740" s="511"/>
      <c r="U740" s="511"/>
      <c r="V740" s="511"/>
      <c r="W740" s="511"/>
      <c r="X740" s="511"/>
      <c r="Y740" s="511"/>
      <c r="Z740" s="511"/>
      <c r="AA740" s="511"/>
      <c r="AB740" s="511"/>
      <c r="AC740" s="511"/>
      <c r="AD740" s="511"/>
      <c r="AE740" s="511"/>
      <c r="AF740" s="511"/>
      <c r="AG740" s="511"/>
      <c r="AH740" s="511"/>
      <c r="AI740" s="511"/>
      <c r="AJ740" s="511"/>
      <c r="AK740" s="511"/>
      <c r="AL740" s="511"/>
      <c r="AM740" s="511"/>
      <c r="AN740" s="511"/>
      <c r="AO740" s="511"/>
      <c r="AP740" s="511"/>
      <c r="AQ740" s="511"/>
      <c r="AR740" s="511"/>
      <c r="AS740" s="511"/>
      <c r="AT740" s="511"/>
      <c r="AU740" s="511"/>
      <c r="AV740" s="511"/>
      <c r="AW740" s="511"/>
      <c r="AX740" s="511"/>
      <c r="AY740" s="511"/>
      <c r="AZ740" s="511"/>
      <c r="BA740" s="511"/>
      <c r="BB740" s="511"/>
      <c r="BC740" s="511"/>
      <c r="BD740" s="511"/>
      <c r="BE740" s="511"/>
    </row>
    <row r="741" ht="15.75" customHeight="1">
      <c r="A741" s="511"/>
      <c r="B741" s="511"/>
      <c r="C741" s="511"/>
      <c r="D741" s="511"/>
      <c r="E741" s="511"/>
      <c r="F741" s="511"/>
      <c r="G741" s="511"/>
      <c r="H741" s="511"/>
      <c r="I741" s="511"/>
      <c r="J741" s="511"/>
      <c r="K741" s="511"/>
      <c r="L741" s="511"/>
      <c r="M741" s="511"/>
      <c r="N741" s="511"/>
      <c r="O741" s="511"/>
      <c r="P741" s="511"/>
      <c r="Q741" s="511"/>
      <c r="R741" s="511"/>
      <c r="S741" s="511"/>
      <c r="T741" s="511"/>
      <c r="U741" s="511"/>
      <c r="V741" s="511"/>
      <c r="W741" s="511"/>
      <c r="X741" s="511"/>
      <c r="Y741" s="511"/>
      <c r="Z741" s="511"/>
      <c r="AA741" s="511"/>
      <c r="AB741" s="511"/>
      <c r="AC741" s="511"/>
      <c r="AD741" s="511"/>
      <c r="AE741" s="511"/>
      <c r="AF741" s="511"/>
      <c r="AG741" s="511"/>
      <c r="AH741" s="511"/>
      <c r="AI741" s="511"/>
      <c r="AJ741" s="511"/>
      <c r="AK741" s="511"/>
      <c r="AL741" s="511"/>
      <c r="AM741" s="511"/>
      <c r="AN741" s="511"/>
      <c r="AO741" s="511"/>
      <c r="AP741" s="511"/>
      <c r="AQ741" s="511"/>
      <c r="AR741" s="511"/>
      <c r="AS741" s="511"/>
      <c r="AT741" s="511"/>
      <c r="AU741" s="511"/>
      <c r="AV741" s="511"/>
      <c r="AW741" s="511"/>
      <c r="AX741" s="511"/>
      <c r="AY741" s="511"/>
      <c r="AZ741" s="511"/>
      <c r="BA741" s="511"/>
      <c r="BB741" s="511"/>
      <c r="BC741" s="511"/>
      <c r="BD741" s="511"/>
      <c r="BE741" s="511"/>
    </row>
    <row r="742" ht="15.75" customHeight="1">
      <c r="A742" s="511"/>
      <c r="B742" s="511"/>
      <c r="C742" s="511"/>
      <c r="D742" s="511"/>
      <c r="E742" s="511"/>
      <c r="F742" s="511"/>
      <c r="G742" s="511"/>
      <c r="H742" s="511"/>
      <c r="I742" s="511"/>
      <c r="J742" s="511"/>
      <c r="K742" s="511"/>
      <c r="L742" s="511"/>
      <c r="M742" s="511"/>
      <c r="N742" s="511"/>
      <c r="O742" s="511"/>
      <c r="P742" s="511"/>
      <c r="Q742" s="511"/>
      <c r="R742" s="511"/>
      <c r="S742" s="511"/>
      <c r="T742" s="511"/>
      <c r="U742" s="511"/>
      <c r="V742" s="511"/>
      <c r="W742" s="511"/>
      <c r="X742" s="511"/>
      <c r="Y742" s="511"/>
      <c r="Z742" s="511"/>
      <c r="AA742" s="511"/>
      <c r="AB742" s="511"/>
      <c r="AC742" s="511"/>
      <c r="AD742" s="511"/>
      <c r="AE742" s="511"/>
      <c r="AF742" s="511"/>
      <c r="AG742" s="511"/>
      <c r="AH742" s="511"/>
      <c r="AI742" s="511"/>
      <c r="AJ742" s="511"/>
      <c r="AK742" s="511"/>
      <c r="AL742" s="511"/>
      <c r="AM742" s="511"/>
      <c r="AN742" s="511"/>
      <c r="AO742" s="511"/>
      <c r="AP742" s="511"/>
      <c r="AQ742" s="511"/>
      <c r="AR742" s="511"/>
      <c r="AS742" s="511"/>
      <c r="AT742" s="511"/>
      <c r="AU742" s="511"/>
      <c r="AV742" s="511"/>
      <c r="AW742" s="511"/>
      <c r="AX742" s="511"/>
      <c r="AY742" s="511"/>
      <c r="AZ742" s="511"/>
      <c r="BA742" s="511"/>
      <c r="BB742" s="511"/>
      <c r="BC742" s="511"/>
      <c r="BD742" s="511"/>
      <c r="BE742" s="511"/>
    </row>
    <row r="743" ht="15.75" customHeight="1">
      <c r="A743" s="511"/>
      <c r="B743" s="511"/>
      <c r="C743" s="511"/>
      <c r="D743" s="511"/>
      <c r="E743" s="511"/>
      <c r="F743" s="511"/>
      <c r="G743" s="511"/>
      <c r="H743" s="511"/>
      <c r="I743" s="511"/>
      <c r="J743" s="511"/>
      <c r="K743" s="511"/>
      <c r="L743" s="511"/>
      <c r="M743" s="511"/>
      <c r="N743" s="511"/>
      <c r="O743" s="511"/>
      <c r="P743" s="511"/>
      <c r="Q743" s="511"/>
      <c r="R743" s="511"/>
      <c r="S743" s="511"/>
      <c r="T743" s="511"/>
      <c r="U743" s="511"/>
      <c r="V743" s="511"/>
      <c r="W743" s="511"/>
      <c r="X743" s="511"/>
      <c r="Y743" s="511"/>
      <c r="Z743" s="511"/>
      <c r="AA743" s="511"/>
      <c r="AB743" s="511"/>
      <c r="AC743" s="511"/>
      <c r="AD743" s="511"/>
      <c r="AE743" s="511"/>
      <c r="AF743" s="511"/>
      <c r="AG743" s="511"/>
      <c r="AH743" s="511"/>
      <c r="AI743" s="511"/>
      <c r="AJ743" s="511"/>
      <c r="AK743" s="511"/>
      <c r="AL743" s="511"/>
      <c r="AM743" s="511"/>
      <c r="AN743" s="511"/>
      <c r="AO743" s="511"/>
      <c r="AP743" s="511"/>
      <c r="AQ743" s="511"/>
      <c r="AR743" s="511"/>
      <c r="AS743" s="511"/>
      <c r="AT743" s="511"/>
      <c r="AU743" s="511"/>
      <c r="AV743" s="511"/>
      <c r="AW743" s="511"/>
      <c r="AX743" s="511"/>
      <c r="AY743" s="511"/>
      <c r="AZ743" s="511"/>
      <c r="BA743" s="511"/>
      <c r="BB743" s="511"/>
      <c r="BC743" s="511"/>
      <c r="BD743" s="511"/>
      <c r="BE743" s="511"/>
    </row>
    <row r="744" ht="15.75" customHeight="1">
      <c r="A744" s="511"/>
      <c r="B744" s="511"/>
      <c r="C744" s="511"/>
      <c r="D744" s="511"/>
      <c r="E744" s="511"/>
      <c r="F744" s="511"/>
      <c r="G744" s="511"/>
      <c r="H744" s="511"/>
      <c r="I744" s="511"/>
      <c r="J744" s="511"/>
      <c r="K744" s="511"/>
      <c r="L744" s="511"/>
      <c r="M744" s="511"/>
      <c r="N744" s="511"/>
      <c r="O744" s="511"/>
      <c r="P744" s="511"/>
      <c r="Q744" s="511"/>
      <c r="R744" s="511"/>
      <c r="S744" s="511"/>
      <c r="T744" s="511"/>
      <c r="U744" s="511"/>
      <c r="V744" s="511"/>
      <c r="W744" s="511"/>
      <c r="X744" s="511"/>
      <c r="Y744" s="511"/>
      <c r="Z744" s="511"/>
      <c r="AA744" s="511"/>
      <c r="AB744" s="511"/>
      <c r="AC744" s="511"/>
      <c r="AD744" s="511"/>
      <c r="AE744" s="511"/>
      <c r="AF744" s="511"/>
      <c r="AG744" s="511"/>
      <c r="AH744" s="511"/>
      <c r="AI744" s="511"/>
      <c r="AJ744" s="511"/>
      <c r="AK744" s="511"/>
      <c r="AL744" s="511"/>
      <c r="AM744" s="511"/>
      <c r="AN744" s="511"/>
      <c r="AO744" s="511"/>
      <c r="AP744" s="511"/>
      <c r="AQ744" s="511"/>
      <c r="AR744" s="511"/>
      <c r="AS744" s="511"/>
      <c r="AT744" s="511"/>
      <c r="AU744" s="511"/>
      <c r="AV744" s="511"/>
      <c r="AW744" s="511"/>
      <c r="AX744" s="511"/>
      <c r="AY744" s="511"/>
      <c r="AZ744" s="511"/>
      <c r="BA744" s="511"/>
      <c r="BB744" s="511"/>
      <c r="BC744" s="511"/>
      <c r="BD744" s="511"/>
      <c r="BE744" s="511"/>
    </row>
    <row r="745" ht="15.75" customHeight="1">
      <c r="A745" s="511"/>
      <c r="B745" s="511"/>
      <c r="C745" s="511"/>
      <c r="D745" s="511"/>
      <c r="E745" s="511"/>
      <c r="F745" s="511"/>
      <c r="G745" s="511"/>
      <c r="H745" s="511"/>
      <c r="I745" s="511"/>
      <c r="J745" s="511"/>
      <c r="K745" s="511"/>
      <c r="L745" s="511"/>
      <c r="M745" s="511"/>
      <c r="N745" s="511"/>
      <c r="O745" s="511"/>
      <c r="P745" s="511"/>
      <c r="Q745" s="511"/>
      <c r="R745" s="511"/>
      <c r="S745" s="511"/>
      <c r="T745" s="511"/>
      <c r="U745" s="511"/>
      <c r="V745" s="511"/>
      <c r="W745" s="511"/>
      <c r="X745" s="511"/>
      <c r="Y745" s="511"/>
      <c r="Z745" s="511"/>
      <c r="AA745" s="511"/>
      <c r="AB745" s="511"/>
      <c r="AC745" s="511"/>
      <c r="AD745" s="511"/>
      <c r="AE745" s="511"/>
      <c r="AF745" s="511"/>
      <c r="AG745" s="511"/>
      <c r="AH745" s="511"/>
      <c r="AI745" s="511"/>
      <c r="AJ745" s="511"/>
      <c r="AK745" s="511"/>
      <c r="AL745" s="511"/>
      <c r="AM745" s="511"/>
      <c r="AN745" s="511"/>
      <c r="AO745" s="511"/>
      <c r="AP745" s="511"/>
      <c r="AQ745" s="511"/>
      <c r="AR745" s="511"/>
      <c r="AS745" s="511"/>
      <c r="AT745" s="511"/>
      <c r="AU745" s="511"/>
      <c r="AV745" s="511"/>
      <c r="AW745" s="511"/>
      <c r="AX745" s="511"/>
      <c r="AY745" s="511"/>
      <c r="AZ745" s="511"/>
      <c r="BA745" s="511"/>
      <c r="BB745" s="511"/>
      <c r="BC745" s="511"/>
      <c r="BD745" s="511"/>
      <c r="BE745" s="511"/>
    </row>
    <row r="746" ht="15.75" customHeight="1">
      <c r="A746" s="511"/>
      <c r="B746" s="511"/>
      <c r="C746" s="511"/>
      <c r="D746" s="511"/>
      <c r="E746" s="511"/>
      <c r="F746" s="511"/>
      <c r="G746" s="511"/>
      <c r="H746" s="511"/>
      <c r="I746" s="511"/>
      <c r="J746" s="511"/>
      <c r="K746" s="511"/>
      <c r="L746" s="511"/>
      <c r="M746" s="511"/>
      <c r="N746" s="511"/>
      <c r="O746" s="511"/>
      <c r="P746" s="511"/>
      <c r="Q746" s="511"/>
      <c r="R746" s="511"/>
      <c r="S746" s="511"/>
      <c r="T746" s="511"/>
      <c r="U746" s="511"/>
      <c r="V746" s="511"/>
      <c r="W746" s="511"/>
      <c r="X746" s="511"/>
      <c r="Y746" s="511"/>
      <c r="Z746" s="511"/>
      <c r="AA746" s="511"/>
      <c r="AB746" s="511"/>
      <c r="AC746" s="511"/>
      <c r="AD746" s="511"/>
      <c r="AE746" s="511"/>
      <c r="AF746" s="511"/>
      <c r="AG746" s="511"/>
      <c r="AH746" s="511"/>
      <c r="AI746" s="511"/>
      <c r="AJ746" s="511"/>
      <c r="AK746" s="511"/>
      <c r="AL746" s="511"/>
      <c r="AM746" s="511"/>
      <c r="AN746" s="511"/>
      <c r="AO746" s="511"/>
      <c r="AP746" s="511"/>
      <c r="AQ746" s="511"/>
      <c r="AR746" s="511"/>
      <c r="AS746" s="511"/>
      <c r="AT746" s="511"/>
      <c r="AU746" s="511"/>
      <c r="AV746" s="511"/>
      <c r="AW746" s="511"/>
      <c r="AX746" s="511"/>
      <c r="AY746" s="511"/>
      <c r="AZ746" s="511"/>
      <c r="BA746" s="511"/>
      <c r="BB746" s="511"/>
      <c r="BC746" s="511"/>
      <c r="BD746" s="511"/>
      <c r="BE746" s="511"/>
    </row>
    <row r="747" ht="15.75" customHeight="1">
      <c r="A747" s="511"/>
      <c r="B747" s="511"/>
      <c r="C747" s="511"/>
      <c r="D747" s="511"/>
      <c r="E747" s="511"/>
      <c r="F747" s="511"/>
      <c r="G747" s="511"/>
      <c r="H747" s="511"/>
      <c r="I747" s="511"/>
      <c r="J747" s="511"/>
      <c r="K747" s="511"/>
      <c r="L747" s="511"/>
      <c r="M747" s="511"/>
      <c r="N747" s="511"/>
      <c r="O747" s="511"/>
      <c r="P747" s="511"/>
      <c r="Q747" s="511"/>
      <c r="R747" s="511"/>
      <c r="S747" s="511"/>
      <c r="T747" s="511"/>
      <c r="U747" s="511"/>
      <c r="V747" s="511"/>
      <c r="W747" s="511"/>
      <c r="X747" s="511"/>
      <c r="Y747" s="511"/>
      <c r="Z747" s="511"/>
      <c r="AA747" s="511"/>
      <c r="AB747" s="511"/>
      <c r="AC747" s="511"/>
      <c r="AD747" s="511"/>
      <c r="AE747" s="511"/>
      <c r="AF747" s="511"/>
      <c r="AG747" s="511"/>
      <c r="AH747" s="511"/>
      <c r="AI747" s="511"/>
      <c r="AJ747" s="511"/>
      <c r="AK747" s="511"/>
      <c r="AL747" s="511"/>
      <c r="AM747" s="511"/>
      <c r="AN747" s="511"/>
      <c r="AO747" s="511"/>
      <c r="AP747" s="511"/>
      <c r="AQ747" s="511"/>
      <c r="AR747" s="511"/>
      <c r="AS747" s="511"/>
      <c r="AT747" s="511"/>
      <c r="AU747" s="511"/>
      <c r="AV747" s="511"/>
      <c r="AW747" s="511"/>
      <c r="AX747" s="511"/>
      <c r="AY747" s="511"/>
      <c r="AZ747" s="511"/>
      <c r="BA747" s="511"/>
      <c r="BB747" s="511"/>
      <c r="BC747" s="511"/>
      <c r="BD747" s="511"/>
      <c r="BE747" s="511"/>
    </row>
    <row r="748" ht="15.75" customHeight="1">
      <c r="A748" s="511"/>
      <c r="B748" s="511"/>
      <c r="C748" s="511"/>
      <c r="D748" s="511"/>
      <c r="E748" s="511"/>
      <c r="F748" s="511"/>
      <c r="G748" s="511"/>
      <c r="H748" s="511"/>
      <c r="I748" s="511"/>
      <c r="J748" s="511"/>
      <c r="K748" s="511"/>
      <c r="L748" s="511"/>
      <c r="M748" s="511"/>
      <c r="N748" s="511"/>
      <c r="O748" s="511"/>
      <c r="P748" s="511"/>
      <c r="Q748" s="511"/>
      <c r="R748" s="511"/>
      <c r="S748" s="511"/>
      <c r="T748" s="511"/>
      <c r="U748" s="511"/>
      <c r="V748" s="511"/>
      <c r="W748" s="511"/>
      <c r="X748" s="511"/>
      <c r="Y748" s="511"/>
      <c r="Z748" s="511"/>
      <c r="AA748" s="511"/>
      <c r="AB748" s="511"/>
      <c r="AC748" s="511"/>
      <c r="AD748" s="511"/>
      <c r="AE748" s="511"/>
      <c r="AF748" s="511"/>
      <c r="AG748" s="511"/>
      <c r="AH748" s="511"/>
      <c r="AI748" s="511"/>
      <c r="AJ748" s="511"/>
      <c r="AK748" s="511"/>
      <c r="AL748" s="511"/>
      <c r="AM748" s="511"/>
      <c r="AN748" s="511"/>
      <c r="AO748" s="511"/>
      <c r="AP748" s="511"/>
      <c r="AQ748" s="511"/>
      <c r="AR748" s="511"/>
      <c r="AS748" s="511"/>
      <c r="AT748" s="511"/>
      <c r="AU748" s="511"/>
      <c r="AV748" s="511"/>
      <c r="AW748" s="511"/>
      <c r="AX748" s="511"/>
      <c r="AY748" s="511"/>
      <c r="AZ748" s="511"/>
      <c r="BA748" s="511"/>
      <c r="BB748" s="511"/>
      <c r="BC748" s="511"/>
      <c r="BD748" s="511"/>
      <c r="BE748" s="511"/>
    </row>
    <row r="749" ht="15.75" customHeight="1">
      <c r="A749" s="511"/>
      <c r="B749" s="511"/>
      <c r="C749" s="511"/>
      <c r="D749" s="511"/>
      <c r="E749" s="511"/>
      <c r="F749" s="511"/>
      <c r="G749" s="511"/>
      <c r="H749" s="511"/>
      <c r="I749" s="511"/>
      <c r="J749" s="511"/>
      <c r="K749" s="511"/>
      <c r="L749" s="511"/>
      <c r="M749" s="511"/>
      <c r="N749" s="511"/>
      <c r="O749" s="511"/>
      <c r="P749" s="511"/>
      <c r="Q749" s="511"/>
      <c r="R749" s="511"/>
      <c r="S749" s="511"/>
      <c r="T749" s="511"/>
      <c r="U749" s="511"/>
      <c r="V749" s="511"/>
      <c r="W749" s="511"/>
      <c r="X749" s="511"/>
      <c r="Y749" s="511"/>
      <c r="Z749" s="511"/>
      <c r="AA749" s="511"/>
      <c r="AB749" s="511"/>
      <c r="AC749" s="511"/>
      <c r="AD749" s="511"/>
      <c r="AE749" s="511"/>
      <c r="AF749" s="511"/>
      <c r="AG749" s="511"/>
      <c r="AH749" s="511"/>
      <c r="AI749" s="511"/>
      <c r="AJ749" s="511"/>
      <c r="AK749" s="511"/>
      <c r="AL749" s="511"/>
      <c r="AM749" s="511"/>
      <c r="AN749" s="511"/>
      <c r="AO749" s="511"/>
      <c r="AP749" s="511"/>
      <c r="AQ749" s="511"/>
      <c r="AR749" s="511"/>
      <c r="AS749" s="511"/>
      <c r="AT749" s="511"/>
      <c r="AU749" s="511"/>
      <c r="AV749" s="511"/>
      <c r="AW749" s="511"/>
      <c r="AX749" s="511"/>
      <c r="AY749" s="511"/>
      <c r="AZ749" s="511"/>
      <c r="BA749" s="511"/>
      <c r="BB749" s="511"/>
      <c r="BC749" s="511"/>
      <c r="BD749" s="511"/>
      <c r="BE749" s="511"/>
    </row>
    <row r="750" ht="15.75" customHeight="1">
      <c r="A750" s="511"/>
      <c r="B750" s="511"/>
      <c r="C750" s="511"/>
      <c r="D750" s="511"/>
      <c r="E750" s="511"/>
      <c r="F750" s="511"/>
      <c r="G750" s="511"/>
      <c r="H750" s="511"/>
      <c r="I750" s="511"/>
      <c r="J750" s="511"/>
      <c r="K750" s="511"/>
      <c r="L750" s="511"/>
      <c r="M750" s="511"/>
      <c r="N750" s="511"/>
      <c r="O750" s="511"/>
      <c r="P750" s="511"/>
      <c r="Q750" s="511"/>
      <c r="R750" s="511"/>
      <c r="S750" s="511"/>
      <c r="T750" s="511"/>
      <c r="U750" s="511"/>
      <c r="V750" s="511"/>
      <c r="W750" s="511"/>
      <c r="X750" s="511"/>
      <c r="Y750" s="511"/>
      <c r="Z750" s="511"/>
      <c r="AA750" s="511"/>
      <c r="AB750" s="511"/>
      <c r="AC750" s="511"/>
      <c r="AD750" s="511"/>
      <c r="AE750" s="511"/>
      <c r="AF750" s="511"/>
      <c r="AG750" s="511"/>
      <c r="AH750" s="511"/>
      <c r="AI750" s="511"/>
      <c r="AJ750" s="511"/>
      <c r="AK750" s="511"/>
      <c r="AL750" s="511"/>
      <c r="AM750" s="511"/>
      <c r="AN750" s="511"/>
      <c r="AO750" s="511"/>
      <c r="AP750" s="511"/>
      <c r="AQ750" s="511"/>
      <c r="AR750" s="511"/>
      <c r="AS750" s="511"/>
      <c r="AT750" s="511"/>
      <c r="AU750" s="511"/>
      <c r="AV750" s="511"/>
      <c r="AW750" s="511"/>
      <c r="AX750" s="511"/>
      <c r="AY750" s="511"/>
      <c r="AZ750" s="511"/>
      <c r="BA750" s="511"/>
      <c r="BB750" s="511"/>
      <c r="BC750" s="511"/>
      <c r="BD750" s="511"/>
      <c r="BE750" s="511"/>
    </row>
    <row r="751" ht="15.75" customHeight="1">
      <c r="A751" s="511"/>
      <c r="B751" s="511"/>
      <c r="C751" s="511"/>
      <c r="D751" s="511"/>
      <c r="E751" s="511"/>
      <c r="F751" s="511"/>
      <c r="G751" s="511"/>
      <c r="H751" s="511"/>
      <c r="I751" s="511"/>
      <c r="J751" s="511"/>
      <c r="K751" s="511"/>
      <c r="L751" s="511"/>
      <c r="M751" s="511"/>
      <c r="N751" s="511"/>
      <c r="O751" s="511"/>
      <c r="P751" s="511"/>
      <c r="Q751" s="511"/>
      <c r="R751" s="511"/>
      <c r="S751" s="511"/>
      <c r="T751" s="511"/>
      <c r="U751" s="511"/>
      <c r="V751" s="511"/>
      <c r="W751" s="511"/>
      <c r="X751" s="511"/>
      <c r="Y751" s="511"/>
      <c r="Z751" s="511"/>
      <c r="AA751" s="511"/>
      <c r="AB751" s="511"/>
      <c r="AC751" s="511"/>
      <c r="AD751" s="511"/>
      <c r="AE751" s="511"/>
      <c r="AF751" s="511"/>
      <c r="AG751" s="511"/>
      <c r="AH751" s="511"/>
      <c r="AI751" s="511"/>
      <c r="AJ751" s="511"/>
      <c r="AK751" s="511"/>
      <c r="AL751" s="511"/>
      <c r="AM751" s="511"/>
      <c r="AN751" s="511"/>
      <c r="AO751" s="511"/>
      <c r="AP751" s="511"/>
      <c r="AQ751" s="511"/>
      <c r="AR751" s="511"/>
      <c r="AS751" s="511"/>
      <c r="AT751" s="511"/>
      <c r="AU751" s="511"/>
      <c r="AV751" s="511"/>
      <c r="AW751" s="511"/>
      <c r="AX751" s="511"/>
      <c r="AY751" s="511"/>
      <c r="AZ751" s="511"/>
      <c r="BA751" s="511"/>
      <c r="BB751" s="511"/>
      <c r="BC751" s="511"/>
      <c r="BD751" s="511"/>
      <c r="BE751" s="511"/>
    </row>
    <row r="752" ht="15.75" customHeight="1">
      <c r="A752" s="511"/>
      <c r="B752" s="511"/>
      <c r="C752" s="511"/>
      <c r="D752" s="511"/>
      <c r="E752" s="511"/>
      <c r="F752" s="511"/>
      <c r="G752" s="511"/>
      <c r="H752" s="511"/>
      <c r="I752" s="511"/>
      <c r="J752" s="511"/>
      <c r="K752" s="511"/>
      <c r="L752" s="511"/>
      <c r="M752" s="511"/>
      <c r="N752" s="511"/>
      <c r="O752" s="511"/>
      <c r="P752" s="511"/>
      <c r="Q752" s="511"/>
      <c r="R752" s="511"/>
      <c r="S752" s="511"/>
      <c r="T752" s="511"/>
      <c r="U752" s="511"/>
      <c r="V752" s="511"/>
      <c r="W752" s="511"/>
      <c r="X752" s="511"/>
      <c r="Y752" s="511"/>
      <c r="Z752" s="511"/>
      <c r="AA752" s="511"/>
      <c r="AB752" s="511"/>
      <c r="AC752" s="511"/>
      <c r="AD752" s="511"/>
      <c r="AE752" s="511"/>
      <c r="AF752" s="511"/>
      <c r="AG752" s="511"/>
      <c r="AH752" s="511"/>
      <c r="AI752" s="511"/>
      <c r="AJ752" s="511"/>
      <c r="AK752" s="511"/>
      <c r="AL752" s="511"/>
      <c r="AM752" s="511"/>
      <c r="AN752" s="511"/>
      <c r="AO752" s="511"/>
      <c r="AP752" s="511"/>
      <c r="AQ752" s="511"/>
      <c r="AR752" s="511"/>
      <c r="AS752" s="511"/>
      <c r="AT752" s="511"/>
      <c r="AU752" s="511"/>
      <c r="AV752" s="511"/>
      <c r="AW752" s="511"/>
      <c r="AX752" s="511"/>
      <c r="AY752" s="511"/>
      <c r="AZ752" s="511"/>
      <c r="BA752" s="511"/>
      <c r="BB752" s="511"/>
      <c r="BC752" s="511"/>
      <c r="BD752" s="511"/>
      <c r="BE752" s="511"/>
    </row>
    <row r="753" ht="15.75" customHeight="1">
      <c r="A753" s="511"/>
      <c r="B753" s="511"/>
      <c r="C753" s="511"/>
      <c r="D753" s="511"/>
      <c r="E753" s="511"/>
      <c r="F753" s="511"/>
      <c r="G753" s="511"/>
      <c r="H753" s="511"/>
      <c r="I753" s="511"/>
      <c r="J753" s="511"/>
      <c r="K753" s="511"/>
      <c r="L753" s="511"/>
      <c r="M753" s="511"/>
      <c r="N753" s="511"/>
      <c r="O753" s="511"/>
      <c r="P753" s="511"/>
      <c r="Q753" s="511"/>
      <c r="R753" s="511"/>
      <c r="S753" s="511"/>
      <c r="T753" s="511"/>
      <c r="U753" s="511"/>
      <c r="V753" s="511"/>
      <c r="W753" s="511"/>
      <c r="X753" s="511"/>
      <c r="Y753" s="511"/>
      <c r="Z753" s="511"/>
      <c r="AA753" s="511"/>
      <c r="AB753" s="511"/>
      <c r="AC753" s="511"/>
      <c r="AD753" s="511"/>
      <c r="AE753" s="511"/>
      <c r="AF753" s="511"/>
      <c r="AG753" s="511"/>
      <c r="AH753" s="511"/>
      <c r="AI753" s="511"/>
      <c r="AJ753" s="511"/>
      <c r="AK753" s="511"/>
      <c r="AL753" s="511"/>
      <c r="AM753" s="511"/>
      <c r="AN753" s="511"/>
      <c r="AO753" s="511"/>
      <c r="AP753" s="511"/>
      <c r="AQ753" s="511"/>
      <c r="AR753" s="511"/>
      <c r="AS753" s="511"/>
      <c r="AT753" s="511"/>
      <c r="AU753" s="511"/>
      <c r="AV753" s="511"/>
      <c r="AW753" s="511"/>
      <c r="AX753" s="511"/>
      <c r="AY753" s="511"/>
      <c r="AZ753" s="511"/>
      <c r="BA753" s="511"/>
      <c r="BB753" s="511"/>
      <c r="BC753" s="511"/>
      <c r="BD753" s="511"/>
      <c r="BE753" s="511"/>
    </row>
    <row r="754" ht="15.75" customHeight="1">
      <c r="A754" s="511"/>
      <c r="B754" s="511"/>
      <c r="C754" s="511"/>
      <c r="D754" s="511"/>
      <c r="E754" s="511"/>
      <c r="F754" s="511"/>
      <c r="G754" s="511"/>
      <c r="H754" s="511"/>
      <c r="I754" s="511"/>
      <c r="J754" s="511"/>
      <c r="K754" s="511"/>
      <c r="L754" s="511"/>
      <c r="M754" s="511"/>
      <c r="N754" s="511"/>
      <c r="O754" s="511"/>
      <c r="P754" s="511"/>
      <c r="Q754" s="511"/>
      <c r="R754" s="511"/>
      <c r="S754" s="511"/>
      <c r="T754" s="511"/>
      <c r="U754" s="511"/>
      <c r="V754" s="511"/>
      <c r="W754" s="511"/>
      <c r="X754" s="511"/>
      <c r="Y754" s="511"/>
      <c r="Z754" s="511"/>
      <c r="AA754" s="511"/>
      <c r="AB754" s="511"/>
      <c r="AC754" s="511"/>
      <c r="AD754" s="511"/>
      <c r="AE754" s="511"/>
      <c r="AF754" s="511"/>
      <c r="AG754" s="511"/>
      <c r="AH754" s="511"/>
      <c r="AI754" s="511"/>
      <c r="AJ754" s="511"/>
      <c r="AK754" s="511"/>
      <c r="AL754" s="511"/>
      <c r="AM754" s="511"/>
      <c r="AN754" s="511"/>
      <c r="AO754" s="511"/>
      <c r="AP754" s="511"/>
      <c r="AQ754" s="511"/>
      <c r="AR754" s="511"/>
      <c r="AS754" s="511"/>
      <c r="AT754" s="511"/>
      <c r="AU754" s="511"/>
      <c r="AV754" s="511"/>
      <c r="AW754" s="511"/>
      <c r="AX754" s="511"/>
      <c r="AY754" s="511"/>
      <c r="AZ754" s="511"/>
      <c r="BA754" s="511"/>
      <c r="BB754" s="511"/>
      <c r="BC754" s="511"/>
      <c r="BD754" s="511"/>
      <c r="BE754" s="511"/>
    </row>
    <row r="755" ht="15.75" customHeight="1">
      <c r="A755" s="511"/>
      <c r="B755" s="511"/>
      <c r="C755" s="511"/>
      <c r="D755" s="511"/>
      <c r="E755" s="511"/>
      <c r="F755" s="511"/>
      <c r="G755" s="511"/>
      <c r="H755" s="511"/>
      <c r="I755" s="511"/>
      <c r="J755" s="511"/>
      <c r="K755" s="511"/>
      <c r="L755" s="511"/>
      <c r="M755" s="511"/>
      <c r="N755" s="511"/>
      <c r="O755" s="511"/>
      <c r="P755" s="511"/>
      <c r="Q755" s="511"/>
      <c r="R755" s="511"/>
      <c r="S755" s="511"/>
      <c r="T755" s="511"/>
      <c r="U755" s="511"/>
      <c r="V755" s="511"/>
      <c r="W755" s="511"/>
      <c r="X755" s="511"/>
      <c r="Y755" s="511"/>
      <c r="Z755" s="511"/>
      <c r="AA755" s="511"/>
      <c r="AB755" s="511"/>
      <c r="AC755" s="511"/>
      <c r="AD755" s="511"/>
      <c r="AE755" s="511"/>
      <c r="AF755" s="511"/>
      <c r="AG755" s="511"/>
      <c r="AH755" s="511"/>
      <c r="AI755" s="511"/>
      <c r="AJ755" s="511"/>
      <c r="AK755" s="511"/>
      <c r="AL755" s="511"/>
      <c r="AM755" s="511"/>
      <c r="AN755" s="511"/>
      <c r="AO755" s="511"/>
      <c r="AP755" s="511"/>
      <c r="AQ755" s="511"/>
      <c r="AR755" s="511"/>
      <c r="AS755" s="511"/>
      <c r="AT755" s="511"/>
      <c r="AU755" s="511"/>
      <c r="AV755" s="511"/>
      <c r="AW755" s="511"/>
      <c r="AX755" s="511"/>
      <c r="AY755" s="511"/>
      <c r="AZ755" s="511"/>
      <c r="BA755" s="511"/>
      <c r="BB755" s="511"/>
      <c r="BC755" s="511"/>
      <c r="BD755" s="511"/>
      <c r="BE755" s="511"/>
    </row>
    <row r="756" ht="15.75" customHeight="1">
      <c r="A756" s="511"/>
      <c r="B756" s="511"/>
      <c r="C756" s="511"/>
      <c r="D756" s="511"/>
      <c r="E756" s="511"/>
      <c r="F756" s="511"/>
      <c r="G756" s="511"/>
      <c r="H756" s="511"/>
      <c r="I756" s="511"/>
      <c r="J756" s="511"/>
      <c r="K756" s="511"/>
      <c r="L756" s="511"/>
      <c r="M756" s="511"/>
      <c r="N756" s="511"/>
      <c r="O756" s="511"/>
      <c r="P756" s="511"/>
      <c r="Q756" s="511"/>
      <c r="R756" s="511"/>
      <c r="S756" s="511"/>
      <c r="T756" s="511"/>
      <c r="U756" s="511"/>
      <c r="V756" s="511"/>
      <c r="W756" s="511"/>
      <c r="X756" s="511"/>
      <c r="Y756" s="511"/>
      <c r="Z756" s="511"/>
      <c r="AA756" s="511"/>
      <c r="AB756" s="511"/>
      <c r="AC756" s="511"/>
      <c r="AD756" s="511"/>
      <c r="AE756" s="511"/>
      <c r="AF756" s="511"/>
      <c r="AG756" s="511"/>
      <c r="AH756" s="511"/>
      <c r="AI756" s="511"/>
      <c r="AJ756" s="511"/>
      <c r="AK756" s="511"/>
      <c r="AL756" s="511"/>
      <c r="AM756" s="511"/>
      <c r="AN756" s="511"/>
      <c r="AO756" s="511"/>
      <c r="AP756" s="511"/>
      <c r="AQ756" s="511"/>
      <c r="AR756" s="511"/>
      <c r="AS756" s="511"/>
      <c r="AT756" s="511"/>
      <c r="AU756" s="511"/>
      <c r="AV756" s="511"/>
      <c r="AW756" s="511"/>
      <c r="AX756" s="511"/>
      <c r="AY756" s="511"/>
      <c r="AZ756" s="511"/>
      <c r="BA756" s="511"/>
      <c r="BB756" s="511"/>
      <c r="BC756" s="511"/>
      <c r="BD756" s="511"/>
      <c r="BE756" s="511"/>
    </row>
    <row r="757" ht="15.75" customHeight="1">
      <c r="A757" s="511"/>
      <c r="B757" s="511"/>
      <c r="C757" s="511"/>
      <c r="D757" s="511"/>
      <c r="E757" s="511"/>
      <c r="F757" s="511"/>
      <c r="G757" s="511"/>
      <c r="H757" s="511"/>
      <c r="I757" s="511"/>
      <c r="J757" s="511"/>
      <c r="K757" s="511"/>
      <c r="L757" s="511"/>
      <c r="M757" s="511"/>
      <c r="N757" s="511"/>
      <c r="O757" s="511"/>
      <c r="P757" s="511"/>
      <c r="Q757" s="511"/>
      <c r="R757" s="511"/>
      <c r="S757" s="511"/>
      <c r="T757" s="511"/>
      <c r="U757" s="511"/>
      <c r="V757" s="511"/>
      <c r="W757" s="511"/>
      <c r="X757" s="511"/>
      <c r="Y757" s="511"/>
      <c r="Z757" s="511"/>
      <c r="AA757" s="511"/>
      <c r="AB757" s="511"/>
      <c r="AC757" s="511"/>
      <c r="AD757" s="511"/>
      <c r="AE757" s="511"/>
      <c r="AF757" s="511"/>
      <c r="AG757" s="511"/>
      <c r="AH757" s="511"/>
      <c r="AI757" s="511"/>
      <c r="AJ757" s="511"/>
      <c r="AK757" s="511"/>
      <c r="AL757" s="511"/>
      <c r="AM757" s="511"/>
      <c r="AN757" s="511"/>
      <c r="AO757" s="511"/>
      <c r="AP757" s="511"/>
      <c r="AQ757" s="511"/>
      <c r="AR757" s="511"/>
      <c r="AS757" s="511"/>
      <c r="AT757" s="511"/>
      <c r="AU757" s="511"/>
      <c r="AV757" s="511"/>
      <c r="AW757" s="511"/>
      <c r="AX757" s="511"/>
      <c r="AY757" s="511"/>
      <c r="AZ757" s="511"/>
      <c r="BA757" s="511"/>
      <c r="BB757" s="511"/>
      <c r="BC757" s="511"/>
      <c r="BD757" s="511"/>
      <c r="BE757" s="511"/>
    </row>
    <row r="758" ht="15.75" customHeight="1">
      <c r="A758" s="511"/>
      <c r="B758" s="511"/>
      <c r="C758" s="511"/>
      <c r="D758" s="511"/>
      <c r="E758" s="511"/>
      <c r="F758" s="511"/>
      <c r="G758" s="511"/>
      <c r="H758" s="511"/>
      <c r="I758" s="511"/>
      <c r="J758" s="511"/>
      <c r="K758" s="511"/>
      <c r="L758" s="511"/>
      <c r="M758" s="511"/>
      <c r="N758" s="511"/>
      <c r="O758" s="511"/>
      <c r="P758" s="511"/>
      <c r="Q758" s="511"/>
      <c r="R758" s="511"/>
      <c r="S758" s="511"/>
      <c r="T758" s="511"/>
      <c r="U758" s="511"/>
      <c r="V758" s="511"/>
      <c r="W758" s="511"/>
      <c r="X758" s="511"/>
      <c r="Y758" s="511"/>
      <c r="Z758" s="511"/>
      <c r="AA758" s="511"/>
      <c r="AB758" s="511"/>
      <c r="AC758" s="511"/>
      <c r="AD758" s="511"/>
      <c r="AE758" s="511"/>
      <c r="AF758" s="511"/>
      <c r="AG758" s="511"/>
      <c r="AH758" s="511"/>
      <c r="AI758" s="511"/>
      <c r="AJ758" s="511"/>
      <c r="AK758" s="511"/>
      <c r="AL758" s="511"/>
      <c r="AM758" s="511"/>
      <c r="AN758" s="511"/>
      <c r="AO758" s="511"/>
      <c r="AP758" s="511"/>
      <c r="AQ758" s="511"/>
      <c r="AR758" s="511"/>
      <c r="AS758" s="511"/>
      <c r="AT758" s="511"/>
      <c r="AU758" s="511"/>
      <c r="AV758" s="511"/>
      <c r="AW758" s="511"/>
      <c r="AX758" s="511"/>
      <c r="AY758" s="511"/>
      <c r="AZ758" s="511"/>
      <c r="BA758" s="511"/>
      <c r="BB758" s="511"/>
      <c r="BC758" s="511"/>
      <c r="BD758" s="511"/>
      <c r="BE758" s="511"/>
    </row>
    <row r="759" ht="15.75" customHeight="1">
      <c r="A759" s="511"/>
      <c r="B759" s="511"/>
      <c r="C759" s="511"/>
      <c r="D759" s="511"/>
      <c r="E759" s="511"/>
      <c r="F759" s="511"/>
      <c r="G759" s="511"/>
      <c r="H759" s="511"/>
      <c r="I759" s="511"/>
      <c r="J759" s="511"/>
      <c r="K759" s="511"/>
      <c r="L759" s="511"/>
      <c r="M759" s="511"/>
      <c r="N759" s="511"/>
      <c r="O759" s="511"/>
      <c r="P759" s="511"/>
      <c r="Q759" s="511"/>
      <c r="R759" s="511"/>
      <c r="S759" s="511"/>
      <c r="T759" s="511"/>
      <c r="U759" s="511"/>
      <c r="V759" s="511"/>
      <c r="W759" s="511"/>
      <c r="X759" s="511"/>
      <c r="Y759" s="511"/>
      <c r="Z759" s="511"/>
      <c r="AA759" s="511"/>
      <c r="AB759" s="511"/>
      <c r="AC759" s="511"/>
      <c r="AD759" s="511"/>
      <c r="AE759" s="511"/>
      <c r="AF759" s="511"/>
      <c r="AG759" s="511"/>
      <c r="AH759" s="511"/>
      <c r="AI759" s="511"/>
      <c r="AJ759" s="511"/>
      <c r="AK759" s="511"/>
      <c r="AL759" s="511"/>
      <c r="AM759" s="511"/>
      <c r="AN759" s="511"/>
      <c r="AO759" s="511"/>
      <c r="AP759" s="511"/>
      <c r="AQ759" s="511"/>
      <c r="AR759" s="511"/>
      <c r="AS759" s="511"/>
      <c r="AT759" s="511"/>
      <c r="AU759" s="511"/>
      <c r="AV759" s="511"/>
      <c r="AW759" s="511"/>
      <c r="AX759" s="511"/>
      <c r="AY759" s="511"/>
      <c r="AZ759" s="511"/>
      <c r="BA759" s="511"/>
      <c r="BB759" s="511"/>
      <c r="BC759" s="511"/>
      <c r="BD759" s="511"/>
      <c r="BE759" s="511"/>
    </row>
    <row r="760" ht="15.75" customHeight="1">
      <c r="A760" s="511"/>
      <c r="B760" s="511"/>
      <c r="C760" s="511"/>
      <c r="D760" s="511"/>
      <c r="E760" s="511"/>
      <c r="F760" s="511"/>
      <c r="G760" s="511"/>
      <c r="H760" s="511"/>
      <c r="I760" s="511"/>
      <c r="J760" s="511"/>
      <c r="K760" s="511"/>
      <c r="L760" s="511"/>
      <c r="M760" s="511"/>
      <c r="N760" s="511"/>
      <c r="O760" s="511"/>
      <c r="P760" s="511"/>
      <c r="Q760" s="511"/>
      <c r="R760" s="511"/>
      <c r="S760" s="511"/>
      <c r="T760" s="511"/>
      <c r="U760" s="511"/>
      <c r="V760" s="511"/>
      <c r="W760" s="511"/>
      <c r="X760" s="511"/>
      <c r="Y760" s="511"/>
      <c r="Z760" s="511"/>
      <c r="AA760" s="511"/>
      <c r="AB760" s="511"/>
      <c r="AC760" s="511"/>
      <c r="AD760" s="511"/>
      <c r="AE760" s="511"/>
      <c r="AF760" s="511"/>
      <c r="AG760" s="511"/>
      <c r="AH760" s="511"/>
      <c r="AI760" s="511"/>
      <c r="AJ760" s="511"/>
      <c r="AK760" s="511"/>
      <c r="AL760" s="511"/>
      <c r="AM760" s="511"/>
      <c r="AN760" s="511"/>
      <c r="AO760" s="511"/>
      <c r="AP760" s="511"/>
      <c r="AQ760" s="511"/>
      <c r="AR760" s="511"/>
      <c r="AS760" s="511"/>
      <c r="AT760" s="511"/>
      <c r="AU760" s="511"/>
      <c r="AV760" s="511"/>
      <c r="AW760" s="511"/>
      <c r="AX760" s="511"/>
      <c r="AY760" s="511"/>
      <c r="AZ760" s="511"/>
      <c r="BA760" s="511"/>
      <c r="BB760" s="511"/>
      <c r="BC760" s="511"/>
      <c r="BD760" s="511"/>
      <c r="BE760" s="511"/>
    </row>
    <row r="761" ht="15.75" customHeight="1">
      <c r="A761" s="511"/>
      <c r="B761" s="511"/>
      <c r="C761" s="511"/>
      <c r="D761" s="511"/>
      <c r="E761" s="511"/>
      <c r="F761" s="511"/>
      <c r="G761" s="511"/>
      <c r="H761" s="511"/>
      <c r="I761" s="511"/>
      <c r="J761" s="511"/>
      <c r="K761" s="511"/>
      <c r="L761" s="511"/>
      <c r="M761" s="511"/>
      <c r="N761" s="511"/>
      <c r="O761" s="511"/>
      <c r="P761" s="511"/>
      <c r="Q761" s="511"/>
      <c r="R761" s="511"/>
      <c r="S761" s="511"/>
      <c r="T761" s="511"/>
      <c r="U761" s="511"/>
      <c r="V761" s="511"/>
      <c r="W761" s="511"/>
      <c r="X761" s="511"/>
      <c r="Y761" s="511"/>
      <c r="Z761" s="511"/>
      <c r="AA761" s="511"/>
      <c r="AB761" s="511"/>
      <c r="AC761" s="511"/>
      <c r="AD761" s="511"/>
      <c r="AE761" s="511"/>
      <c r="AF761" s="511"/>
      <c r="AG761" s="511"/>
      <c r="AH761" s="511"/>
      <c r="AI761" s="511"/>
      <c r="AJ761" s="511"/>
      <c r="AK761" s="511"/>
      <c r="AL761" s="511"/>
      <c r="AM761" s="511"/>
      <c r="AN761" s="511"/>
      <c r="AO761" s="511"/>
      <c r="AP761" s="511"/>
      <c r="AQ761" s="511"/>
      <c r="AR761" s="511"/>
      <c r="AS761" s="511"/>
      <c r="AT761" s="511"/>
      <c r="AU761" s="511"/>
      <c r="AV761" s="511"/>
      <c r="AW761" s="511"/>
      <c r="AX761" s="511"/>
      <c r="AY761" s="511"/>
      <c r="AZ761" s="511"/>
      <c r="BA761" s="511"/>
      <c r="BB761" s="511"/>
      <c r="BC761" s="511"/>
      <c r="BD761" s="511"/>
      <c r="BE761" s="511"/>
    </row>
    <row r="762" ht="15.75" customHeight="1">
      <c r="A762" s="511"/>
      <c r="B762" s="511"/>
      <c r="C762" s="511"/>
      <c r="D762" s="511"/>
      <c r="E762" s="511"/>
      <c r="F762" s="511"/>
      <c r="G762" s="511"/>
      <c r="H762" s="511"/>
      <c r="I762" s="511"/>
      <c r="J762" s="511"/>
      <c r="K762" s="511"/>
      <c r="L762" s="511"/>
      <c r="M762" s="511"/>
      <c r="N762" s="511"/>
      <c r="O762" s="511"/>
      <c r="P762" s="511"/>
      <c r="Q762" s="511"/>
      <c r="R762" s="511"/>
      <c r="S762" s="511"/>
      <c r="T762" s="511"/>
      <c r="U762" s="511"/>
      <c r="V762" s="511"/>
      <c r="W762" s="511"/>
      <c r="X762" s="511"/>
      <c r="Y762" s="511"/>
      <c r="Z762" s="511"/>
      <c r="AA762" s="511"/>
      <c r="AB762" s="511"/>
      <c r="AC762" s="511"/>
      <c r="AD762" s="511"/>
      <c r="AE762" s="511"/>
      <c r="AF762" s="511"/>
      <c r="AG762" s="511"/>
      <c r="AH762" s="511"/>
      <c r="AI762" s="511"/>
      <c r="AJ762" s="511"/>
      <c r="AK762" s="511"/>
      <c r="AL762" s="511"/>
      <c r="AM762" s="511"/>
      <c r="AN762" s="511"/>
      <c r="AO762" s="511"/>
      <c r="AP762" s="511"/>
      <c r="AQ762" s="511"/>
      <c r="AR762" s="511"/>
      <c r="AS762" s="511"/>
      <c r="AT762" s="511"/>
      <c r="AU762" s="511"/>
      <c r="AV762" s="511"/>
      <c r="AW762" s="511"/>
      <c r="AX762" s="511"/>
      <c r="AY762" s="511"/>
      <c r="AZ762" s="511"/>
      <c r="BA762" s="511"/>
      <c r="BB762" s="511"/>
      <c r="BC762" s="511"/>
      <c r="BD762" s="511"/>
      <c r="BE762" s="511"/>
    </row>
    <row r="763" ht="15.75" customHeight="1">
      <c r="A763" s="511"/>
      <c r="B763" s="511"/>
      <c r="C763" s="511"/>
      <c r="D763" s="511"/>
      <c r="E763" s="511"/>
      <c r="F763" s="511"/>
      <c r="G763" s="511"/>
      <c r="H763" s="511"/>
      <c r="I763" s="511"/>
      <c r="J763" s="511"/>
      <c r="K763" s="511"/>
      <c r="L763" s="511"/>
      <c r="M763" s="511"/>
      <c r="N763" s="511"/>
      <c r="O763" s="511"/>
      <c r="P763" s="511"/>
      <c r="Q763" s="511"/>
      <c r="R763" s="511"/>
      <c r="S763" s="511"/>
      <c r="T763" s="511"/>
      <c r="U763" s="511"/>
      <c r="V763" s="511"/>
      <c r="W763" s="511"/>
      <c r="X763" s="511"/>
      <c r="Y763" s="511"/>
      <c r="Z763" s="511"/>
      <c r="AA763" s="511"/>
      <c r="AB763" s="511"/>
      <c r="AC763" s="511"/>
      <c r="AD763" s="511"/>
      <c r="AE763" s="511"/>
      <c r="AF763" s="511"/>
      <c r="AG763" s="511"/>
      <c r="AH763" s="511"/>
      <c r="AI763" s="511"/>
      <c r="AJ763" s="511"/>
      <c r="AK763" s="511"/>
      <c r="AL763" s="511"/>
      <c r="AM763" s="511"/>
      <c r="AN763" s="511"/>
      <c r="AO763" s="511"/>
      <c r="AP763" s="511"/>
      <c r="AQ763" s="511"/>
      <c r="AR763" s="511"/>
      <c r="AS763" s="511"/>
      <c r="AT763" s="511"/>
      <c r="AU763" s="511"/>
      <c r="AV763" s="511"/>
      <c r="AW763" s="511"/>
      <c r="AX763" s="511"/>
      <c r="AY763" s="511"/>
      <c r="AZ763" s="511"/>
      <c r="BA763" s="511"/>
      <c r="BB763" s="511"/>
      <c r="BC763" s="511"/>
      <c r="BD763" s="511"/>
      <c r="BE763" s="511"/>
    </row>
    <row r="764" ht="15.75" customHeight="1">
      <c r="A764" s="511"/>
      <c r="B764" s="511"/>
      <c r="C764" s="511"/>
      <c r="D764" s="511"/>
      <c r="E764" s="511"/>
      <c r="F764" s="511"/>
      <c r="G764" s="511"/>
      <c r="H764" s="511"/>
      <c r="I764" s="511"/>
      <c r="J764" s="511"/>
      <c r="K764" s="511"/>
      <c r="L764" s="511"/>
      <c r="M764" s="511"/>
      <c r="N764" s="511"/>
      <c r="O764" s="511"/>
      <c r="P764" s="511"/>
      <c r="Q764" s="511"/>
      <c r="R764" s="511"/>
      <c r="S764" s="511"/>
      <c r="T764" s="511"/>
      <c r="U764" s="511"/>
      <c r="V764" s="511"/>
      <c r="W764" s="511"/>
      <c r="X764" s="511"/>
      <c r="Y764" s="511"/>
      <c r="Z764" s="511"/>
      <c r="AA764" s="511"/>
      <c r="AB764" s="511"/>
      <c r="AC764" s="511"/>
      <c r="AD764" s="511"/>
      <c r="AE764" s="511"/>
      <c r="AF764" s="511"/>
      <c r="AG764" s="511"/>
      <c r="AH764" s="511"/>
      <c r="AI764" s="511"/>
      <c r="AJ764" s="511"/>
      <c r="AK764" s="511"/>
      <c r="AL764" s="511"/>
      <c r="AM764" s="511"/>
      <c r="AN764" s="511"/>
      <c r="AO764" s="511"/>
      <c r="AP764" s="511"/>
      <c r="AQ764" s="511"/>
      <c r="AR764" s="511"/>
      <c r="AS764" s="511"/>
      <c r="AT764" s="511"/>
      <c r="AU764" s="511"/>
      <c r="AV764" s="511"/>
      <c r="AW764" s="511"/>
      <c r="AX764" s="511"/>
      <c r="AY764" s="511"/>
      <c r="AZ764" s="511"/>
      <c r="BA764" s="511"/>
      <c r="BB764" s="511"/>
      <c r="BC764" s="511"/>
      <c r="BD764" s="511"/>
      <c r="BE764" s="511"/>
    </row>
    <row r="765" ht="15.75" customHeight="1">
      <c r="A765" s="511"/>
      <c r="B765" s="511"/>
      <c r="C765" s="511"/>
      <c r="D765" s="511"/>
      <c r="E765" s="511"/>
      <c r="F765" s="511"/>
      <c r="G765" s="511"/>
      <c r="H765" s="511"/>
      <c r="I765" s="511"/>
      <c r="J765" s="511"/>
      <c r="K765" s="511"/>
      <c r="L765" s="511"/>
      <c r="M765" s="511"/>
      <c r="N765" s="511"/>
      <c r="O765" s="511"/>
      <c r="P765" s="511"/>
      <c r="Q765" s="511"/>
      <c r="R765" s="511"/>
      <c r="S765" s="511"/>
      <c r="T765" s="511"/>
      <c r="U765" s="511"/>
      <c r="V765" s="511"/>
      <c r="W765" s="511"/>
      <c r="X765" s="511"/>
      <c r="Y765" s="511"/>
      <c r="Z765" s="511"/>
      <c r="AA765" s="511"/>
      <c r="AB765" s="511"/>
      <c r="AC765" s="511"/>
      <c r="AD765" s="511"/>
      <c r="AE765" s="511"/>
      <c r="AF765" s="511"/>
      <c r="AG765" s="511"/>
      <c r="AH765" s="511"/>
      <c r="AI765" s="511"/>
      <c r="AJ765" s="511"/>
      <c r="AK765" s="511"/>
      <c r="AL765" s="511"/>
      <c r="AM765" s="511"/>
      <c r="AN765" s="511"/>
      <c r="AO765" s="511"/>
      <c r="AP765" s="511"/>
      <c r="AQ765" s="511"/>
      <c r="AR765" s="511"/>
      <c r="AS765" s="511"/>
      <c r="AT765" s="511"/>
      <c r="AU765" s="511"/>
      <c r="AV765" s="511"/>
      <c r="AW765" s="511"/>
      <c r="AX765" s="511"/>
      <c r="AY765" s="511"/>
      <c r="AZ765" s="511"/>
      <c r="BA765" s="511"/>
      <c r="BB765" s="511"/>
      <c r="BC765" s="511"/>
      <c r="BD765" s="511"/>
      <c r="BE765" s="511"/>
    </row>
    <row r="766" ht="15.75" customHeight="1">
      <c r="A766" s="511"/>
      <c r="B766" s="511"/>
      <c r="C766" s="511"/>
      <c r="D766" s="511"/>
      <c r="E766" s="511"/>
      <c r="F766" s="511"/>
      <c r="G766" s="511"/>
      <c r="H766" s="511"/>
      <c r="I766" s="511"/>
      <c r="J766" s="511"/>
      <c r="K766" s="511"/>
      <c r="L766" s="511"/>
      <c r="M766" s="511"/>
      <c r="N766" s="511"/>
      <c r="O766" s="511"/>
      <c r="P766" s="511"/>
      <c r="Q766" s="511"/>
      <c r="R766" s="511"/>
      <c r="S766" s="511"/>
      <c r="T766" s="511"/>
      <c r="U766" s="511"/>
      <c r="V766" s="511"/>
      <c r="W766" s="511"/>
      <c r="X766" s="511"/>
      <c r="Y766" s="511"/>
      <c r="Z766" s="511"/>
      <c r="AA766" s="511"/>
      <c r="AB766" s="511"/>
      <c r="AC766" s="511"/>
      <c r="AD766" s="511"/>
      <c r="AE766" s="511"/>
      <c r="AF766" s="511"/>
      <c r="AG766" s="511"/>
      <c r="AH766" s="511"/>
      <c r="AI766" s="511"/>
      <c r="AJ766" s="511"/>
      <c r="AK766" s="511"/>
      <c r="AL766" s="511"/>
      <c r="AM766" s="511"/>
      <c r="AN766" s="511"/>
      <c r="AO766" s="511"/>
      <c r="AP766" s="511"/>
      <c r="AQ766" s="511"/>
      <c r="AR766" s="511"/>
      <c r="AS766" s="511"/>
      <c r="AT766" s="511"/>
      <c r="AU766" s="511"/>
      <c r="AV766" s="511"/>
      <c r="AW766" s="511"/>
      <c r="AX766" s="511"/>
      <c r="AY766" s="511"/>
      <c r="AZ766" s="511"/>
      <c r="BA766" s="511"/>
      <c r="BB766" s="511"/>
      <c r="BC766" s="511"/>
      <c r="BD766" s="511"/>
      <c r="BE766" s="511"/>
    </row>
    <row r="767" ht="15.75" customHeight="1">
      <c r="A767" s="511"/>
      <c r="B767" s="511"/>
      <c r="C767" s="511"/>
      <c r="D767" s="511"/>
      <c r="E767" s="511"/>
      <c r="F767" s="511"/>
      <c r="G767" s="511"/>
      <c r="H767" s="511"/>
      <c r="I767" s="511"/>
      <c r="J767" s="511"/>
      <c r="K767" s="511"/>
      <c r="L767" s="511"/>
      <c r="M767" s="511"/>
      <c r="N767" s="511"/>
      <c r="O767" s="511"/>
      <c r="P767" s="511"/>
      <c r="Q767" s="511"/>
      <c r="R767" s="511"/>
      <c r="S767" s="511"/>
      <c r="T767" s="511"/>
      <c r="U767" s="511"/>
      <c r="V767" s="511"/>
      <c r="W767" s="511"/>
      <c r="X767" s="511"/>
      <c r="Y767" s="511"/>
      <c r="Z767" s="511"/>
      <c r="AA767" s="511"/>
      <c r="AB767" s="511"/>
      <c r="AC767" s="511"/>
      <c r="AD767" s="511"/>
      <c r="AE767" s="511"/>
      <c r="AF767" s="511"/>
      <c r="AG767" s="511"/>
      <c r="AH767" s="511"/>
      <c r="AI767" s="511"/>
      <c r="AJ767" s="511"/>
      <c r="AK767" s="511"/>
      <c r="AL767" s="511"/>
      <c r="AM767" s="511"/>
      <c r="AN767" s="511"/>
      <c r="AO767" s="511"/>
      <c r="AP767" s="511"/>
      <c r="AQ767" s="511"/>
      <c r="AR767" s="511"/>
      <c r="AS767" s="511"/>
      <c r="AT767" s="511"/>
      <c r="AU767" s="511"/>
      <c r="AV767" s="511"/>
      <c r="AW767" s="511"/>
      <c r="AX767" s="511"/>
      <c r="AY767" s="511"/>
      <c r="AZ767" s="511"/>
      <c r="BA767" s="511"/>
      <c r="BB767" s="511"/>
      <c r="BC767" s="511"/>
      <c r="BD767" s="511"/>
      <c r="BE767" s="511"/>
    </row>
    <row r="768" ht="15.75" customHeight="1">
      <c r="A768" s="511"/>
      <c r="B768" s="511"/>
      <c r="C768" s="511"/>
      <c r="D768" s="511"/>
      <c r="E768" s="511"/>
      <c r="F768" s="511"/>
      <c r="G768" s="511"/>
      <c r="H768" s="511"/>
      <c r="I768" s="511"/>
      <c r="J768" s="511"/>
      <c r="K768" s="511"/>
      <c r="L768" s="511"/>
      <c r="M768" s="511"/>
      <c r="N768" s="511"/>
      <c r="O768" s="511"/>
      <c r="P768" s="511"/>
      <c r="Q768" s="511"/>
      <c r="R768" s="511"/>
      <c r="S768" s="511"/>
      <c r="T768" s="511"/>
      <c r="U768" s="511"/>
      <c r="V768" s="511"/>
      <c r="W768" s="511"/>
      <c r="X768" s="511"/>
      <c r="Y768" s="511"/>
      <c r="Z768" s="511"/>
      <c r="AA768" s="511"/>
      <c r="AB768" s="511"/>
      <c r="AC768" s="511"/>
      <c r="AD768" s="511"/>
      <c r="AE768" s="511"/>
      <c r="AF768" s="511"/>
      <c r="AG768" s="511"/>
      <c r="AH768" s="511"/>
      <c r="AI768" s="511"/>
      <c r="AJ768" s="511"/>
      <c r="AK768" s="511"/>
      <c r="AL768" s="511"/>
      <c r="AM768" s="511"/>
      <c r="AN768" s="511"/>
      <c r="AO768" s="511"/>
      <c r="AP768" s="511"/>
      <c r="AQ768" s="511"/>
      <c r="AR768" s="511"/>
      <c r="AS768" s="511"/>
      <c r="AT768" s="511"/>
      <c r="AU768" s="511"/>
      <c r="AV768" s="511"/>
      <c r="AW768" s="511"/>
      <c r="AX768" s="511"/>
      <c r="AY768" s="511"/>
      <c r="AZ768" s="511"/>
      <c r="BA768" s="511"/>
      <c r="BB768" s="511"/>
      <c r="BC768" s="511"/>
      <c r="BD768" s="511"/>
      <c r="BE768" s="511"/>
    </row>
    <row r="769" ht="15.75" customHeight="1">
      <c r="A769" s="511"/>
      <c r="B769" s="511"/>
      <c r="C769" s="511"/>
      <c r="D769" s="511"/>
      <c r="E769" s="511"/>
      <c r="F769" s="511"/>
      <c r="G769" s="511"/>
      <c r="H769" s="511"/>
      <c r="I769" s="511"/>
      <c r="J769" s="511"/>
      <c r="K769" s="511"/>
      <c r="L769" s="511"/>
      <c r="M769" s="511"/>
      <c r="N769" s="511"/>
      <c r="O769" s="511"/>
      <c r="P769" s="511"/>
      <c r="Q769" s="511"/>
      <c r="R769" s="511"/>
      <c r="S769" s="511"/>
      <c r="T769" s="511"/>
      <c r="U769" s="511"/>
      <c r="V769" s="511"/>
      <c r="W769" s="511"/>
      <c r="X769" s="511"/>
      <c r="Y769" s="511"/>
      <c r="Z769" s="511"/>
      <c r="AA769" s="511"/>
      <c r="AB769" s="511"/>
      <c r="AC769" s="511"/>
      <c r="AD769" s="511"/>
      <c r="AE769" s="511"/>
      <c r="AF769" s="511"/>
      <c r="AG769" s="511"/>
      <c r="AH769" s="511"/>
      <c r="AI769" s="511"/>
      <c r="AJ769" s="511"/>
      <c r="AK769" s="511"/>
      <c r="AL769" s="511"/>
      <c r="AM769" s="511"/>
      <c r="AN769" s="511"/>
      <c r="AO769" s="511"/>
      <c r="AP769" s="511"/>
      <c r="AQ769" s="511"/>
      <c r="AR769" s="511"/>
      <c r="AS769" s="511"/>
      <c r="AT769" s="511"/>
      <c r="AU769" s="511"/>
      <c r="AV769" s="511"/>
      <c r="AW769" s="511"/>
      <c r="AX769" s="511"/>
      <c r="AY769" s="511"/>
      <c r="AZ769" s="511"/>
      <c r="BA769" s="511"/>
      <c r="BB769" s="511"/>
      <c r="BC769" s="511"/>
      <c r="BD769" s="511"/>
      <c r="BE769" s="511"/>
    </row>
    <row r="770" ht="15.75" customHeight="1">
      <c r="A770" s="511"/>
      <c r="B770" s="511"/>
      <c r="C770" s="511"/>
      <c r="D770" s="511"/>
      <c r="E770" s="511"/>
      <c r="F770" s="511"/>
      <c r="G770" s="511"/>
      <c r="H770" s="511"/>
      <c r="I770" s="511"/>
      <c r="J770" s="511"/>
      <c r="K770" s="511"/>
      <c r="L770" s="511"/>
      <c r="M770" s="511"/>
      <c r="N770" s="511"/>
      <c r="O770" s="511"/>
      <c r="P770" s="511"/>
      <c r="Q770" s="511"/>
      <c r="R770" s="511"/>
      <c r="S770" s="511"/>
      <c r="T770" s="511"/>
      <c r="U770" s="511"/>
      <c r="V770" s="511"/>
      <c r="W770" s="511"/>
      <c r="X770" s="511"/>
      <c r="Y770" s="511"/>
      <c r="Z770" s="511"/>
      <c r="AA770" s="511"/>
      <c r="AB770" s="511"/>
      <c r="AC770" s="511"/>
      <c r="AD770" s="511"/>
      <c r="AE770" s="511"/>
      <c r="AF770" s="511"/>
      <c r="AG770" s="511"/>
      <c r="AH770" s="511"/>
      <c r="AI770" s="511"/>
      <c r="AJ770" s="511"/>
      <c r="AK770" s="511"/>
      <c r="AL770" s="511"/>
      <c r="AM770" s="511"/>
      <c r="AN770" s="511"/>
      <c r="AO770" s="511"/>
      <c r="AP770" s="511"/>
      <c r="AQ770" s="511"/>
      <c r="AR770" s="511"/>
      <c r="AS770" s="511"/>
      <c r="AT770" s="511"/>
      <c r="AU770" s="511"/>
      <c r="AV770" s="511"/>
      <c r="AW770" s="511"/>
      <c r="AX770" s="511"/>
      <c r="AY770" s="511"/>
      <c r="AZ770" s="511"/>
      <c r="BA770" s="511"/>
      <c r="BB770" s="511"/>
      <c r="BC770" s="511"/>
      <c r="BD770" s="511"/>
      <c r="BE770" s="511"/>
    </row>
    <row r="771" ht="15.75" customHeight="1">
      <c r="A771" s="511"/>
      <c r="B771" s="511"/>
      <c r="C771" s="511"/>
      <c r="D771" s="511"/>
      <c r="E771" s="511"/>
      <c r="F771" s="511"/>
      <c r="G771" s="511"/>
      <c r="H771" s="511"/>
      <c r="I771" s="511"/>
      <c r="J771" s="511"/>
      <c r="K771" s="511"/>
      <c r="L771" s="511"/>
      <c r="M771" s="511"/>
      <c r="N771" s="511"/>
      <c r="O771" s="511"/>
      <c r="P771" s="511"/>
      <c r="Q771" s="511"/>
      <c r="R771" s="511"/>
      <c r="S771" s="511"/>
      <c r="T771" s="511"/>
      <c r="U771" s="511"/>
      <c r="V771" s="511"/>
      <c r="W771" s="511"/>
      <c r="X771" s="511"/>
      <c r="Y771" s="511"/>
      <c r="Z771" s="511"/>
      <c r="AA771" s="511"/>
      <c r="AB771" s="511"/>
      <c r="AC771" s="511"/>
      <c r="AD771" s="511"/>
      <c r="AE771" s="511"/>
      <c r="AF771" s="511"/>
      <c r="AG771" s="511"/>
      <c r="AH771" s="511"/>
      <c r="AI771" s="511"/>
      <c r="AJ771" s="511"/>
      <c r="AK771" s="511"/>
      <c r="AL771" s="511"/>
      <c r="AM771" s="511"/>
      <c r="AN771" s="511"/>
      <c r="AO771" s="511"/>
      <c r="AP771" s="511"/>
      <c r="AQ771" s="511"/>
      <c r="AR771" s="511"/>
      <c r="AS771" s="511"/>
      <c r="AT771" s="511"/>
      <c r="AU771" s="511"/>
      <c r="AV771" s="511"/>
      <c r="AW771" s="511"/>
      <c r="AX771" s="511"/>
      <c r="AY771" s="511"/>
      <c r="AZ771" s="511"/>
      <c r="BA771" s="511"/>
      <c r="BB771" s="511"/>
      <c r="BC771" s="511"/>
      <c r="BD771" s="511"/>
      <c r="BE771" s="511"/>
    </row>
    <row r="772" ht="15.75" customHeight="1">
      <c r="A772" s="511"/>
      <c r="B772" s="511"/>
      <c r="C772" s="511"/>
      <c r="D772" s="511"/>
      <c r="E772" s="511"/>
      <c r="F772" s="511"/>
      <c r="G772" s="511"/>
      <c r="H772" s="511"/>
      <c r="I772" s="511"/>
      <c r="J772" s="511"/>
      <c r="K772" s="511"/>
      <c r="L772" s="511"/>
      <c r="M772" s="511"/>
      <c r="N772" s="511"/>
      <c r="O772" s="511"/>
      <c r="P772" s="511"/>
      <c r="Q772" s="511"/>
      <c r="R772" s="511"/>
      <c r="S772" s="511"/>
      <c r="T772" s="511"/>
      <c r="U772" s="511"/>
      <c r="V772" s="511"/>
      <c r="W772" s="511"/>
      <c r="X772" s="511"/>
      <c r="Y772" s="511"/>
      <c r="Z772" s="511"/>
      <c r="AA772" s="511"/>
      <c r="AB772" s="511"/>
      <c r="AC772" s="511"/>
      <c r="AD772" s="511"/>
      <c r="AE772" s="511"/>
      <c r="AF772" s="511"/>
      <c r="AG772" s="511"/>
      <c r="AH772" s="511"/>
      <c r="AI772" s="511"/>
      <c r="AJ772" s="511"/>
      <c r="AK772" s="511"/>
      <c r="AL772" s="511"/>
      <c r="AM772" s="511"/>
      <c r="AN772" s="511"/>
      <c r="AO772" s="511"/>
      <c r="AP772" s="511"/>
      <c r="AQ772" s="511"/>
      <c r="AR772" s="511"/>
      <c r="AS772" s="511"/>
      <c r="AT772" s="511"/>
      <c r="AU772" s="511"/>
      <c r="AV772" s="511"/>
      <c r="AW772" s="511"/>
      <c r="AX772" s="511"/>
      <c r="AY772" s="511"/>
      <c r="AZ772" s="511"/>
      <c r="BA772" s="511"/>
      <c r="BB772" s="511"/>
      <c r="BC772" s="511"/>
      <c r="BD772" s="511"/>
      <c r="BE772" s="511"/>
    </row>
    <row r="773" ht="15.75" customHeight="1">
      <c r="A773" s="511"/>
      <c r="B773" s="511"/>
      <c r="C773" s="511"/>
      <c r="D773" s="511"/>
      <c r="E773" s="511"/>
      <c r="F773" s="511"/>
      <c r="G773" s="511"/>
      <c r="H773" s="511"/>
      <c r="I773" s="511"/>
      <c r="J773" s="511"/>
      <c r="K773" s="511"/>
      <c r="L773" s="511"/>
      <c r="M773" s="511"/>
      <c r="N773" s="511"/>
      <c r="O773" s="511"/>
      <c r="P773" s="511"/>
      <c r="Q773" s="511"/>
      <c r="R773" s="511"/>
      <c r="S773" s="511"/>
      <c r="T773" s="511"/>
      <c r="U773" s="511"/>
      <c r="V773" s="511"/>
      <c r="W773" s="511"/>
      <c r="X773" s="511"/>
      <c r="Y773" s="511"/>
      <c r="Z773" s="511"/>
      <c r="AA773" s="511"/>
      <c r="AB773" s="511"/>
      <c r="AC773" s="511"/>
      <c r="AD773" s="511"/>
      <c r="AE773" s="511"/>
      <c r="AF773" s="511"/>
      <c r="AG773" s="511"/>
      <c r="AH773" s="511"/>
      <c r="AI773" s="511"/>
      <c r="AJ773" s="511"/>
      <c r="AK773" s="511"/>
      <c r="AL773" s="511"/>
      <c r="AM773" s="511"/>
      <c r="AN773" s="511"/>
      <c r="AO773" s="511"/>
      <c r="AP773" s="511"/>
      <c r="AQ773" s="511"/>
      <c r="AR773" s="511"/>
      <c r="AS773" s="511"/>
      <c r="AT773" s="511"/>
      <c r="AU773" s="511"/>
      <c r="AV773" s="511"/>
      <c r="AW773" s="511"/>
      <c r="AX773" s="511"/>
      <c r="AY773" s="511"/>
      <c r="AZ773" s="511"/>
      <c r="BA773" s="511"/>
      <c r="BB773" s="511"/>
      <c r="BC773" s="511"/>
      <c r="BD773" s="511"/>
      <c r="BE773" s="511"/>
    </row>
    <row r="774" ht="15.75" customHeight="1">
      <c r="A774" s="511"/>
      <c r="B774" s="511"/>
      <c r="C774" s="511"/>
      <c r="D774" s="511"/>
      <c r="E774" s="511"/>
      <c r="F774" s="511"/>
      <c r="G774" s="511"/>
      <c r="H774" s="511"/>
      <c r="I774" s="511"/>
      <c r="J774" s="511"/>
      <c r="K774" s="511"/>
      <c r="L774" s="511"/>
      <c r="M774" s="511"/>
      <c r="N774" s="511"/>
      <c r="O774" s="511"/>
      <c r="P774" s="511"/>
      <c r="Q774" s="511"/>
      <c r="R774" s="511"/>
      <c r="S774" s="511"/>
      <c r="T774" s="511"/>
      <c r="U774" s="511"/>
      <c r="V774" s="511"/>
      <c r="W774" s="511"/>
      <c r="X774" s="511"/>
      <c r="Y774" s="511"/>
      <c r="Z774" s="511"/>
      <c r="AA774" s="511"/>
      <c r="AB774" s="511"/>
      <c r="AC774" s="511"/>
      <c r="AD774" s="511"/>
      <c r="AE774" s="511"/>
      <c r="AF774" s="511"/>
      <c r="AG774" s="511"/>
      <c r="AH774" s="511"/>
      <c r="AI774" s="511"/>
      <c r="AJ774" s="511"/>
      <c r="AK774" s="511"/>
      <c r="AL774" s="511"/>
      <c r="AM774" s="511"/>
      <c r="AN774" s="511"/>
      <c r="AO774" s="511"/>
      <c r="AP774" s="511"/>
      <c r="AQ774" s="511"/>
      <c r="AR774" s="511"/>
      <c r="AS774" s="511"/>
      <c r="AT774" s="511"/>
      <c r="AU774" s="511"/>
      <c r="AV774" s="511"/>
      <c r="AW774" s="511"/>
      <c r="AX774" s="511"/>
      <c r="AY774" s="511"/>
      <c r="AZ774" s="511"/>
      <c r="BA774" s="511"/>
      <c r="BB774" s="511"/>
      <c r="BC774" s="511"/>
      <c r="BD774" s="511"/>
      <c r="BE774" s="511"/>
    </row>
    <row r="775" ht="15.75" customHeight="1">
      <c r="A775" s="511"/>
      <c r="B775" s="511"/>
      <c r="C775" s="511"/>
      <c r="D775" s="511"/>
      <c r="E775" s="511"/>
      <c r="F775" s="511"/>
      <c r="G775" s="511"/>
      <c r="H775" s="511"/>
      <c r="I775" s="511"/>
      <c r="J775" s="511"/>
      <c r="K775" s="511"/>
      <c r="L775" s="511"/>
      <c r="M775" s="511"/>
      <c r="N775" s="511"/>
      <c r="O775" s="511"/>
      <c r="P775" s="511"/>
      <c r="Q775" s="511"/>
      <c r="R775" s="511"/>
      <c r="S775" s="511"/>
      <c r="T775" s="511"/>
      <c r="U775" s="511"/>
      <c r="V775" s="511"/>
      <c r="W775" s="511"/>
      <c r="X775" s="511"/>
      <c r="Y775" s="511"/>
      <c r="Z775" s="511"/>
      <c r="AA775" s="511"/>
      <c r="AB775" s="511"/>
      <c r="AC775" s="511"/>
      <c r="AD775" s="511"/>
      <c r="AE775" s="511"/>
      <c r="AF775" s="511"/>
      <c r="AG775" s="511"/>
      <c r="AH775" s="511"/>
      <c r="AI775" s="511"/>
      <c r="AJ775" s="511"/>
      <c r="AK775" s="511"/>
      <c r="AL775" s="511"/>
      <c r="AM775" s="511"/>
      <c r="AN775" s="511"/>
      <c r="AO775" s="511"/>
      <c r="AP775" s="511"/>
      <c r="AQ775" s="511"/>
      <c r="AR775" s="511"/>
      <c r="AS775" s="511"/>
      <c r="AT775" s="511"/>
      <c r="AU775" s="511"/>
      <c r="AV775" s="511"/>
      <c r="AW775" s="511"/>
      <c r="AX775" s="511"/>
      <c r="AY775" s="511"/>
      <c r="AZ775" s="511"/>
      <c r="BA775" s="511"/>
      <c r="BB775" s="511"/>
      <c r="BC775" s="511"/>
      <c r="BD775" s="511"/>
      <c r="BE775" s="511"/>
    </row>
    <row r="776" ht="15.75" customHeight="1">
      <c r="A776" s="511"/>
      <c r="B776" s="511"/>
      <c r="C776" s="511"/>
      <c r="D776" s="511"/>
      <c r="E776" s="511"/>
      <c r="F776" s="511"/>
      <c r="G776" s="511"/>
      <c r="H776" s="511"/>
      <c r="I776" s="511"/>
      <c r="J776" s="511"/>
      <c r="K776" s="511"/>
      <c r="L776" s="511"/>
      <c r="M776" s="511"/>
      <c r="N776" s="511"/>
      <c r="O776" s="511"/>
      <c r="P776" s="511"/>
      <c r="Q776" s="511"/>
      <c r="R776" s="511"/>
      <c r="S776" s="511"/>
      <c r="T776" s="511"/>
      <c r="U776" s="511"/>
      <c r="V776" s="511"/>
      <c r="W776" s="511"/>
      <c r="X776" s="511"/>
      <c r="Y776" s="511"/>
      <c r="Z776" s="511"/>
      <c r="AA776" s="511"/>
      <c r="AB776" s="511"/>
      <c r="AC776" s="511"/>
      <c r="AD776" s="511"/>
      <c r="AE776" s="511"/>
      <c r="AF776" s="511"/>
      <c r="AG776" s="511"/>
      <c r="AH776" s="511"/>
      <c r="AI776" s="511"/>
      <c r="AJ776" s="511"/>
      <c r="AK776" s="511"/>
      <c r="AL776" s="511"/>
      <c r="AM776" s="511"/>
      <c r="AN776" s="511"/>
      <c r="AO776" s="511"/>
      <c r="AP776" s="511"/>
      <c r="AQ776" s="511"/>
      <c r="AR776" s="511"/>
      <c r="AS776" s="511"/>
      <c r="AT776" s="511"/>
      <c r="AU776" s="511"/>
      <c r="AV776" s="511"/>
      <c r="AW776" s="511"/>
      <c r="AX776" s="511"/>
      <c r="AY776" s="511"/>
      <c r="AZ776" s="511"/>
      <c r="BA776" s="511"/>
      <c r="BB776" s="511"/>
      <c r="BC776" s="511"/>
      <c r="BD776" s="511"/>
      <c r="BE776" s="511"/>
    </row>
    <row r="777" ht="15.75" customHeight="1">
      <c r="A777" s="511"/>
      <c r="B777" s="511"/>
      <c r="C777" s="511"/>
      <c r="D777" s="511"/>
      <c r="E777" s="511"/>
      <c r="F777" s="511"/>
      <c r="G777" s="511"/>
      <c r="H777" s="511"/>
      <c r="I777" s="511"/>
      <c r="J777" s="511"/>
      <c r="K777" s="511"/>
      <c r="L777" s="511"/>
      <c r="M777" s="511"/>
      <c r="N777" s="511"/>
      <c r="O777" s="511"/>
      <c r="P777" s="511"/>
      <c r="Q777" s="511"/>
      <c r="R777" s="511"/>
      <c r="S777" s="511"/>
      <c r="T777" s="511"/>
      <c r="U777" s="511"/>
      <c r="V777" s="511"/>
      <c r="W777" s="511"/>
      <c r="X777" s="511"/>
      <c r="Y777" s="511"/>
      <c r="Z777" s="511"/>
      <c r="AA777" s="511"/>
      <c r="AB777" s="511"/>
      <c r="AC777" s="511"/>
      <c r="AD777" s="511"/>
      <c r="AE777" s="511"/>
      <c r="AF777" s="511"/>
      <c r="AG777" s="511"/>
      <c r="AH777" s="511"/>
      <c r="AI777" s="511"/>
      <c r="AJ777" s="511"/>
      <c r="AK777" s="511"/>
      <c r="AL777" s="511"/>
      <c r="AM777" s="511"/>
      <c r="AN777" s="511"/>
      <c r="AO777" s="511"/>
      <c r="AP777" s="511"/>
      <c r="AQ777" s="511"/>
      <c r="AR777" s="511"/>
      <c r="AS777" s="511"/>
      <c r="AT777" s="511"/>
      <c r="AU777" s="511"/>
      <c r="AV777" s="511"/>
      <c r="AW777" s="511"/>
      <c r="AX777" s="511"/>
      <c r="AY777" s="511"/>
      <c r="AZ777" s="511"/>
      <c r="BA777" s="511"/>
      <c r="BB777" s="511"/>
      <c r="BC777" s="511"/>
      <c r="BD777" s="511"/>
      <c r="BE777" s="511"/>
    </row>
    <row r="778" ht="15.75" customHeight="1">
      <c r="A778" s="511"/>
      <c r="B778" s="511"/>
      <c r="C778" s="511"/>
      <c r="D778" s="511"/>
      <c r="E778" s="511"/>
      <c r="F778" s="511"/>
      <c r="G778" s="511"/>
      <c r="H778" s="511"/>
      <c r="I778" s="511"/>
      <c r="J778" s="511"/>
      <c r="K778" s="511"/>
      <c r="L778" s="511"/>
      <c r="M778" s="511"/>
      <c r="N778" s="511"/>
      <c r="O778" s="511"/>
      <c r="P778" s="511"/>
      <c r="Q778" s="511"/>
      <c r="R778" s="511"/>
      <c r="S778" s="511"/>
      <c r="T778" s="511"/>
      <c r="U778" s="511"/>
      <c r="V778" s="511"/>
      <c r="W778" s="511"/>
      <c r="X778" s="511"/>
      <c r="Y778" s="511"/>
      <c r="Z778" s="511"/>
      <c r="AA778" s="511"/>
      <c r="AB778" s="511"/>
      <c r="AC778" s="511"/>
      <c r="AD778" s="511"/>
      <c r="AE778" s="511"/>
      <c r="AF778" s="511"/>
      <c r="AG778" s="511"/>
      <c r="AH778" s="511"/>
      <c r="AI778" s="511"/>
      <c r="AJ778" s="511"/>
      <c r="AK778" s="511"/>
      <c r="AL778" s="511"/>
      <c r="AM778" s="511"/>
      <c r="AN778" s="511"/>
      <c r="AO778" s="511"/>
      <c r="AP778" s="511"/>
      <c r="AQ778" s="511"/>
      <c r="AR778" s="511"/>
      <c r="AS778" s="511"/>
      <c r="AT778" s="511"/>
      <c r="AU778" s="511"/>
      <c r="AV778" s="511"/>
      <c r="AW778" s="511"/>
      <c r="AX778" s="511"/>
      <c r="AY778" s="511"/>
      <c r="AZ778" s="511"/>
      <c r="BA778" s="511"/>
      <c r="BB778" s="511"/>
      <c r="BC778" s="511"/>
      <c r="BD778" s="511"/>
      <c r="BE778" s="511"/>
    </row>
    <row r="779" ht="15.75" customHeight="1">
      <c r="A779" s="511"/>
      <c r="B779" s="511"/>
      <c r="C779" s="511"/>
      <c r="D779" s="511"/>
      <c r="E779" s="511"/>
      <c r="F779" s="511"/>
      <c r="G779" s="511"/>
      <c r="H779" s="511"/>
      <c r="I779" s="511"/>
      <c r="J779" s="511"/>
      <c r="K779" s="511"/>
      <c r="L779" s="511"/>
      <c r="M779" s="511"/>
      <c r="N779" s="511"/>
      <c r="O779" s="511"/>
      <c r="P779" s="511"/>
      <c r="Q779" s="511"/>
      <c r="R779" s="511"/>
      <c r="S779" s="511"/>
      <c r="T779" s="511"/>
      <c r="U779" s="511"/>
      <c r="V779" s="511"/>
      <c r="W779" s="511"/>
      <c r="X779" s="511"/>
      <c r="Y779" s="511"/>
      <c r="Z779" s="511"/>
      <c r="AA779" s="511"/>
      <c r="AB779" s="511"/>
      <c r="AC779" s="511"/>
      <c r="AD779" s="511"/>
      <c r="AE779" s="511"/>
      <c r="AF779" s="511"/>
      <c r="AG779" s="511"/>
      <c r="AH779" s="511"/>
      <c r="AI779" s="511"/>
      <c r="AJ779" s="511"/>
      <c r="AK779" s="511"/>
      <c r="AL779" s="511"/>
      <c r="AM779" s="511"/>
      <c r="AN779" s="511"/>
      <c r="AO779" s="511"/>
      <c r="AP779" s="511"/>
      <c r="AQ779" s="511"/>
      <c r="AR779" s="511"/>
      <c r="AS779" s="511"/>
      <c r="AT779" s="511"/>
      <c r="AU779" s="511"/>
      <c r="AV779" s="511"/>
      <c r="AW779" s="511"/>
      <c r="AX779" s="511"/>
      <c r="AY779" s="511"/>
      <c r="AZ779" s="511"/>
      <c r="BA779" s="511"/>
      <c r="BB779" s="511"/>
      <c r="BC779" s="511"/>
      <c r="BD779" s="511"/>
      <c r="BE779" s="511"/>
    </row>
    <row r="780" ht="15.75" customHeight="1">
      <c r="A780" s="511"/>
      <c r="B780" s="511"/>
      <c r="C780" s="511"/>
      <c r="D780" s="511"/>
      <c r="E780" s="511"/>
      <c r="F780" s="511"/>
      <c r="G780" s="511"/>
      <c r="H780" s="511"/>
      <c r="I780" s="511"/>
      <c r="J780" s="511"/>
      <c r="K780" s="511"/>
      <c r="L780" s="511"/>
      <c r="M780" s="511"/>
      <c r="N780" s="511"/>
      <c r="O780" s="511"/>
      <c r="P780" s="511"/>
      <c r="Q780" s="511"/>
      <c r="R780" s="511"/>
      <c r="S780" s="511"/>
      <c r="T780" s="511"/>
      <c r="U780" s="511"/>
      <c r="V780" s="511"/>
      <c r="W780" s="511"/>
      <c r="X780" s="511"/>
      <c r="Y780" s="511"/>
      <c r="Z780" s="511"/>
      <c r="AA780" s="511"/>
      <c r="AB780" s="511"/>
      <c r="AC780" s="511"/>
      <c r="AD780" s="511"/>
      <c r="AE780" s="511"/>
      <c r="AF780" s="511"/>
      <c r="AG780" s="511"/>
      <c r="AH780" s="511"/>
      <c r="AI780" s="511"/>
      <c r="AJ780" s="511"/>
      <c r="AK780" s="511"/>
      <c r="AL780" s="511"/>
      <c r="AM780" s="511"/>
      <c r="AN780" s="511"/>
      <c r="AO780" s="511"/>
      <c r="AP780" s="511"/>
      <c r="AQ780" s="511"/>
      <c r="AR780" s="511"/>
      <c r="AS780" s="511"/>
      <c r="AT780" s="511"/>
      <c r="AU780" s="511"/>
      <c r="AV780" s="511"/>
      <c r="AW780" s="511"/>
      <c r="AX780" s="511"/>
      <c r="AY780" s="511"/>
      <c r="AZ780" s="511"/>
      <c r="BA780" s="511"/>
      <c r="BB780" s="511"/>
      <c r="BC780" s="511"/>
      <c r="BD780" s="511"/>
      <c r="BE780" s="511"/>
    </row>
    <row r="781" ht="15.75" customHeight="1">
      <c r="A781" s="511"/>
      <c r="B781" s="511"/>
      <c r="C781" s="511"/>
      <c r="D781" s="511"/>
      <c r="E781" s="511"/>
      <c r="F781" s="511"/>
      <c r="G781" s="511"/>
      <c r="H781" s="511"/>
      <c r="I781" s="511"/>
      <c r="J781" s="511"/>
      <c r="K781" s="511"/>
      <c r="L781" s="511"/>
      <c r="M781" s="511"/>
      <c r="N781" s="511"/>
      <c r="O781" s="511"/>
      <c r="P781" s="511"/>
      <c r="Q781" s="511"/>
      <c r="R781" s="511"/>
      <c r="S781" s="511"/>
      <c r="T781" s="511"/>
      <c r="U781" s="511"/>
      <c r="V781" s="511"/>
      <c r="W781" s="511"/>
      <c r="X781" s="511"/>
      <c r="Y781" s="511"/>
      <c r="Z781" s="511"/>
      <c r="AA781" s="511"/>
      <c r="AB781" s="511"/>
      <c r="AC781" s="511"/>
      <c r="AD781" s="511"/>
      <c r="AE781" s="511"/>
      <c r="AF781" s="511"/>
      <c r="AG781" s="511"/>
      <c r="AH781" s="511"/>
      <c r="AI781" s="511"/>
      <c r="AJ781" s="511"/>
      <c r="AK781" s="511"/>
      <c r="AL781" s="511"/>
      <c r="AM781" s="511"/>
      <c r="AN781" s="511"/>
      <c r="AO781" s="511"/>
      <c r="AP781" s="511"/>
      <c r="AQ781" s="511"/>
      <c r="AR781" s="511"/>
      <c r="AS781" s="511"/>
      <c r="AT781" s="511"/>
      <c r="AU781" s="511"/>
      <c r="AV781" s="511"/>
      <c r="AW781" s="511"/>
      <c r="AX781" s="511"/>
      <c r="AY781" s="511"/>
      <c r="AZ781" s="511"/>
      <c r="BA781" s="511"/>
      <c r="BB781" s="511"/>
      <c r="BC781" s="511"/>
      <c r="BD781" s="511"/>
      <c r="BE781" s="511"/>
    </row>
    <row r="782" ht="15.75" customHeight="1">
      <c r="A782" s="511"/>
      <c r="B782" s="511"/>
      <c r="C782" s="511"/>
      <c r="D782" s="511"/>
      <c r="E782" s="511"/>
      <c r="F782" s="511"/>
      <c r="G782" s="511"/>
      <c r="H782" s="511"/>
      <c r="I782" s="511"/>
      <c r="J782" s="511"/>
      <c r="K782" s="511"/>
      <c r="L782" s="511"/>
      <c r="M782" s="511"/>
      <c r="N782" s="511"/>
      <c r="O782" s="511"/>
      <c r="P782" s="511"/>
      <c r="Q782" s="511"/>
      <c r="R782" s="511"/>
      <c r="S782" s="511"/>
      <c r="T782" s="511"/>
      <c r="U782" s="511"/>
      <c r="V782" s="511"/>
      <c r="W782" s="511"/>
      <c r="X782" s="511"/>
      <c r="Y782" s="511"/>
      <c r="Z782" s="511"/>
      <c r="AA782" s="511"/>
      <c r="AB782" s="511"/>
      <c r="AC782" s="511"/>
      <c r="AD782" s="511"/>
      <c r="AE782" s="511"/>
      <c r="AF782" s="511"/>
      <c r="AG782" s="511"/>
      <c r="AH782" s="511"/>
      <c r="AI782" s="511"/>
      <c r="AJ782" s="511"/>
      <c r="AK782" s="511"/>
      <c r="AL782" s="511"/>
      <c r="AM782" s="511"/>
      <c r="AN782" s="511"/>
      <c r="AO782" s="511"/>
      <c r="AP782" s="511"/>
      <c r="AQ782" s="511"/>
      <c r="AR782" s="511"/>
      <c r="AS782" s="511"/>
      <c r="AT782" s="511"/>
      <c r="AU782" s="511"/>
      <c r="AV782" s="511"/>
      <c r="AW782" s="511"/>
      <c r="AX782" s="511"/>
      <c r="AY782" s="511"/>
      <c r="AZ782" s="511"/>
      <c r="BA782" s="511"/>
      <c r="BB782" s="511"/>
      <c r="BC782" s="511"/>
      <c r="BD782" s="511"/>
      <c r="BE782" s="511"/>
    </row>
    <row r="783" ht="15.75" customHeight="1">
      <c r="A783" s="511"/>
      <c r="B783" s="511"/>
      <c r="C783" s="511"/>
      <c r="D783" s="511"/>
      <c r="E783" s="511"/>
      <c r="F783" s="511"/>
      <c r="G783" s="511"/>
      <c r="H783" s="511"/>
      <c r="I783" s="511"/>
      <c r="J783" s="511"/>
      <c r="K783" s="511"/>
      <c r="L783" s="511"/>
      <c r="M783" s="511"/>
      <c r="N783" s="511"/>
      <c r="O783" s="511"/>
      <c r="P783" s="511"/>
      <c r="Q783" s="511"/>
      <c r="R783" s="511"/>
      <c r="S783" s="511"/>
      <c r="T783" s="511"/>
      <c r="U783" s="511"/>
      <c r="V783" s="511"/>
      <c r="W783" s="511"/>
      <c r="X783" s="511"/>
      <c r="Y783" s="511"/>
      <c r="Z783" s="511"/>
      <c r="AA783" s="511"/>
      <c r="AB783" s="511"/>
      <c r="AC783" s="511"/>
      <c r="AD783" s="511"/>
      <c r="AE783" s="511"/>
      <c r="AF783" s="511"/>
      <c r="AG783" s="511"/>
      <c r="AH783" s="511"/>
      <c r="AI783" s="511"/>
      <c r="AJ783" s="511"/>
      <c r="AK783" s="511"/>
      <c r="AL783" s="511"/>
      <c r="AM783" s="511"/>
      <c r="AN783" s="511"/>
      <c r="AO783" s="511"/>
      <c r="AP783" s="511"/>
      <c r="AQ783" s="511"/>
      <c r="AR783" s="511"/>
      <c r="AS783" s="511"/>
      <c r="AT783" s="511"/>
      <c r="AU783" s="511"/>
      <c r="AV783" s="511"/>
      <c r="AW783" s="511"/>
      <c r="AX783" s="511"/>
      <c r="AY783" s="511"/>
      <c r="AZ783" s="511"/>
      <c r="BA783" s="511"/>
      <c r="BB783" s="511"/>
      <c r="BC783" s="511"/>
      <c r="BD783" s="511"/>
      <c r="BE783" s="511"/>
    </row>
    <row r="784" ht="15.75" customHeight="1">
      <c r="A784" s="511"/>
      <c r="B784" s="511"/>
      <c r="C784" s="511"/>
      <c r="D784" s="511"/>
      <c r="E784" s="511"/>
      <c r="F784" s="511"/>
      <c r="G784" s="511"/>
      <c r="H784" s="511"/>
      <c r="I784" s="511"/>
      <c r="J784" s="511"/>
      <c r="K784" s="511"/>
      <c r="L784" s="511"/>
      <c r="M784" s="511"/>
      <c r="N784" s="511"/>
      <c r="O784" s="511"/>
      <c r="P784" s="511"/>
      <c r="Q784" s="511"/>
      <c r="R784" s="511"/>
      <c r="S784" s="511"/>
      <c r="T784" s="511"/>
      <c r="U784" s="511"/>
      <c r="V784" s="511"/>
      <c r="W784" s="511"/>
      <c r="X784" s="511"/>
      <c r="Y784" s="511"/>
      <c r="Z784" s="511"/>
      <c r="AA784" s="511"/>
      <c r="AB784" s="511"/>
      <c r="AC784" s="511"/>
      <c r="AD784" s="511"/>
      <c r="AE784" s="511"/>
      <c r="AF784" s="511"/>
      <c r="AG784" s="511"/>
      <c r="AH784" s="511"/>
      <c r="AI784" s="511"/>
      <c r="AJ784" s="511"/>
      <c r="AK784" s="511"/>
      <c r="AL784" s="511"/>
      <c r="AM784" s="511"/>
      <c r="AN784" s="511"/>
      <c r="AO784" s="511"/>
      <c r="AP784" s="511"/>
      <c r="AQ784" s="511"/>
      <c r="AR784" s="511"/>
      <c r="AS784" s="511"/>
      <c r="AT784" s="511"/>
      <c r="AU784" s="511"/>
      <c r="AV784" s="511"/>
      <c r="AW784" s="511"/>
      <c r="AX784" s="511"/>
      <c r="AY784" s="511"/>
      <c r="AZ784" s="511"/>
      <c r="BA784" s="511"/>
      <c r="BB784" s="511"/>
      <c r="BC784" s="511"/>
      <c r="BD784" s="511"/>
      <c r="BE784" s="511"/>
    </row>
    <row r="785" ht="15.75" customHeight="1">
      <c r="A785" s="511"/>
      <c r="B785" s="511"/>
      <c r="C785" s="511"/>
      <c r="D785" s="511"/>
      <c r="E785" s="511"/>
      <c r="F785" s="511"/>
      <c r="G785" s="511"/>
      <c r="H785" s="511"/>
      <c r="I785" s="511"/>
      <c r="J785" s="511"/>
      <c r="K785" s="511"/>
      <c r="L785" s="511"/>
      <c r="M785" s="511"/>
      <c r="N785" s="511"/>
      <c r="O785" s="511"/>
      <c r="P785" s="511"/>
      <c r="Q785" s="511"/>
      <c r="R785" s="511"/>
      <c r="S785" s="511"/>
      <c r="T785" s="511"/>
      <c r="U785" s="511"/>
      <c r="V785" s="511"/>
      <c r="W785" s="511"/>
      <c r="X785" s="511"/>
      <c r="Y785" s="511"/>
      <c r="Z785" s="511"/>
      <c r="AA785" s="511"/>
      <c r="AB785" s="511"/>
      <c r="AC785" s="511"/>
      <c r="AD785" s="511"/>
      <c r="AE785" s="511"/>
      <c r="AF785" s="511"/>
      <c r="AG785" s="511"/>
      <c r="AH785" s="511"/>
      <c r="AI785" s="511"/>
      <c r="AJ785" s="511"/>
      <c r="AK785" s="511"/>
      <c r="AL785" s="511"/>
      <c r="AM785" s="511"/>
      <c r="AN785" s="511"/>
      <c r="AO785" s="511"/>
      <c r="AP785" s="511"/>
      <c r="AQ785" s="511"/>
      <c r="AR785" s="511"/>
      <c r="AS785" s="511"/>
      <c r="AT785" s="511"/>
      <c r="AU785" s="511"/>
      <c r="AV785" s="511"/>
      <c r="AW785" s="511"/>
      <c r="AX785" s="511"/>
      <c r="AY785" s="511"/>
      <c r="AZ785" s="511"/>
      <c r="BA785" s="511"/>
      <c r="BB785" s="511"/>
      <c r="BC785" s="511"/>
      <c r="BD785" s="511"/>
      <c r="BE785" s="511"/>
    </row>
    <row r="786" ht="15.75" customHeight="1">
      <c r="A786" s="511"/>
      <c r="B786" s="511"/>
      <c r="C786" s="511"/>
      <c r="D786" s="511"/>
      <c r="E786" s="511"/>
      <c r="F786" s="511"/>
      <c r="G786" s="511"/>
      <c r="H786" s="511"/>
      <c r="I786" s="511"/>
      <c r="J786" s="511"/>
      <c r="K786" s="511"/>
      <c r="L786" s="511"/>
      <c r="M786" s="511"/>
      <c r="N786" s="511"/>
      <c r="O786" s="511"/>
      <c r="P786" s="511"/>
      <c r="Q786" s="511"/>
      <c r="R786" s="511"/>
      <c r="S786" s="511"/>
      <c r="T786" s="511"/>
      <c r="U786" s="511"/>
      <c r="V786" s="511"/>
      <c r="W786" s="511"/>
      <c r="X786" s="511"/>
      <c r="Y786" s="511"/>
      <c r="Z786" s="511"/>
      <c r="AA786" s="511"/>
      <c r="AB786" s="511"/>
      <c r="AC786" s="511"/>
      <c r="AD786" s="511"/>
      <c r="AE786" s="511"/>
      <c r="AF786" s="511"/>
      <c r="AG786" s="511"/>
      <c r="AH786" s="511"/>
      <c r="AI786" s="511"/>
      <c r="AJ786" s="511"/>
      <c r="AK786" s="511"/>
      <c r="AL786" s="511"/>
      <c r="AM786" s="511"/>
      <c r="AN786" s="511"/>
      <c r="AO786" s="511"/>
      <c r="AP786" s="511"/>
      <c r="AQ786" s="511"/>
      <c r="AR786" s="511"/>
      <c r="AS786" s="511"/>
      <c r="AT786" s="511"/>
      <c r="AU786" s="511"/>
      <c r="AV786" s="511"/>
      <c r="AW786" s="511"/>
      <c r="AX786" s="511"/>
      <c r="AY786" s="511"/>
      <c r="AZ786" s="511"/>
      <c r="BA786" s="511"/>
      <c r="BB786" s="511"/>
      <c r="BC786" s="511"/>
      <c r="BD786" s="511"/>
      <c r="BE786" s="511"/>
    </row>
    <row r="787" ht="15.75" customHeight="1">
      <c r="A787" s="511"/>
      <c r="B787" s="511"/>
      <c r="C787" s="511"/>
      <c r="D787" s="511"/>
      <c r="E787" s="511"/>
      <c r="F787" s="511"/>
      <c r="G787" s="511"/>
      <c r="H787" s="511"/>
      <c r="I787" s="511"/>
      <c r="J787" s="511"/>
      <c r="K787" s="511"/>
      <c r="L787" s="511"/>
      <c r="M787" s="511"/>
      <c r="N787" s="511"/>
      <c r="O787" s="511"/>
      <c r="P787" s="511"/>
      <c r="Q787" s="511"/>
      <c r="R787" s="511"/>
      <c r="S787" s="511"/>
      <c r="T787" s="511"/>
      <c r="U787" s="511"/>
      <c r="V787" s="511"/>
      <c r="W787" s="511"/>
      <c r="X787" s="511"/>
      <c r="Y787" s="511"/>
      <c r="Z787" s="511"/>
      <c r="AA787" s="511"/>
      <c r="AB787" s="511"/>
      <c r="AC787" s="511"/>
      <c r="AD787" s="511"/>
      <c r="AE787" s="511"/>
      <c r="AF787" s="511"/>
      <c r="AG787" s="511"/>
      <c r="AH787" s="511"/>
      <c r="AI787" s="511"/>
      <c r="AJ787" s="511"/>
      <c r="AK787" s="511"/>
      <c r="AL787" s="511"/>
      <c r="AM787" s="511"/>
      <c r="AN787" s="511"/>
      <c r="AO787" s="511"/>
      <c r="AP787" s="511"/>
      <c r="AQ787" s="511"/>
      <c r="AR787" s="511"/>
      <c r="AS787" s="511"/>
      <c r="AT787" s="511"/>
      <c r="AU787" s="511"/>
      <c r="AV787" s="511"/>
      <c r="AW787" s="511"/>
      <c r="AX787" s="511"/>
      <c r="AY787" s="511"/>
      <c r="AZ787" s="511"/>
      <c r="BA787" s="511"/>
      <c r="BB787" s="511"/>
      <c r="BC787" s="511"/>
      <c r="BD787" s="511"/>
      <c r="BE787" s="511"/>
    </row>
    <row r="788" ht="15.75" customHeight="1">
      <c r="A788" s="511"/>
      <c r="B788" s="511"/>
      <c r="C788" s="511"/>
      <c r="D788" s="511"/>
      <c r="E788" s="511"/>
      <c r="F788" s="511"/>
      <c r="G788" s="511"/>
      <c r="H788" s="511"/>
      <c r="I788" s="511"/>
      <c r="J788" s="511"/>
      <c r="K788" s="511"/>
      <c r="L788" s="511"/>
      <c r="M788" s="511"/>
      <c r="N788" s="511"/>
      <c r="O788" s="511"/>
      <c r="P788" s="511"/>
      <c r="Q788" s="511"/>
      <c r="R788" s="511"/>
      <c r="S788" s="511"/>
      <c r="T788" s="511"/>
      <c r="U788" s="511"/>
      <c r="V788" s="511"/>
      <c r="W788" s="511"/>
      <c r="X788" s="511"/>
      <c r="Y788" s="511"/>
      <c r="Z788" s="511"/>
      <c r="AA788" s="511"/>
      <c r="AB788" s="511"/>
      <c r="AC788" s="511"/>
      <c r="AD788" s="511"/>
      <c r="AE788" s="511"/>
      <c r="AF788" s="511"/>
      <c r="AG788" s="511"/>
      <c r="AH788" s="511"/>
      <c r="AI788" s="511"/>
      <c r="AJ788" s="511"/>
      <c r="AK788" s="511"/>
      <c r="AL788" s="511"/>
      <c r="AM788" s="511"/>
      <c r="AN788" s="511"/>
      <c r="AO788" s="511"/>
      <c r="AP788" s="511"/>
      <c r="AQ788" s="511"/>
      <c r="AR788" s="511"/>
      <c r="AS788" s="511"/>
      <c r="AT788" s="511"/>
      <c r="AU788" s="511"/>
      <c r="AV788" s="511"/>
      <c r="AW788" s="511"/>
      <c r="AX788" s="511"/>
      <c r="AY788" s="511"/>
      <c r="AZ788" s="511"/>
      <c r="BA788" s="511"/>
      <c r="BB788" s="511"/>
      <c r="BC788" s="511"/>
      <c r="BD788" s="511"/>
      <c r="BE788" s="511"/>
    </row>
    <row r="789" ht="15.75" customHeight="1">
      <c r="A789" s="511"/>
      <c r="B789" s="511"/>
      <c r="C789" s="511"/>
      <c r="D789" s="511"/>
      <c r="E789" s="511"/>
      <c r="F789" s="511"/>
      <c r="G789" s="511"/>
      <c r="H789" s="511"/>
      <c r="I789" s="511"/>
      <c r="J789" s="511"/>
      <c r="K789" s="511"/>
      <c r="L789" s="511"/>
      <c r="M789" s="511"/>
      <c r="N789" s="511"/>
      <c r="O789" s="511"/>
      <c r="P789" s="511"/>
      <c r="Q789" s="511"/>
      <c r="R789" s="511"/>
      <c r="S789" s="511"/>
      <c r="T789" s="511"/>
      <c r="U789" s="511"/>
      <c r="V789" s="511"/>
      <c r="W789" s="511"/>
      <c r="X789" s="511"/>
      <c r="Y789" s="511"/>
      <c r="Z789" s="511"/>
      <c r="AA789" s="511"/>
      <c r="AB789" s="511"/>
      <c r="AC789" s="511"/>
      <c r="AD789" s="511"/>
      <c r="AE789" s="511"/>
      <c r="AF789" s="511"/>
      <c r="AG789" s="511"/>
      <c r="AH789" s="511"/>
      <c r="AI789" s="511"/>
      <c r="AJ789" s="511"/>
      <c r="AK789" s="511"/>
      <c r="AL789" s="511"/>
      <c r="AM789" s="511"/>
      <c r="AN789" s="511"/>
      <c r="AO789" s="511"/>
      <c r="AP789" s="511"/>
      <c r="AQ789" s="511"/>
      <c r="AR789" s="511"/>
      <c r="AS789" s="511"/>
      <c r="AT789" s="511"/>
      <c r="AU789" s="511"/>
      <c r="AV789" s="511"/>
      <c r="AW789" s="511"/>
      <c r="AX789" s="511"/>
      <c r="AY789" s="511"/>
      <c r="AZ789" s="511"/>
      <c r="BA789" s="511"/>
      <c r="BB789" s="511"/>
      <c r="BC789" s="511"/>
      <c r="BD789" s="511"/>
      <c r="BE789" s="511"/>
    </row>
    <row r="790" ht="15.75" customHeight="1">
      <c r="A790" s="511"/>
      <c r="B790" s="511"/>
      <c r="C790" s="511"/>
      <c r="D790" s="511"/>
      <c r="E790" s="511"/>
      <c r="F790" s="511"/>
      <c r="G790" s="511"/>
      <c r="H790" s="511"/>
      <c r="I790" s="511"/>
      <c r="J790" s="511"/>
      <c r="K790" s="511"/>
      <c r="L790" s="511"/>
      <c r="M790" s="511"/>
      <c r="N790" s="511"/>
      <c r="O790" s="511"/>
      <c r="P790" s="511"/>
      <c r="Q790" s="511"/>
      <c r="R790" s="511"/>
      <c r="S790" s="511"/>
      <c r="T790" s="511"/>
      <c r="U790" s="511"/>
      <c r="V790" s="511"/>
      <c r="W790" s="511"/>
      <c r="X790" s="511"/>
      <c r="Y790" s="511"/>
      <c r="Z790" s="511"/>
      <c r="AA790" s="511"/>
      <c r="AB790" s="511"/>
      <c r="AC790" s="511"/>
      <c r="AD790" s="511"/>
      <c r="AE790" s="511"/>
      <c r="AF790" s="511"/>
      <c r="AG790" s="511"/>
      <c r="AH790" s="511"/>
      <c r="AI790" s="511"/>
      <c r="AJ790" s="511"/>
      <c r="AK790" s="511"/>
      <c r="AL790" s="511"/>
      <c r="AM790" s="511"/>
      <c r="AN790" s="511"/>
      <c r="AO790" s="511"/>
      <c r="AP790" s="511"/>
      <c r="AQ790" s="511"/>
      <c r="AR790" s="511"/>
      <c r="AS790" s="511"/>
      <c r="AT790" s="511"/>
      <c r="AU790" s="511"/>
      <c r="AV790" s="511"/>
      <c r="AW790" s="511"/>
      <c r="AX790" s="511"/>
      <c r="AY790" s="511"/>
      <c r="AZ790" s="511"/>
      <c r="BA790" s="511"/>
      <c r="BB790" s="511"/>
      <c r="BC790" s="511"/>
      <c r="BD790" s="511"/>
      <c r="BE790" s="511"/>
    </row>
    <row r="791" ht="15.75" customHeight="1">
      <c r="A791" s="511"/>
      <c r="B791" s="511"/>
      <c r="C791" s="511"/>
      <c r="D791" s="511"/>
      <c r="E791" s="511"/>
      <c r="F791" s="511"/>
      <c r="G791" s="511"/>
      <c r="H791" s="511"/>
      <c r="I791" s="511"/>
      <c r="J791" s="511"/>
      <c r="K791" s="511"/>
      <c r="L791" s="511"/>
      <c r="M791" s="511"/>
      <c r="N791" s="511"/>
      <c r="O791" s="511"/>
      <c r="P791" s="511"/>
      <c r="Q791" s="511"/>
      <c r="R791" s="511"/>
      <c r="S791" s="511"/>
      <c r="T791" s="511"/>
      <c r="U791" s="511"/>
      <c r="V791" s="511"/>
      <c r="W791" s="511"/>
      <c r="X791" s="511"/>
      <c r="Y791" s="511"/>
      <c r="Z791" s="511"/>
      <c r="AA791" s="511"/>
      <c r="AB791" s="511"/>
      <c r="AC791" s="511"/>
      <c r="AD791" s="511"/>
      <c r="AE791" s="511"/>
      <c r="AF791" s="511"/>
      <c r="AG791" s="511"/>
      <c r="AH791" s="511"/>
      <c r="AI791" s="511"/>
      <c r="AJ791" s="511"/>
      <c r="AK791" s="511"/>
      <c r="AL791" s="511"/>
      <c r="AM791" s="511"/>
      <c r="AN791" s="511"/>
      <c r="AO791" s="511"/>
      <c r="AP791" s="511"/>
      <c r="AQ791" s="511"/>
      <c r="AR791" s="511"/>
      <c r="AS791" s="511"/>
      <c r="AT791" s="511"/>
      <c r="AU791" s="511"/>
      <c r="AV791" s="511"/>
      <c r="AW791" s="511"/>
      <c r="AX791" s="511"/>
      <c r="AY791" s="511"/>
      <c r="AZ791" s="511"/>
      <c r="BA791" s="511"/>
      <c r="BB791" s="511"/>
      <c r="BC791" s="511"/>
      <c r="BD791" s="511"/>
      <c r="BE791" s="511"/>
    </row>
    <row r="792" ht="15.75" customHeight="1">
      <c r="A792" s="511"/>
      <c r="B792" s="511"/>
      <c r="C792" s="511"/>
      <c r="D792" s="511"/>
      <c r="E792" s="511"/>
      <c r="F792" s="511"/>
      <c r="G792" s="511"/>
      <c r="H792" s="511"/>
      <c r="I792" s="511"/>
      <c r="J792" s="511"/>
      <c r="K792" s="511"/>
      <c r="L792" s="511"/>
      <c r="M792" s="511"/>
      <c r="N792" s="511"/>
      <c r="O792" s="511"/>
      <c r="P792" s="511"/>
      <c r="Q792" s="511"/>
      <c r="R792" s="511"/>
      <c r="S792" s="511"/>
      <c r="T792" s="511"/>
      <c r="U792" s="511"/>
      <c r="V792" s="511"/>
      <c r="W792" s="511"/>
      <c r="X792" s="511"/>
      <c r="Y792" s="511"/>
      <c r="Z792" s="511"/>
      <c r="AA792" s="511"/>
      <c r="AB792" s="511"/>
      <c r="AC792" s="511"/>
      <c r="AD792" s="511"/>
      <c r="AE792" s="511"/>
      <c r="AF792" s="511"/>
      <c r="AG792" s="511"/>
      <c r="AH792" s="511"/>
      <c r="AI792" s="511"/>
      <c r="AJ792" s="511"/>
      <c r="AK792" s="511"/>
      <c r="AL792" s="511"/>
      <c r="AM792" s="511"/>
      <c r="AN792" s="511"/>
      <c r="AO792" s="511"/>
      <c r="AP792" s="511"/>
      <c r="AQ792" s="511"/>
      <c r="AR792" s="511"/>
      <c r="AS792" s="511"/>
      <c r="AT792" s="511"/>
      <c r="AU792" s="511"/>
      <c r="AV792" s="511"/>
      <c r="AW792" s="511"/>
      <c r="AX792" s="511"/>
      <c r="AY792" s="511"/>
      <c r="AZ792" s="511"/>
      <c r="BA792" s="511"/>
      <c r="BB792" s="511"/>
      <c r="BC792" s="511"/>
      <c r="BD792" s="511"/>
      <c r="BE792" s="511"/>
    </row>
    <row r="793" ht="15.75" customHeight="1">
      <c r="A793" s="511"/>
      <c r="B793" s="511"/>
      <c r="C793" s="511"/>
      <c r="D793" s="511"/>
      <c r="E793" s="511"/>
      <c r="F793" s="511"/>
      <c r="G793" s="511"/>
      <c r="H793" s="511"/>
      <c r="I793" s="511"/>
      <c r="J793" s="511"/>
      <c r="K793" s="511"/>
      <c r="L793" s="511"/>
      <c r="M793" s="511"/>
      <c r="N793" s="511"/>
      <c r="O793" s="511"/>
      <c r="P793" s="511"/>
      <c r="Q793" s="511"/>
      <c r="R793" s="511"/>
      <c r="S793" s="511"/>
      <c r="T793" s="511"/>
      <c r="U793" s="511"/>
      <c r="V793" s="511"/>
      <c r="W793" s="511"/>
      <c r="X793" s="511"/>
      <c r="Y793" s="511"/>
      <c r="Z793" s="511"/>
      <c r="AA793" s="511"/>
      <c r="AB793" s="511"/>
      <c r="AC793" s="511"/>
      <c r="AD793" s="511"/>
      <c r="AE793" s="511"/>
      <c r="AF793" s="511"/>
      <c r="AG793" s="511"/>
      <c r="AH793" s="511"/>
      <c r="AI793" s="511"/>
      <c r="AJ793" s="511"/>
      <c r="AK793" s="511"/>
      <c r="AL793" s="511"/>
      <c r="AM793" s="511"/>
      <c r="AN793" s="511"/>
      <c r="AO793" s="511"/>
      <c r="AP793" s="511"/>
      <c r="AQ793" s="511"/>
      <c r="AR793" s="511"/>
      <c r="AS793" s="511"/>
      <c r="AT793" s="511"/>
      <c r="AU793" s="511"/>
      <c r="AV793" s="511"/>
      <c r="AW793" s="511"/>
      <c r="AX793" s="511"/>
      <c r="AY793" s="511"/>
      <c r="AZ793" s="511"/>
      <c r="BA793" s="511"/>
      <c r="BB793" s="511"/>
      <c r="BC793" s="511"/>
      <c r="BD793" s="511"/>
      <c r="BE793" s="511"/>
    </row>
    <row r="794" ht="15.75" customHeight="1">
      <c r="A794" s="511"/>
      <c r="B794" s="511"/>
      <c r="C794" s="511"/>
      <c r="D794" s="511"/>
      <c r="E794" s="511"/>
      <c r="F794" s="511"/>
      <c r="G794" s="511"/>
      <c r="H794" s="511"/>
      <c r="I794" s="511"/>
      <c r="J794" s="511"/>
      <c r="K794" s="511"/>
      <c r="L794" s="511"/>
      <c r="M794" s="511"/>
      <c r="N794" s="511"/>
      <c r="O794" s="511"/>
      <c r="P794" s="511"/>
      <c r="Q794" s="511"/>
      <c r="R794" s="511"/>
      <c r="S794" s="511"/>
      <c r="T794" s="511"/>
      <c r="U794" s="511"/>
      <c r="V794" s="511"/>
      <c r="W794" s="511"/>
      <c r="X794" s="511"/>
      <c r="Y794" s="511"/>
      <c r="Z794" s="511"/>
      <c r="AA794" s="511"/>
      <c r="AB794" s="511"/>
      <c r="AC794" s="511"/>
      <c r="AD794" s="511"/>
      <c r="AE794" s="511"/>
      <c r="AF794" s="511"/>
      <c r="AG794" s="511"/>
      <c r="AH794" s="511"/>
      <c r="AI794" s="511"/>
      <c r="AJ794" s="511"/>
      <c r="AK794" s="511"/>
      <c r="AL794" s="511"/>
      <c r="AM794" s="511"/>
      <c r="AN794" s="511"/>
      <c r="AO794" s="511"/>
      <c r="AP794" s="511"/>
      <c r="AQ794" s="511"/>
      <c r="AR794" s="511"/>
      <c r="AS794" s="511"/>
      <c r="AT794" s="511"/>
      <c r="AU794" s="511"/>
      <c r="AV794" s="511"/>
      <c r="AW794" s="511"/>
      <c r="AX794" s="511"/>
      <c r="AY794" s="511"/>
      <c r="AZ794" s="511"/>
      <c r="BA794" s="511"/>
      <c r="BB794" s="511"/>
      <c r="BC794" s="511"/>
      <c r="BD794" s="511"/>
      <c r="BE794" s="511"/>
    </row>
    <row r="795" ht="15.75" customHeight="1">
      <c r="A795" s="511"/>
      <c r="B795" s="511"/>
      <c r="C795" s="511"/>
      <c r="D795" s="511"/>
      <c r="E795" s="511"/>
      <c r="F795" s="511"/>
      <c r="G795" s="511"/>
      <c r="H795" s="511"/>
      <c r="I795" s="511"/>
      <c r="J795" s="511"/>
      <c r="K795" s="511"/>
      <c r="L795" s="511"/>
      <c r="M795" s="511"/>
      <c r="N795" s="511"/>
      <c r="O795" s="511"/>
      <c r="P795" s="511"/>
      <c r="Q795" s="511"/>
      <c r="R795" s="511"/>
      <c r="S795" s="511"/>
      <c r="T795" s="511"/>
      <c r="U795" s="511"/>
      <c r="V795" s="511"/>
      <c r="W795" s="511"/>
      <c r="X795" s="511"/>
      <c r="Y795" s="511"/>
      <c r="Z795" s="511"/>
      <c r="AA795" s="511"/>
      <c r="AB795" s="511"/>
      <c r="AC795" s="511"/>
      <c r="AD795" s="511"/>
      <c r="AE795" s="511"/>
      <c r="AF795" s="511"/>
      <c r="AG795" s="511"/>
      <c r="AH795" s="511"/>
      <c r="AI795" s="511"/>
      <c r="AJ795" s="511"/>
      <c r="AK795" s="511"/>
      <c r="AL795" s="511"/>
      <c r="AM795" s="511"/>
      <c r="AN795" s="511"/>
      <c r="AO795" s="511"/>
      <c r="AP795" s="511"/>
      <c r="AQ795" s="511"/>
      <c r="AR795" s="511"/>
      <c r="AS795" s="511"/>
      <c r="AT795" s="511"/>
      <c r="AU795" s="511"/>
      <c r="AV795" s="511"/>
      <c r="AW795" s="511"/>
      <c r="AX795" s="511"/>
      <c r="AY795" s="511"/>
      <c r="AZ795" s="511"/>
      <c r="BA795" s="511"/>
      <c r="BB795" s="511"/>
      <c r="BC795" s="511"/>
      <c r="BD795" s="511"/>
      <c r="BE795" s="511"/>
    </row>
    <row r="796" ht="15.75" customHeight="1">
      <c r="A796" s="511"/>
      <c r="B796" s="511"/>
      <c r="C796" s="511"/>
      <c r="D796" s="511"/>
      <c r="E796" s="511"/>
      <c r="F796" s="511"/>
      <c r="G796" s="511"/>
      <c r="H796" s="511"/>
      <c r="I796" s="511"/>
      <c r="J796" s="511"/>
      <c r="K796" s="511"/>
      <c r="L796" s="511"/>
      <c r="M796" s="511"/>
      <c r="N796" s="511"/>
      <c r="O796" s="511"/>
      <c r="P796" s="511"/>
      <c r="Q796" s="511"/>
      <c r="R796" s="511"/>
      <c r="S796" s="511"/>
      <c r="T796" s="511"/>
      <c r="U796" s="511"/>
      <c r="V796" s="511"/>
      <c r="W796" s="511"/>
      <c r="X796" s="511"/>
      <c r="Y796" s="511"/>
      <c r="Z796" s="511"/>
      <c r="AA796" s="511"/>
      <c r="AB796" s="511"/>
      <c r="AC796" s="511"/>
      <c r="AD796" s="511"/>
      <c r="AE796" s="511"/>
      <c r="AF796" s="511"/>
      <c r="AG796" s="511"/>
      <c r="AH796" s="511"/>
      <c r="AI796" s="511"/>
      <c r="AJ796" s="511"/>
      <c r="AK796" s="511"/>
      <c r="AL796" s="511"/>
      <c r="AM796" s="511"/>
      <c r="AN796" s="511"/>
      <c r="AO796" s="511"/>
      <c r="AP796" s="511"/>
      <c r="AQ796" s="511"/>
      <c r="AR796" s="511"/>
      <c r="AS796" s="511"/>
      <c r="AT796" s="511"/>
      <c r="AU796" s="511"/>
      <c r="AV796" s="511"/>
      <c r="AW796" s="511"/>
      <c r="AX796" s="511"/>
      <c r="AY796" s="511"/>
      <c r="AZ796" s="511"/>
      <c r="BA796" s="511"/>
      <c r="BB796" s="511"/>
      <c r="BC796" s="511"/>
      <c r="BD796" s="511"/>
      <c r="BE796" s="511"/>
    </row>
    <row r="797" ht="15.75" customHeight="1">
      <c r="A797" s="511"/>
      <c r="B797" s="511"/>
      <c r="C797" s="511"/>
      <c r="D797" s="511"/>
      <c r="E797" s="511"/>
      <c r="F797" s="511"/>
      <c r="G797" s="511"/>
      <c r="H797" s="511"/>
      <c r="I797" s="511"/>
      <c r="J797" s="511"/>
      <c r="K797" s="511"/>
      <c r="L797" s="511"/>
      <c r="M797" s="511"/>
      <c r="N797" s="511"/>
      <c r="O797" s="511"/>
      <c r="P797" s="511"/>
      <c r="Q797" s="511"/>
      <c r="R797" s="511"/>
      <c r="S797" s="511"/>
      <c r="T797" s="511"/>
      <c r="U797" s="511"/>
      <c r="V797" s="511"/>
      <c r="W797" s="511"/>
      <c r="X797" s="511"/>
      <c r="Y797" s="511"/>
      <c r="Z797" s="511"/>
      <c r="AA797" s="511"/>
      <c r="AB797" s="511"/>
      <c r="AC797" s="511"/>
      <c r="AD797" s="511"/>
      <c r="AE797" s="511"/>
      <c r="AF797" s="511"/>
      <c r="AG797" s="511"/>
      <c r="AH797" s="511"/>
      <c r="AI797" s="511"/>
      <c r="AJ797" s="511"/>
      <c r="AK797" s="511"/>
      <c r="AL797" s="511"/>
      <c r="AM797" s="511"/>
      <c r="AN797" s="511"/>
      <c r="AO797" s="511"/>
      <c r="AP797" s="511"/>
      <c r="AQ797" s="511"/>
      <c r="AR797" s="511"/>
      <c r="AS797" s="511"/>
      <c r="AT797" s="511"/>
      <c r="AU797" s="511"/>
      <c r="AV797" s="511"/>
      <c r="AW797" s="511"/>
      <c r="AX797" s="511"/>
      <c r="AY797" s="511"/>
      <c r="AZ797" s="511"/>
      <c r="BA797" s="511"/>
      <c r="BB797" s="511"/>
      <c r="BC797" s="511"/>
      <c r="BD797" s="511"/>
      <c r="BE797" s="511"/>
    </row>
    <row r="798" ht="15.75" customHeight="1">
      <c r="A798" s="511"/>
      <c r="B798" s="511"/>
      <c r="C798" s="511"/>
      <c r="D798" s="511"/>
      <c r="E798" s="511"/>
      <c r="F798" s="511"/>
      <c r="G798" s="511"/>
      <c r="H798" s="511"/>
      <c r="I798" s="511"/>
      <c r="J798" s="511"/>
      <c r="K798" s="511"/>
      <c r="L798" s="511"/>
      <c r="M798" s="511"/>
      <c r="N798" s="511"/>
      <c r="O798" s="511"/>
      <c r="P798" s="511"/>
      <c r="Q798" s="511"/>
      <c r="R798" s="511"/>
      <c r="S798" s="511"/>
      <c r="T798" s="511"/>
      <c r="U798" s="511"/>
      <c r="V798" s="511"/>
      <c r="W798" s="511"/>
      <c r="X798" s="511"/>
      <c r="Y798" s="511"/>
      <c r="Z798" s="511"/>
      <c r="AA798" s="511"/>
      <c r="AB798" s="511"/>
      <c r="AC798" s="511"/>
      <c r="AD798" s="511"/>
      <c r="AE798" s="511"/>
      <c r="AF798" s="511"/>
      <c r="AG798" s="511"/>
      <c r="AH798" s="511"/>
      <c r="AI798" s="511"/>
      <c r="AJ798" s="511"/>
      <c r="AK798" s="511"/>
      <c r="AL798" s="511"/>
      <c r="AM798" s="511"/>
      <c r="AN798" s="511"/>
      <c r="AO798" s="511"/>
      <c r="AP798" s="511"/>
      <c r="AQ798" s="511"/>
      <c r="AR798" s="511"/>
      <c r="AS798" s="511"/>
      <c r="AT798" s="511"/>
      <c r="AU798" s="511"/>
      <c r="AV798" s="511"/>
      <c r="AW798" s="511"/>
      <c r="AX798" s="511"/>
      <c r="AY798" s="511"/>
      <c r="AZ798" s="511"/>
      <c r="BA798" s="511"/>
      <c r="BB798" s="511"/>
      <c r="BC798" s="511"/>
      <c r="BD798" s="511"/>
      <c r="BE798" s="511"/>
    </row>
    <row r="799" ht="15.75" customHeight="1">
      <c r="A799" s="511"/>
      <c r="B799" s="511"/>
      <c r="C799" s="511"/>
      <c r="D799" s="511"/>
      <c r="E799" s="511"/>
      <c r="F799" s="511"/>
      <c r="G799" s="511"/>
      <c r="H799" s="511"/>
      <c r="I799" s="511"/>
      <c r="J799" s="511"/>
      <c r="K799" s="511"/>
      <c r="L799" s="511"/>
      <c r="M799" s="511"/>
      <c r="N799" s="511"/>
      <c r="O799" s="511"/>
      <c r="P799" s="511"/>
      <c r="Q799" s="511"/>
      <c r="R799" s="511"/>
      <c r="S799" s="511"/>
      <c r="T799" s="511"/>
      <c r="U799" s="511"/>
      <c r="V799" s="511"/>
      <c r="W799" s="511"/>
      <c r="X799" s="511"/>
      <c r="Y799" s="511"/>
      <c r="Z799" s="511"/>
      <c r="AA799" s="511"/>
      <c r="AB799" s="511"/>
      <c r="AC799" s="511"/>
      <c r="AD799" s="511"/>
      <c r="AE799" s="511"/>
      <c r="AF799" s="511"/>
      <c r="AG799" s="511"/>
      <c r="AH799" s="511"/>
      <c r="AI799" s="511"/>
      <c r="AJ799" s="511"/>
      <c r="AK799" s="511"/>
      <c r="AL799" s="511"/>
      <c r="AM799" s="511"/>
      <c r="AN799" s="511"/>
      <c r="AO799" s="511"/>
      <c r="AP799" s="511"/>
      <c r="AQ799" s="511"/>
      <c r="AR799" s="511"/>
      <c r="AS799" s="511"/>
      <c r="AT799" s="511"/>
      <c r="AU799" s="511"/>
      <c r="AV799" s="511"/>
      <c r="AW799" s="511"/>
      <c r="AX799" s="511"/>
      <c r="AY799" s="511"/>
      <c r="AZ799" s="511"/>
      <c r="BA799" s="511"/>
      <c r="BB799" s="511"/>
      <c r="BC799" s="511"/>
      <c r="BD799" s="511"/>
      <c r="BE799" s="511"/>
    </row>
    <row r="800" ht="15.75" customHeight="1">
      <c r="A800" s="511"/>
      <c r="B800" s="511"/>
      <c r="C800" s="511"/>
      <c r="D800" s="511"/>
      <c r="E800" s="511"/>
      <c r="F800" s="511"/>
      <c r="G800" s="511"/>
      <c r="H800" s="511"/>
      <c r="I800" s="511"/>
      <c r="J800" s="511"/>
      <c r="K800" s="511"/>
      <c r="L800" s="511"/>
      <c r="M800" s="511"/>
      <c r="N800" s="511"/>
      <c r="O800" s="511"/>
      <c r="P800" s="511"/>
      <c r="Q800" s="511"/>
      <c r="R800" s="511"/>
      <c r="S800" s="511"/>
      <c r="T800" s="511"/>
      <c r="U800" s="511"/>
      <c r="V800" s="511"/>
      <c r="W800" s="511"/>
      <c r="X800" s="511"/>
      <c r="Y800" s="511"/>
      <c r="Z800" s="511"/>
      <c r="AA800" s="511"/>
      <c r="AB800" s="511"/>
      <c r="AC800" s="511"/>
      <c r="AD800" s="511"/>
      <c r="AE800" s="511"/>
      <c r="AF800" s="511"/>
      <c r="AG800" s="511"/>
      <c r="AH800" s="511"/>
      <c r="AI800" s="511"/>
      <c r="AJ800" s="511"/>
      <c r="AK800" s="511"/>
      <c r="AL800" s="511"/>
      <c r="AM800" s="511"/>
      <c r="AN800" s="511"/>
      <c r="AO800" s="511"/>
      <c r="AP800" s="511"/>
      <c r="AQ800" s="511"/>
      <c r="AR800" s="511"/>
      <c r="AS800" s="511"/>
      <c r="AT800" s="511"/>
      <c r="AU800" s="511"/>
      <c r="AV800" s="511"/>
      <c r="AW800" s="511"/>
      <c r="AX800" s="511"/>
      <c r="AY800" s="511"/>
      <c r="AZ800" s="511"/>
      <c r="BA800" s="511"/>
      <c r="BB800" s="511"/>
      <c r="BC800" s="511"/>
      <c r="BD800" s="511"/>
      <c r="BE800" s="511"/>
    </row>
    <row r="801" ht="15.75" customHeight="1">
      <c r="A801" s="511"/>
      <c r="B801" s="511"/>
      <c r="C801" s="511"/>
      <c r="D801" s="511"/>
      <c r="E801" s="511"/>
      <c r="F801" s="511"/>
      <c r="G801" s="511"/>
      <c r="H801" s="511"/>
      <c r="I801" s="511"/>
      <c r="J801" s="511"/>
      <c r="K801" s="511"/>
      <c r="L801" s="511"/>
      <c r="M801" s="511"/>
      <c r="N801" s="511"/>
      <c r="O801" s="511"/>
      <c r="P801" s="511"/>
      <c r="Q801" s="511"/>
      <c r="R801" s="511"/>
      <c r="S801" s="511"/>
      <c r="T801" s="511"/>
      <c r="U801" s="511"/>
      <c r="V801" s="511"/>
      <c r="W801" s="511"/>
      <c r="X801" s="511"/>
      <c r="Y801" s="511"/>
      <c r="Z801" s="511"/>
      <c r="AA801" s="511"/>
      <c r="AB801" s="511"/>
      <c r="AC801" s="511"/>
      <c r="AD801" s="511"/>
      <c r="AE801" s="511"/>
      <c r="AF801" s="511"/>
      <c r="AG801" s="511"/>
      <c r="AH801" s="511"/>
      <c r="AI801" s="511"/>
      <c r="AJ801" s="511"/>
      <c r="AK801" s="511"/>
      <c r="AL801" s="511"/>
      <c r="AM801" s="511"/>
      <c r="AN801" s="511"/>
      <c r="AO801" s="511"/>
      <c r="AP801" s="511"/>
      <c r="AQ801" s="511"/>
      <c r="AR801" s="511"/>
      <c r="AS801" s="511"/>
      <c r="AT801" s="511"/>
      <c r="AU801" s="511"/>
      <c r="AV801" s="511"/>
      <c r="AW801" s="511"/>
      <c r="AX801" s="511"/>
      <c r="AY801" s="511"/>
      <c r="AZ801" s="511"/>
      <c r="BA801" s="511"/>
      <c r="BB801" s="511"/>
      <c r="BC801" s="511"/>
      <c r="BD801" s="511"/>
      <c r="BE801" s="511"/>
    </row>
    <row r="802" ht="15.75" customHeight="1">
      <c r="A802" s="511"/>
      <c r="B802" s="511"/>
      <c r="C802" s="511"/>
      <c r="D802" s="511"/>
      <c r="E802" s="511"/>
      <c r="F802" s="511"/>
      <c r="G802" s="511"/>
      <c r="H802" s="511"/>
      <c r="I802" s="511"/>
      <c r="J802" s="511"/>
      <c r="K802" s="511"/>
      <c r="L802" s="511"/>
      <c r="M802" s="511"/>
      <c r="N802" s="511"/>
      <c r="O802" s="511"/>
      <c r="P802" s="511"/>
      <c r="Q802" s="511"/>
      <c r="R802" s="511"/>
      <c r="S802" s="511"/>
      <c r="T802" s="511"/>
      <c r="U802" s="511"/>
      <c r="V802" s="511"/>
      <c r="W802" s="511"/>
      <c r="X802" s="511"/>
      <c r="Y802" s="511"/>
      <c r="Z802" s="511"/>
      <c r="AA802" s="511"/>
      <c r="AB802" s="511"/>
      <c r="AC802" s="511"/>
      <c r="AD802" s="511"/>
      <c r="AE802" s="511"/>
      <c r="AF802" s="511"/>
      <c r="AG802" s="511"/>
      <c r="AH802" s="511"/>
      <c r="AI802" s="511"/>
      <c r="AJ802" s="511"/>
      <c r="AK802" s="511"/>
      <c r="AL802" s="511"/>
      <c r="AM802" s="511"/>
      <c r="AN802" s="511"/>
      <c r="AO802" s="511"/>
      <c r="AP802" s="511"/>
      <c r="AQ802" s="511"/>
      <c r="AR802" s="511"/>
      <c r="AS802" s="511"/>
      <c r="AT802" s="511"/>
      <c r="AU802" s="511"/>
      <c r="AV802" s="511"/>
      <c r="AW802" s="511"/>
      <c r="AX802" s="511"/>
      <c r="AY802" s="511"/>
      <c r="AZ802" s="511"/>
      <c r="BA802" s="511"/>
      <c r="BB802" s="511"/>
      <c r="BC802" s="511"/>
      <c r="BD802" s="511"/>
      <c r="BE802" s="511"/>
    </row>
    <row r="803" ht="15.75" customHeight="1">
      <c r="A803" s="511"/>
      <c r="B803" s="511"/>
      <c r="C803" s="511"/>
      <c r="D803" s="511"/>
      <c r="E803" s="511"/>
      <c r="F803" s="511"/>
      <c r="G803" s="511"/>
      <c r="H803" s="511"/>
      <c r="I803" s="511"/>
      <c r="J803" s="511"/>
      <c r="K803" s="511"/>
      <c r="L803" s="511"/>
      <c r="M803" s="511"/>
      <c r="N803" s="511"/>
      <c r="O803" s="511"/>
      <c r="P803" s="511"/>
      <c r="Q803" s="511"/>
      <c r="R803" s="511"/>
      <c r="S803" s="511"/>
      <c r="T803" s="511"/>
      <c r="U803" s="511"/>
      <c r="V803" s="511"/>
      <c r="W803" s="511"/>
      <c r="X803" s="511"/>
      <c r="Y803" s="511"/>
      <c r="Z803" s="511"/>
      <c r="AA803" s="511"/>
      <c r="AB803" s="511"/>
      <c r="AC803" s="511"/>
      <c r="AD803" s="511"/>
      <c r="AE803" s="511"/>
      <c r="AF803" s="511"/>
      <c r="AG803" s="511"/>
      <c r="AH803" s="511"/>
      <c r="AI803" s="511"/>
      <c r="AJ803" s="511"/>
      <c r="AK803" s="511"/>
      <c r="AL803" s="511"/>
      <c r="AM803" s="511"/>
      <c r="AN803" s="511"/>
      <c r="AO803" s="511"/>
      <c r="AP803" s="511"/>
      <c r="AQ803" s="511"/>
      <c r="AR803" s="511"/>
      <c r="AS803" s="511"/>
      <c r="AT803" s="511"/>
      <c r="AU803" s="511"/>
      <c r="AV803" s="511"/>
      <c r="AW803" s="511"/>
      <c r="AX803" s="511"/>
      <c r="AY803" s="511"/>
      <c r="AZ803" s="511"/>
      <c r="BA803" s="511"/>
      <c r="BB803" s="511"/>
      <c r="BC803" s="511"/>
      <c r="BD803" s="511"/>
      <c r="BE803" s="511"/>
    </row>
    <row r="804" ht="15.75" customHeight="1">
      <c r="A804" s="511"/>
      <c r="B804" s="511"/>
      <c r="C804" s="511"/>
      <c r="D804" s="511"/>
      <c r="E804" s="511"/>
      <c r="F804" s="511"/>
      <c r="G804" s="511"/>
      <c r="H804" s="511"/>
      <c r="I804" s="511"/>
      <c r="J804" s="511"/>
      <c r="K804" s="511"/>
      <c r="L804" s="511"/>
      <c r="M804" s="511"/>
      <c r="N804" s="511"/>
      <c r="O804" s="511"/>
      <c r="P804" s="511"/>
      <c r="Q804" s="511"/>
      <c r="R804" s="511"/>
      <c r="S804" s="511"/>
      <c r="T804" s="511"/>
      <c r="U804" s="511"/>
      <c r="V804" s="511"/>
      <c r="W804" s="511"/>
      <c r="X804" s="511"/>
      <c r="Y804" s="511"/>
      <c r="Z804" s="511"/>
      <c r="AA804" s="511"/>
      <c r="AB804" s="511"/>
      <c r="AC804" s="511"/>
      <c r="AD804" s="511"/>
      <c r="AE804" s="511"/>
      <c r="AF804" s="511"/>
      <c r="AG804" s="511"/>
      <c r="AH804" s="511"/>
      <c r="AI804" s="511"/>
      <c r="AJ804" s="511"/>
      <c r="AK804" s="511"/>
      <c r="AL804" s="511"/>
      <c r="AM804" s="511"/>
      <c r="AN804" s="511"/>
      <c r="AO804" s="511"/>
      <c r="AP804" s="511"/>
      <c r="AQ804" s="511"/>
      <c r="AR804" s="511"/>
      <c r="AS804" s="511"/>
      <c r="AT804" s="511"/>
      <c r="AU804" s="511"/>
      <c r="AV804" s="511"/>
      <c r="AW804" s="511"/>
      <c r="AX804" s="511"/>
      <c r="AY804" s="511"/>
      <c r="AZ804" s="511"/>
      <c r="BA804" s="511"/>
      <c r="BB804" s="511"/>
      <c r="BC804" s="511"/>
      <c r="BD804" s="511"/>
      <c r="BE804" s="511"/>
    </row>
    <row r="805" ht="15.75" customHeight="1">
      <c r="A805" s="511"/>
      <c r="B805" s="511"/>
      <c r="C805" s="511"/>
      <c r="D805" s="511"/>
      <c r="E805" s="511"/>
      <c r="F805" s="511"/>
      <c r="G805" s="511"/>
      <c r="H805" s="511"/>
      <c r="I805" s="511"/>
      <c r="J805" s="511"/>
      <c r="K805" s="511"/>
      <c r="L805" s="511"/>
      <c r="M805" s="511"/>
      <c r="N805" s="511"/>
      <c r="O805" s="511"/>
      <c r="P805" s="511"/>
      <c r="Q805" s="511"/>
      <c r="R805" s="511"/>
      <c r="S805" s="511"/>
      <c r="T805" s="511"/>
      <c r="U805" s="511"/>
      <c r="V805" s="511"/>
      <c r="W805" s="511"/>
      <c r="X805" s="511"/>
      <c r="Y805" s="511"/>
      <c r="Z805" s="511"/>
      <c r="AA805" s="511"/>
      <c r="AB805" s="511"/>
      <c r="AC805" s="511"/>
      <c r="AD805" s="511"/>
      <c r="AE805" s="511"/>
      <c r="AF805" s="511"/>
      <c r="AG805" s="511"/>
      <c r="AH805" s="511"/>
      <c r="AI805" s="511"/>
      <c r="AJ805" s="511"/>
      <c r="AK805" s="511"/>
      <c r="AL805" s="511"/>
      <c r="AM805" s="511"/>
      <c r="AN805" s="511"/>
      <c r="AO805" s="511"/>
      <c r="AP805" s="511"/>
      <c r="AQ805" s="511"/>
      <c r="AR805" s="511"/>
      <c r="AS805" s="511"/>
      <c r="AT805" s="511"/>
      <c r="AU805" s="511"/>
      <c r="AV805" s="511"/>
      <c r="AW805" s="511"/>
      <c r="AX805" s="511"/>
      <c r="AY805" s="511"/>
      <c r="AZ805" s="511"/>
      <c r="BA805" s="511"/>
      <c r="BB805" s="511"/>
      <c r="BC805" s="511"/>
      <c r="BD805" s="511"/>
      <c r="BE805" s="511"/>
    </row>
    <row r="806" ht="15.75" customHeight="1">
      <c r="A806" s="511"/>
      <c r="B806" s="511"/>
      <c r="C806" s="511"/>
      <c r="D806" s="511"/>
      <c r="E806" s="511"/>
      <c r="F806" s="511"/>
      <c r="G806" s="511"/>
      <c r="H806" s="511"/>
      <c r="I806" s="511"/>
      <c r="J806" s="511"/>
      <c r="K806" s="511"/>
      <c r="L806" s="511"/>
      <c r="M806" s="511"/>
      <c r="N806" s="511"/>
      <c r="O806" s="511"/>
      <c r="P806" s="511"/>
      <c r="Q806" s="511"/>
      <c r="R806" s="511"/>
      <c r="S806" s="511"/>
      <c r="T806" s="511"/>
      <c r="U806" s="511"/>
      <c r="V806" s="511"/>
      <c r="W806" s="511"/>
      <c r="X806" s="511"/>
      <c r="Y806" s="511"/>
      <c r="Z806" s="511"/>
      <c r="AA806" s="511"/>
      <c r="AB806" s="511"/>
      <c r="AC806" s="511"/>
      <c r="AD806" s="511"/>
      <c r="AE806" s="511"/>
      <c r="AF806" s="511"/>
      <c r="AG806" s="511"/>
      <c r="AH806" s="511"/>
      <c r="AI806" s="511"/>
      <c r="AJ806" s="511"/>
      <c r="AK806" s="511"/>
      <c r="AL806" s="511"/>
      <c r="AM806" s="511"/>
      <c r="AN806" s="511"/>
      <c r="AO806" s="511"/>
      <c r="AP806" s="511"/>
      <c r="AQ806" s="511"/>
      <c r="AR806" s="511"/>
      <c r="AS806" s="511"/>
      <c r="AT806" s="511"/>
      <c r="AU806" s="511"/>
      <c r="AV806" s="511"/>
      <c r="AW806" s="511"/>
      <c r="AX806" s="511"/>
      <c r="AY806" s="511"/>
      <c r="AZ806" s="511"/>
      <c r="BA806" s="511"/>
      <c r="BB806" s="511"/>
      <c r="BC806" s="511"/>
      <c r="BD806" s="511"/>
      <c r="BE806" s="511"/>
    </row>
    <row r="807" ht="15.75" customHeight="1">
      <c r="A807" s="511"/>
      <c r="B807" s="511"/>
      <c r="C807" s="511"/>
      <c r="D807" s="511"/>
      <c r="E807" s="511"/>
      <c r="F807" s="511"/>
      <c r="G807" s="511"/>
      <c r="H807" s="511"/>
      <c r="I807" s="511"/>
      <c r="J807" s="511"/>
      <c r="K807" s="511"/>
      <c r="L807" s="511"/>
      <c r="M807" s="511"/>
      <c r="N807" s="511"/>
      <c r="O807" s="511"/>
      <c r="P807" s="511"/>
      <c r="Q807" s="511"/>
      <c r="R807" s="511"/>
      <c r="S807" s="511"/>
      <c r="T807" s="511"/>
      <c r="U807" s="511"/>
      <c r="V807" s="511"/>
      <c r="W807" s="511"/>
      <c r="X807" s="511"/>
      <c r="Y807" s="511"/>
      <c r="Z807" s="511"/>
      <c r="AA807" s="511"/>
      <c r="AB807" s="511"/>
      <c r="AC807" s="511"/>
      <c r="AD807" s="511"/>
      <c r="AE807" s="511"/>
      <c r="AF807" s="511"/>
      <c r="AG807" s="511"/>
      <c r="AH807" s="511"/>
      <c r="AI807" s="511"/>
      <c r="AJ807" s="511"/>
      <c r="AK807" s="511"/>
      <c r="AL807" s="511"/>
      <c r="AM807" s="511"/>
      <c r="AN807" s="511"/>
      <c r="AO807" s="511"/>
      <c r="AP807" s="511"/>
      <c r="AQ807" s="511"/>
      <c r="AR807" s="511"/>
      <c r="AS807" s="511"/>
      <c r="AT807" s="511"/>
      <c r="AU807" s="511"/>
      <c r="AV807" s="511"/>
      <c r="AW807" s="511"/>
      <c r="AX807" s="511"/>
      <c r="AY807" s="511"/>
      <c r="AZ807" s="511"/>
      <c r="BA807" s="511"/>
      <c r="BB807" s="511"/>
      <c r="BC807" s="511"/>
      <c r="BD807" s="511"/>
      <c r="BE807" s="511"/>
    </row>
    <row r="808" ht="15.75" customHeight="1">
      <c r="A808" s="511"/>
      <c r="B808" s="511"/>
      <c r="C808" s="511"/>
      <c r="D808" s="511"/>
      <c r="E808" s="511"/>
      <c r="F808" s="511"/>
      <c r="G808" s="511"/>
      <c r="H808" s="511"/>
      <c r="I808" s="511"/>
      <c r="J808" s="511"/>
      <c r="K808" s="511"/>
      <c r="L808" s="511"/>
      <c r="M808" s="511"/>
      <c r="N808" s="511"/>
      <c r="O808" s="511"/>
      <c r="P808" s="511"/>
      <c r="Q808" s="511"/>
      <c r="R808" s="511"/>
      <c r="S808" s="511"/>
      <c r="T808" s="511"/>
      <c r="U808" s="511"/>
      <c r="V808" s="511"/>
      <c r="W808" s="511"/>
      <c r="X808" s="511"/>
      <c r="Y808" s="511"/>
      <c r="Z808" s="511"/>
      <c r="AA808" s="511"/>
      <c r="AB808" s="511"/>
      <c r="AC808" s="511"/>
      <c r="AD808" s="511"/>
      <c r="AE808" s="511"/>
      <c r="AF808" s="511"/>
      <c r="AG808" s="511"/>
      <c r="AH808" s="511"/>
      <c r="AI808" s="511"/>
      <c r="AJ808" s="511"/>
      <c r="AK808" s="511"/>
      <c r="AL808" s="511"/>
      <c r="AM808" s="511"/>
      <c r="AN808" s="511"/>
      <c r="AO808" s="511"/>
      <c r="AP808" s="511"/>
      <c r="AQ808" s="511"/>
      <c r="AR808" s="511"/>
      <c r="AS808" s="511"/>
      <c r="AT808" s="511"/>
      <c r="AU808" s="511"/>
      <c r="AV808" s="511"/>
      <c r="AW808" s="511"/>
      <c r="AX808" s="511"/>
      <c r="AY808" s="511"/>
      <c r="AZ808" s="511"/>
      <c r="BA808" s="511"/>
      <c r="BB808" s="511"/>
      <c r="BC808" s="511"/>
      <c r="BD808" s="511"/>
      <c r="BE808" s="511"/>
    </row>
    <row r="809" ht="15.75" customHeight="1">
      <c r="A809" s="511"/>
      <c r="B809" s="511"/>
      <c r="C809" s="511"/>
      <c r="D809" s="511"/>
      <c r="E809" s="511"/>
      <c r="F809" s="511"/>
      <c r="G809" s="511"/>
      <c r="H809" s="511"/>
      <c r="I809" s="511"/>
      <c r="J809" s="511"/>
      <c r="K809" s="511"/>
      <c r="L809" s="511"/>
      <c r="M809" s="511"/>
      <c r="N809" s="511"/>
      <c r="O809" s="511"/>
      <c r="P809" s="511"/>
      <c r="Q809" s="511"/>
      <c r="R809" s="511"/>
      <c r="S809" s="511"/>
      <c r="T809" s="511"/>
      <c r="U809" s="511"/>
      <c r="V809" s="511"/>
      <c r="W809" s="511"/>
      <c r="X809" s="511"/>
      <c r="Y809" s="511"/>
      <c r="Z809" s="511"/>
      <c r="AA809" s="511"/>
      <c r="AB809" s="511"/>
      <c r="AC809" s="511"/>
      <c r="AD809" s="511"/>
      <c r="AE809" s="511"/>
      <c r="AF809" s="511"/>
      <c r="AG809" s="511"/>
      <c r="AH809" s="511"/>
      <c r="AI809" s="511"/>
      <c r="AJ809" s="511"/>
      <c r="AK809" s="511"/>
      <c r="AL809" s="511"/>
      <c r="AM809" s="511"/>
      <c r="AN809" s="511"/>
      <c r="AO809" s="511"/>
      <c r="AP809" s="511"/>
      <c r="AQ809" s="511"/>
      <c r="AR809" s="511"/>
      <c r="AS809" s="511"/>
      <c r="AT809" s="511"/>
      <c r="AU809" s="511"/>
      <c r="AV809" s="511"/>
      <c r="AW809" s="511"/>
      <c r="AX809" s="511"/>
      <c r="AY809" s="511"/>
      <c r="AZ809" s="511"/>
      <c r="BA809" s="511"/>
      <c r="BB809" s="511"/>
      <c r="BC809" s="511"/>
      <c r="BD809" s="511"/>
      <c r="BE809" s="511"/>
    </row>
    <row r="810" ht="15.75" customHeight="1">
      <c r="A810" s="511"/>
      <c r="B810" s="511"/>
      <c r="C810" s="511"/>
      <c r="D810" s="511"/>
      <c r="E810" s="511"/>
      <c r="F810" s="511"/>
      <c r="G810" s="511"/>
      <c r="H810" s="511"/>
      <c r="I810" s="511"/>
      <c r="J810" s="511"/>
      <c r="K810" s="511"/>
      <c r="L810" s="511"/>
      <c r="M810" s="511"/>
      <c r="N810" s="511"/>
      <c r="O810" s="511"/>
      <c r="P810" s="511"/>
      <c r="Q810" s="511"/>
      <c r="R810" s="511"/>
      <c r="S810" s="511"/>
      <c r="T810" s="511"/>
      <c r="U810" s="511"/>
      <c r="V810" s="511"/>
      <c r="W810" s="511"/>
      <c r="X810" s="511"/>
      <c r="Y810" s="511"/>
      <c r="Z810" s="511"/>
      <c r="AA810" s="511"/>
      <c r="AB810" s="511"/>
      <c r="AC810" s="511"/>
      <c r="AD810" s="511"/>
      <c r="AE810" s="511"/>
      <c r="AF810" s="511"/>
      <c r="AG810" s="511"/>
      <c r="AH810" s="511"/>
      <c r="AI810" s="511"/>
      <c r="AJ810" s="511"/>
      <c r="AK810" s="511"/>
      <c r="AL810" s="511"/>
      <c r="AM810" s="511"/>
      <c r="AN810" s="511"/>
      <c r="AO810" s="511"/>
      <c r="AP810" s="511"/>
      <c r="AQ810" s="511"/>
      <c r="AR810" s="511"/>
      <c r="AS810" s="511"/>
      <c r="AT810" s="511"/>
      <c r="AU810" s="511"/>
      <c r="AV810" s="511"/>
      <c r="AW810" s="511"/>
      <c r="AX810" s="511"/>
      <c r="AY810" s="511"/>
      <c r="AZ810" s="511"/>
      <c r="BA810" s="511"/>
      <c r="BB810" s="511"/>
      <c r="BC810" s="511"/>
      <c r="BD810" s="511"/>
      <c r="BE810" s="511"/>
    </row>
    <row r="811" ht="15.75" customHeight="1">
      <c r="A811" s="511"/>
      <c r="B811" s="511"/>
      <c r="C811" s="511"/>
      <c r="D811" s="511"/>
      <c r="E811" s="511"/>
      <c r="F811" s="511"/>
      <c r="G811" s="511"/>
      <c r="H811" s="511"/>
      <c r="I811" s="511"/>
      <c r="J811" s="511"/>
      <c r="K811" s="511"/>
      <c r="L811" s="511"/>
      <c r="M811" s="511"/>
      <c r="N811" s="511"/>
      <c r="O811" s="511"/>
      <c r="P811" s="511"/>
      <c r="Q811" s="511"/>
      <c r="R811" s="511"/>
      <c r="S811" s="511"/>
      <c r="T811" s="511"/>
      <c r="U811" s="511"/>
      <c r="V811" s="511"/>
      <c r="W811" s="511"/>
      <c r="X811" s="511"/>
      <c r="Y811" s="511"/>
      <c r="Z811" s="511"/>
      <c r="AA811" s="511"/>
      <c r="AB811" s="511"/>
      <c r="AC811" s="511"/>
      <c r="AD811" s="511"/>
      <c r="AE811" s="511"/>
      <c r="AF811" s="511"/>
      <c r="AG811" s="511"/>
      <c r="AH811" s="511"/>
      <c r="AI811" s="511"/>
      <c r="AJ811" s="511"/>
      <c r="AK811" s="511"/>
      <c r="AL811" s="511"/>
      <c r="AM811" s="511"/>
      <c r="AN811" s="511"/>
      <c r="AO811" s="511"/>
      <c r="AP811" s="511"/>
      <c r="AQ811" s="511"/>
      <c r="AR811" s="511"/>
      <c r="AS811" s="511"/>
      <c r="AT811" s="511"/>
      <c r="AU811" s="511"/>
      <c r="AV811" s="511"/>
      <c r="AW811" s="511"/>
      <c r="AX811" s="511"/>
      <c r="AY811" s="511"/>
      <c r="AZ811" s="511"/>
      <c r="BA811" s="511"/>
      <c r="BB811" s="511"/>
      <c r="BC811" s="511"/>
      <c r="BD811" s="511"/>
      <c r="BE811" s="511"/>
    </row>
    <row r="812" ht="15.75" customHeight="1">
      <c r="A812" s="511"/>
      <c r="B812" s="511"/>
      <c r="C812" s="511"/>
      <c r="D812" s="511"/>
      <c r="E812" s="511"/>
      <c r="F812" s="511"/>
      <c r="G812" s="511"/>
      <c r="H812" s="511"/>
      <c r="I812" s="511"/>
      <c r="J812" s="511"/>
      <c r="K812" s="511"/>
      <c r="L812" s="511"/>
      <c r="M812" s="511"/>
      <c r="N812" s="511"/>
      <c r="O812" s="511"/>
      <c r="P812" s="511"/>
      <c r="Q812" s="511"/>
      <c r="R812" s="511"/>
      <c r="S812" s="511"/>
      <c r="T812" s="511"/>
      <c r="U812" s="511"/>
      <c r="V812" s="511"/>
      <c r="W812" s="511"/>
      <c r="X812" s="511"/>
      <c r="Y812" s="511"/>
      <c r="Z812" s="511"/>
      <c r="AA812" s="511"/>
      <c r="AB812" s="511"/>
      <c r="AC812" s="511"/>
      <c r="AD812" s="511"/>
      <c r="AE812" s="511"/>
      <c r="AF812" s="511"/>
      <c r="AG812" s="511"/>
      <c r="AH812" s="511"/>
      <c r="AI812" s="511"/>
      <c r="AJ812" s="511"/>
      <c r="AK812" s="511"/>
      <c r="AL812" s="511"/>
      <c r="AM812" s="511"/>
      <c r="AN812" s="511"/>
      <c r="AO812" s="511"/>
      <c r="AP812" s="511"/>
      <c r="AQ812" s="511"/>
      <c r="AR812" s="511"/>
      <c r="AS812" s="511"/>
      <c r="AT812" s="511"/>
      <c r="AU812" s="511"/>
      <c r="AV812" s="511"/>
      <c r="AW812" s="511"/>
      <c r="AX812" s="511"/>
      <c r="AY812" s="511"/>
      <c r="AZ812" s="511"/>
      <c r="BA812" s="511"/>
      <c r="BB812" s="511"/>
      <c r="BC812" s="511"/>
      <c r="BD812" s="511"/>
      <c r="BE812" s="511"/>
    </row>
    <row r="813" ht="15.75" customHeight="1">
      <c r="A813" s="511"/>
      <c r="B813" s="511"/>
      <c r="C813" s="511"/>
      <c r="D813" s="511"/>
      <c r="E813" s="511"/>
      <c r="F813" s="511"/>
      <c r="G813" s="511"/>
      <c r="H813" s="511"/>
      <c r="I813" s="511"/>
      <c r="J813" s="511"/>
      <c r="K813" s="511"/>
      <c r="L813" s="511"/>
      <c r="M813" s="511"/>
      <c r="N813" s="511"/>
      <c r="O813" s="511"/>
      <c r="P813" s="511"/>
      <c r="Q813" s="511"/>
      <c r="R813" s="511"/>
      <c r="S813" s="511"/>
      <c r="T813" s="511"/>
      <c r="U813" s="511"/>
      <c r="V813" s="511"/>
      <c r="W813" s="511"/>
      <c r="X813" s="511"/>
      <c r="Y813" s="511"/>
      <c r="Z813" s="511"/>
      <c r="AA813" s="511"/>
      <c r="AB813" s="511"/>
      <c r="AC813" s="511"/>
      <c r="AD813" s="511"/>
      <c r="AE813" s="511"/>
      <c r="AF813" s="511"/>
      <c r="AG813" s="511"/>
      <c r="AH813" s="511"/>
      <c r="AI813" s="511"/>
      <c r="AJ813" s="511"/>
      <c r="AK813" s="511"/>
      <c r="AL813" s="511"/>
      <c r="AM813" s="511"/>
      <c r="AN813" s="511"/>
      <c r="AO813" s="511"/>
      <c r="AP813" s="511"/>
      <c r="AQ813" s="511"/>
      <c r="AR813" s="511"/>
      <c r="AS813" s="511"/>
      <c r="AT813" s="511"/>
      <c r="AU813" s="511"/>
      <c r="AV813" s="511"/>
      <c r="AW813" s="511"/>
      <c r="AX813" s="511"/>
      <c r="AY813" s="511"/>
      <c r="AZ813" s="511"/>
      <c r="BA813" s="511"/>
      <c r="BB813" s="511"/>
      <c r="BC813" s="511"/>
      <c r="BD813" s="511"/>
      <c r="BE813" s="511"/>
    </row>
    <row r="814" ht="15.75" customHeight="1">
      <c r="A814" s="511"/>
      <c r="B814" s="511"/>
      <c r="C814" s="511"/>
      <c r="D814" s="511"/>
      <c r="E814" s="511"/>
      <c r="F814" s="511"/>
      <c r="G814" s="511"/>
      <c r="H814" s="511"/>
      <c r="I814" s="511"/>
      <c r="J814" s="511"/>
      <c r="K814" s="511"/>
      <c r="L814" s="511"/>
      <c r="M814" s="511"/>
      <c r="N814" s="511"/>
      <c r="O814" s="511"/>
      <c r="P814" s="511"/>
      <c r="Q814" s="511"/>
      <c r="R814" s="511"/>
      <c r="S814" s="511"/>
      <c r="T814" s="511"/>
      <c r="U814" s="511"/>
      <c r="V814" s="511"/>
      <c r="W814" s="511"/>
      <c r="X814" s="511"/>
      <c r="Y814" s="511"/>
      <c r="Z814" s="511"/>
      <c r="AA814" s="511"/>
      <c r="AB814" s="511"/>
      <c r="AC814" s="511"/>
      <c r="AD814" s="511"/>
      <c r="AE814" s="511"/>
      <c r="AF814" s="511"/>
      <c r="AG814" s="511"/>
      <c r="AH814" s="511"/>
      <c r="AI814" s="511"/>
      <c r="AJ814" s="511"/>
      <c r="AK814" s="511"/>
      <c r="AL814" s="511"/>
      <c r="AM814" s="511"/>
      <c r="AN814" s="511"/>
      <c r="AO814" s="511"/>
      <c r="AP814" s="511"/>
      <c r="AQ814" s="511"/>
      <c r="AR814" s="511"/>
      <c r="AS814" s="511"/>
      <c r="AT814" s="511"/>
      <c r="AU814" s="511"/>
      <c r="AV814" s="511"/>
      <c r="AW814" s="511"/>
      <c r="AX814" s="511"/>
      <c r="AY814" s="511"/>
      <c r="AZ814" s="511"/>
      <c r="BA814" s="511"/>
      <c r="BB814" s="511"/>
      <c r="BC814" s="511"/>
      <c r="BD814" s="511"/>
      <c r="BE814" s="511"/>
    </row>
    <row r="815" ht="15.75" customHeight="1">
      <c r="A815" s="511"/>
      <c r="B815" s="511"/>
      <c r="C815" s="511"/>
      <c r="D815" s="511"/>
      <c r="E815" s="511"/>
      <c r="F815" s="511"/>
      <c r="G815" s="511"/>
      <c r="H815" s="511"/>
      <c r="I815" s="511"/>
      <c r="J815" s="511"/>
      <c r="K815" s="511"/>
      <c r="L815" s="511"/>
      <c r="M815" s="511"/>
      <c r="N815" s="511"/>
      <c r="O815" s="511"/>
      <c r="P815" s="511"/>
      <c r="Q815" s="511"/>
      <c r="R815" s="511"/>
      <c r="S815" s="511"/>
      <c r="T815" s="511"/>
      <c r="U815" s="511"/>
      <c r="V815" s="511"/>
      <c r="W815" s="511"/>
      <c r="X815" s="511"/>
      <c r="Y815" s="511"/>
      <c r="Z815" s="511"/>
      <c r="AA815" s="511"/>
      <c r="AB815" s="511"/>
      <c r="AC815" s="511"/>
      <c r="AD815" s="511"/>
      <c r="AE815" s="511"/>
      <c r="AF815" s="511"/>
      <c r="AG815" s="511"/>
      <c r="AH815" s="511"/>
      <c r="AI815" s="511"/>
      <c r="AJ815" s="511"/>
      <c r="AK815" s="511"/>
      <c r="AL815" s="511"/>
      <c r="AM815" s="511"/>
      <c r="AN815" s="511"/>
      <c r="AO815" s="511"/>
      <c r="AP815" s="511"/>
      <c r="AQ815" s="511"/>
      <c r="AR815" s="511"/>
      <c r="AS815" s="511"/>
      <c r="AT815" s="511"/>
      <c r="AU815" s="511"/>
      <c r="AV815" s="511"/>
      <c r="AW815" s="511"/>
      <c r="AX815" s="511"/>
      <c r="AY815" s="511"/>
      <c r="AZ815" s="511"/>
      <c r="BA815" s="511"/>
      <c r="BB815" s="511"/>
      <c r="BC815" s="511"/>
      <c r="BD815" s="511"/>
      <c r="BE815" s="511"/>
    </row>
    <row r="816" ht="15.75" customHeight="1">
      <c r="A816" s="511"/>
      <c r="B816" s="511"/>
      <c r="C816" s="511"/>
      <c r="D816" s="511"/>
      <c r="E816" s="511"/>
      <c r="F816" s="511"/>
      <c r="G816" s="511"/>
      <c r="H816" s="511"/>
      <c r="I816" s="511"/>
      <c r="J816" s="511"/>
      <c r="K816" s="511"/>
      <c r="L816" s="511"/>
      <c r="M816" s="511"/>
      <c r="N816" s="511"/>
      <c r="O816" s="511"/>
      <c r="P816" s="511"/>
      <c r="Q816" s="511"/>
      <c r="R816" s="511"/>
      <c r="S816" s="511"/>
      <c r="T816" s="511"/>
      <c r="U816" s="511"/>
      <c r="V816" s="511"/>
      <c r="W816" s="511"/>
      <c r="X816" s="511"/>
      <c r="Y816" s="511"/>
      <c r="Z816" s="511"/>
      <c r="AA816" s="511"/>
      <c r="AB816" s="511"/>
      <c r="AC816" s="511"/>
      <c r="AD816" s="511"/>
      <c r="AE816" s="511"/>
      <c r="AF816" s="511"/>
      <c r="AG816" s="511"/>
      <c r="AH816" s="511"/>
      <c r="AI816" s="511"/>
      <c r="AJ816" s="511"/>
      <c r="AK816" s="511"/>
      <c r="AL816" s="511"/>
      <c r="AM816" s="511"/>
      <c r="AN816" s="511"/>
      <c r="AO816" s="511"/>
      <c r="AP816" s="511"/>
      <c r="AQ816" s="511"/>
      <c r="AR816" s="511"/>
      <c r="AS816" s="511"/>
      <c r="AT816" s="511"/>
      <c r="AU816" s="511"/>
      <c r="AV816" s="511"/>
      <c r="AW816" s="511"/>
      <c r="AX816" s="511"/>
      <c r="AY816" s="511"/>
      <c r="AZ816" s="511"/>
      <c r="BA816" s="511"/>
      <c r="BB816" s="511"/>
      <c r="BC816" s="511"/>
      <c r="BD816" s="511"/>
      <c r="BE816" s="511"/>
    </row>
    <row r="817" ht="15.75" customHeight="1">
      <c r="A817" s="511"/>
      <c r="B817" s="511"/>
      <c r="C817" s="511"/>
      <c r="D817" s="511"/>
      <c r="E817" s="511"/>
      <c r="F817" s="511"/>
      <c r="G817" s="511"/>
      <c r="H817" s="511"/>
      <c r="I817" s="511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  <c r="AB817" s="511"/>
      <c r="AC817" s="511"/>
      <c r="AD817" s="511"/>
      <c r="AE817" s="511"/>
      <c r="AF817" s="511"/>
      <c r="AG817" s="511"/>
      <c r="AH817" s="511"/>
      <c r="AI817" s="511"/>
      <c r="AJ817" s="511"/>
      <c r="AK817" s="511"/>
      <c r="AL817" s="511"/>
      <c r="AM817" s="511"/>
      <c r="AN817" s="511"/>
      <c r="AO817" s="511"/>
      <c r="AP817" s="511"/>
      <c r="AQ817" s="511"/>
      <c r="AR817" s="511"/>
      <c r="AS817" s="511"/>
      <c r="AT817" s="511"/>
      <c r="AU817" s="511"/>
      <c r="AV817" s="511"/>
      <c r="AW817" s="511"/>
      <c r="AX817" s="511"/>
      <c r="AY817" s="511"/>
      <c r="AZ817" s="511"/>
      <c r="BA817" s="511"/>
      <c r="BB817" s="511"/>
      <c r="BC817" s="511"/>
      <c r="BD817" s="511"/>
      <c r="BE817" s="511"/>
    </row>
    <row r="818" ht="15.75" customHeight="1">
      <c r="A818" s="511"/>
      <c r="B818" s="511"/>
      <c r="C818" s="511"/>
      <c r="D818" s="511"/>
      <c r="E818" s="511"/>
      <c r="F818" s="511"/>
      <c r="G818" s="511"/>
      <c r="H818" s="511"/>
      <c r="I818" s="511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  <c r="AB818" s="511"/>
      <c r="AC818" s="511"/>
      <c r="AD818" s="511"/>
      <c r="AE818" s="511"/>
      <c r="AF818" s="511"/>
      <c r="AG818" s="511"/>
      <c r="AH818" s="511"/>
      <c r="AI818" s="511"/>
      <c r="AJ818" s="511"/>
      <c r="AK818" s="511"/>
      <c r="AL818" s="511"/>
      <c r="AM818" s="511"/>
      <c r="AN818" s="511"/>
      <c r="AO818" s="511"/>
      <c r="AP818" s="511"/>
      <c r="AQ818" s="511"/>
      <c r="AR818" s="511"/>
      <c r="AS818" s="511"/>
      <c r="AT818" s="511"/>
      <c r="AU818" s="511"/>
      <c r="AV818" s="511"/>
      <c r="AW818" s="511"/>
      <c r="AX818" s="511"/>
      <c r="AY818" s="511"/>
      <c r="AZ818" s="511"/>
      <c r="BA818" s="511"/>
      <c r="BB818" s="511"/>
      <c r="BC818" s="511"/>
      <c r="BD818" s="511"/>
      <c r="BE818" s="511"/>
    </row>
    <row r="819" ht="15.75" customHeight="1">
      <c r="A819" s="511"/>
      <c r="B819" s="511"/>
      <c r="C819" s="511"/>
      <c r="D819" s="511"/>
      <c r="E819" s="511"/>
      <c r="F819" s="511"/>
      <c r="G819" s="511"/>
      <c r="H819" s="511"/>
      <c r="I819" s="511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  <c r="AB819" s="511"/>
      <c r="AC819" s="511"/>
      <c r="AD819" s="511"/>
      <c r="AE819" s="511"/>
      <c r="AF819" s="511"/>
      <c r="AG819" s="511"/>
      <c r="AH819" s="511"/>
      <c r="AI819" s="511"/>
      <c r="AJ819" s="511"/>
      <c r="AK819" s="511"/>
      <c r="AL819" s="511"/>
      <c r="AM819" s="511"/>
      <c r="AN819" s="511"/>
      <c r="AO819" s="511"/>
      <c r="AP819" s="511"/>
      <c r="AQ819" s="511"/>
      <c r="AR819" s="511"/>
      <c r="AS819" s="511"/>
      <c r="AT819" s="511"/>
      <c r="AU819" s="511"/>
      <c r="AV819" s="511"/>
      <c r="AW819" s="511"/>
      <c r="AX819" s="511"/>
      <c r="AY819" s="511"/>
      <c r="AZ819" s="511"/>
      <c r="BA819" s="511"/>
      <c r="BB819" s="511"/>
      <c r="BC819" s="511"/>
      <c r="BD819" s="511"/>
      <c r="BE819" s="511"/>
    </row>
    <row r="820" ht="15.75" customHeight="1">
      <c r="A820" s="511"/>
      <c r="B820" s="511"/>
      <c r="C820" s="511"/>
      <c r="D820" s="511"/>
      <c r="E820" s="511"/>
      <c r="F820" s="511"/>
      <c r="G820" s="511"/>
      <c r="H820" s="511"/>
      <c r="I820" s="511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  <c r="AB820" s="511"/>
      <c r="AC820" s="511"/>
      <c r="AD820" s="511"/>
      <c r="AE820" s="511"/>
      <c r="AF820" s="511"/>
      <c r="AG820" s="511"/>
      <c r="AH820" s="511"/>
      <c r="AI820" s="511"/>
      <c r="AJ820" s="511"/>
      <c r="AK820" s="511"/>
      <c r="AL820" s="511"/>
      <c r="AM820" s="511"/>
      <c r="AN820" s="511"/>
      <c r="AO820" s="511"/>
      <c r="AP820" s="511"/>
      <c r="AQ820" s="511"/>
      <c r="AR820" s="511"/>
      <c r="AS820" s="511"/>
      <c r="AT820" s="511"/>
      <c r="AU820" s="511"/>
      <c r="AV820" s="511"/>
      <c r="AW820" s="511"/>
      <c r="AX820" s="511"/>
      <c r="AY820" s="511"/>
      <c r="AZ820" s="511"/>
      <c r="BA820" s="511"/>
      <c r="BB820" s="511"/>
      <c r="BC820" s="511"/>
      <c r="BD820" s="511"/>
      <c r="BE820" s="511"/>
    </row>
    <row r="821" ht="15.75" customHeight="1">
      <c r="A821" s="511"/>
      <c r="B821" s="511"/>
      <c r="C821" s="511"/>
      <c r="D821" s="511"/>
      <c r="E821" s="511"/>
      <c r="F821" s="511"/>
      <c r="G821" s="511"/>
      <c r="H821" s="511"/>
      <c r="I821" s="511"/>
      <c r="J821" s="511"/>
      <c r="K821" s="511"/>
      <c r="L821" s="511"/>
      <c r="M821" s="511"/>
      <c r="N821" s="511"/>
      <c r="O821" s="511"/>
      <c r="P821" s="511"/>
      <c r="Q821" s="511"/>
      <c r="R821" s="511"/>
      <c r="S821" s="511"/>
      <c r="T821" s="511"/>
      <c r="U821" s="511"/>
      <c r="V821" s="511"/>
      <c r="W821" s="511"/>
      <c r="X821" s="511"/>
      <c r="Y821" s="511"/>
      <c r="Z821" s="511"/>
      <c r="AA821" s="511"/>
      <c r="AB821" s="511"/>
      <c r="AC821" s="511"/>
      <c r="AD821" s="511"/>
      <c r="AE821" s="511"/>
      <c r="AF821" s="511"/>
      <c r="AG821" s="511"/>
      <c r="AH821" s="511"/>
      <c r="AI821" s="511"/>
      <c r="AJ821" s="511"/>
      <c r="AK821" s="511"/>
      <c r="AL821" s="511"/>
      <c r="AM821" s="511"/>
      <c r="AN821" s="511"/>
      <c r="AO821" s="511"/>
      <c r="AP821" s="511"/>
      <c r="AQ821" s="511"/>
      <c r="AR821" s="511"/>
      <c r="AS821" s="511"/>
      <c r="AT821" s="511"/>
      <c r="AU821" s="511"/>
      <c r="AV821" s="511"/>
      <c r="AW821" s="511"/>
      <c r="AX821" s="511"/>
      <c r="AY821" s="511"/>
      <c r="AZ821" s="511"/>
      <c r="BA821" s="511"/>
      <c r="BB821" s="511"/>
      <c r="BC821" s="511"/>
      <c r="BD821" s="511"/>
      <c r="BE821" s="511"/>
    </row>
    <row r="822" ht="15.75" customHeight="1">
      <c r="A822" s="511"/>
      <c r="B822" s="511"/>
      <c r="C822" s="511"/>
      <c r="D822" s="511"/>
      <c r="E822" s="511"/>
      <c r="F822" s="511"/>
      <c r="G822" s="511"/>
      <c r="H822" s="511"/>
      <c r="I822" s="511"/>
      <c r="J822" s="511"/>
      <c r="K822" s="511"/>
      <c r="L822" s="511"/>
      <c r="M822" s="511"/>
      <c r="N822" s="511"/>
      <c r="O822" s="511"/>
      <c r="P822" s="511"/>
      <c r="Q822" s="511"/>
      <c r="R822" s="511"/>
      <c r="S822" s="511"/>
      <c r="T822" s="511"/>
      <c r="U822" s="511"/>
      <c r="V822" s="511"/>
      <c r="W822" s="511"/>
      <c r="X822" s="511"/>
      <c r="Y822" s="511"/>
      <c r="Z822" s="511"/>
      <c r="AA822" s="511"/>
      <c r="AB822" s="511"/>
      <c r="AC822" s="511"/>
      <c r="AD822" s="511"/>
      <c r="AE822" s="511"/>
      <c r="AF822" s="511"/>
      <c r="AG822" s="511"/>
      <c r="AH822" s="511"/>
      <c r="AI822" s="511"/>
      <c r="AJ822" s="511"/>
      <c r="AK822" s="511"/>
      <c r="AL822" s="511"/>
      <c r="AM822" s="511"/>
      <c r="AN822" s="511"/>
      <c r="AO822" s="511"/>
      <c r="AP822" s="511"/>
      <c r="AQ822" s="511"/>
      <c r="AR822" s="511"/>
      <c r="AS822" s="511"/>
      <c r="AT822" s="511"/>
      <c r="AU822" s="511"/>
      <c r="AV822" s="511"/>
      <c r="AW822" s="511"/>
      <c r="AX822" s="511"/>
      <c r="AY822" s="511"/>
      <c r="AZ822" s="511"/>
      <c r="BA822" s="511"/>
      <c r="BB822" s="511"/>
      <c r="BC822" s="511"/>
      <c r="BD822" s="511"/>
      <c r="BE822" s="511"/>
    </row>
    <row r="823" ht="15.75" customHeight="1">
      <c r="A823" s="511"/>
      <c r="B823" s="511"/>
      <c r="C823" s="511"/>
      <c r="D823" s="511"/>
      <c r="E823" s="511"/>
      <c r="F823" s="511"/>
      <c r="G823" s="511"/>
      <c r="H823" s="511"/>
      <c r="I823" s="511"/>
      <c r="J823" s="511"/>
      <c r="K823" s="511"/>
      <c r="L823" s="511"/>
      <c r="M823" s="511"/>
      <c r="N823" s="511"/>
      <c r="O823" s="511"/>
      <c r="P823" s="511"/>
      <c r="Q823" s="511"/>
      <c r="R823" s="511"/>
      <c r="S823" s="511"/>
      <c r="T823" s="511"/>
      <c r="U823" s="511"/>
      <c r="V823" s="511"/>
      <c r="W823" s="511"/>
      <c r="X823" s="511"/>
      <c r="Y823" s="511"/>
      <c r="Z823" s="511"/>
      <c r="AA823" s="511"/>
      <c r="AB823" s="511"/>
      <c r="AC823" s="511"/>
      <c r="AD823" s="511"/>
      <c r="AE823" s="511"/>
      <c r="AF823" s="511"/>
      <c r="AG823" s="511"/>
      <c r="AH823" s="511"/>
      <c r="AI823" s="511"/>
      <c r="AJ823" s="511"/>
      <c r="AK823" s="511"/>
      <c r="AL823" s="511"/>
      <c r="AM823" s="511"/>
      <c r="AN823" s="511"/>
      <c r="AO823" s="511"/>
      <c r="AP823" s="511"/>
      <c r="AQ823" s="511"/>
      <c r="AR823" s="511"/>
      <c r="AS823" s="511"/>
      <c r="AT823" s="511"/>
      <c r="AU823" s="511"/>
      <c r="AV823" s="511"/>
      <c r="AW823" s="511"/>
      <c r="AX823" s="511"/>
      <c r="AY823" s="511"/>
      <c r="AZ823" s="511"/>
      <c r="BA823" s="511"/>
      <c r="BB823" s="511"/>
      <c r="BC823" s="511"/>
      <c r="BD823" s="511"/>
      <c r="BE823" s="511"/>
    </row>
    <row r="824" ht="15.75" customHeight="1">
      <c r="A824" s="511"/>
      <c r="B824" s="511"/>
      <c r="C824" s="511"/>
      <c r="D824" s="511"/>
      <c r="E824" s="511"/>
      <c r="F824" s="511"/>
      <c r="G824" s="511"/>
      <c r="H824" s="511"/>
      <c r="I824" s="511"/>
      <c r="J824" s="511"/>
      <c r="K824" s="511"/>
      <c r="L824" s="511"/>
      <c r="M824" s="511"/>
      <c r="N824" s="511"/>
      <c r="O824" s="511"/>
      <c r="P824" s="511"/>
      <c r="Q824" s="511"/>
      <c r="R824" s="511"/>
      <c r="S824" s="511"/>
      <c r="T824" s="511"/>
      <c r="U824" s="511"/>
      <c r="V824" s="511"/>
      <c r="W824" s="511"/>
      <c r="X824" s="511"/>
      <c r="Y824" s="511"/>
      <c r="Z824" s="511"/>
      <c r="AA824" s="511"/>
      <c r="AB824" s="511"/>
      <c r="AC824" s="511"/>
      <c r="AD824" s="511"/>
      <c r="AE824" s="511"/>
      <c r="AF824" s="511"/>
      <c r="AG824" s="511"/>
      <c r="AH824" s="511"/>
      <c r="AI824" s="511"/>
      <c r="AJ824" s="511"/>
      <c r="AK824" s="511"/>
      <c r="AL824" s="511"/>
      <c r="AM824" s="511"/>
      <c r="AN824" s="511"/>
      <c r="AO824" s="511"/>
      <c r="AP824" s="511"/>
      <c r="AQ824" s="511"/>
      <c r="AR824" s="511"/>
      <c r="AS824" s="511"/>
      <c r="AT824" s="511"/>
      <c r="AU824" s="511"/>
      <c r="AV824" s="511"/>
      <c r="AW824" s="511"/>
      <c r="AX824" s="511"/>
      <c r="AY824" s="511"/>
      <c r="AZ824" s="511"/>
      <c r="BA824" s="511"/>
      <c r="BB824" s="511"/>
      <c r="BC824" s="511"/>
      <c r="BD824" s="511"/>
      <c r="BE824" s="511"/>
    </row>
    <row r="825" ht="15.75" customHeight="1">
      <c r="A825" s="511"/>
      <c r="B825" s="511"/>
      <c r="C825" s="511"/>
      <c r="D825" s="511"/>
      <c r="E825" s="511"/>
      <c r="F825" s="511"/>
      <c r="G825" s="511"/>
      <c r="H825" s="511"/>
      <c r="I825" s="511"/>
      <c r="J825" s="511"/>
      <c r="K825" s="511"/>
      <c r="L825" s="511"/>
      <c r="M825" s="511"/>
      <c r="N825" s="511"/>
      <c r="O825" s="511"/>
      <c r="P825" s="511"/>
      <c r="Q825" s="511"/>
      <c r="R825" s="511"/>
      <c r="S825" s="511"/>
      <c r="T825" s="511"/>
      <c r="U825" s="511"/>
      <c r="V825" s="511"/>
      <c r="W825" s="511"/>
      <c r="X825" s="511"/>
      <c r="Y825" s="511"/>
      <c r="Z825" s="511"/>
      <c r="AA825" s="511"/>
      <c r="AB825" s="511"/>
      <c r="AC825" s="511"/>
      <c r="AD825" s="511"/>
      <c r="AE825" s="511"/>
      <c r="AF825" s="511"/>
      <c r="AG825" s="511"/>
      <c r="AH825" s="511"/>
      <c r="AI825" s="511"/>
      <c r="AJ825" s="511"/>
      <c r="AK825" s="511"/>
      <c r="AL825" s="511"/>
      <c r="AM825" s="511"/>
      <c r="AN825" s="511"/>
      <c r="AO825" s="511"/>
      <c r="AP825" s="511"/>
      <c r="AQ825" s="511"/>
      <c r="AR825" s="511"/>
      <c r="AS825" s="511"/>
      <c r="AT825" s="511"/>
      <c r="AU825" s="511"/>
      <c r="AV825" s="511"/>
      <c r="AW825" s="511"/>
      <c r="AX825" s="511"/>
      <c r="AY825" s="511"/>
      <c r="AZ825" s="511"/>
      <c r="BA825" s="511"/>
      <c r="BB825" s="511"/>
      <c r="BC825" s="511"/>
      <c r="BD825" s="511"/>
      <c r="BE825" s="511"/>
    </row>
    <row r="826" ht="15.75" customHeight="1">
      <c r="A826" s="511"/>
      <c r="B826" s="511"/>
      <c r="C826" s="511"/>
      <c r="D826" s="511"/>
      <c r="E826" s="511"/>
      <c r="F826" s="511"/>
      <c r="G826" s="511"/>
      <c r="H826" s="511"/>
      <c r="I826" s="511"/>
      <c r="J826" s="511"/>
      <c r="K826" s="511"/>
      <c r="L826" s="511"/>
      <c r="M826" s="511"/>
      <c r="N826" s="511"/>
      <c r="O826" s="511"/>
      <c r="P826" s="511"/>
      <c r="Q826" s="511"/>
      <c r="R826" s="511"/>
      <c r="S826" s="511"/>
      <c r="T826" s="511"/>
      <c r="U826" s="511"/>
      <c r="V826" s="511"/>
      <c r="W826" s="511"/>
      <c r="X826" s="511"/>
      <c r="Y826" s="511"/>
      <c r="Z826" s="511"/>
      <c r="AA826" s="511"/>
      <c r="AB826" s="511"/>
      <c r="AC826" s="511"/>
      <c r="AD826" s="511"/>
      <c r="AE826" s="511"/>
      <c r="AF826" s="511"/>
      <c r="AG826" s="511"/>
      <c r="AH826" s="511"/>
      <c r="AI826" s="511"/>
      <c r="AJ826" s="511"/>
      <c r="AK826" s="511"/>
      <c r="AL826" s="511"/>
      <c r="AM826" s="511"/>
      <c r="AN826" s="511"/>
      <c r="AO826" s="511"/>
      <c r="AP826" s="511"/>
      <c r="AQ826" s="511"/>
      <c r="AR826" s="511"/>
      <c r="AS826" s="511"/>
      <c r="AT826" s="511"/>
      <c r="AU826" s="511"/>
      <c r="AV826" s="511"/>
      <c r="AW826" s="511"/>
      <c r="AX826" s="511"/>
      <c r="AY826" s="511"/>
      <c r="AZ826" s="511"/>
      <c r="BA826" s="511"/>
      <c r="BB826" s="511"/>
      <c r="BC826" s="511"/>
      <c r="BD826" s="511"/>
      <c r="BE826" s="511"/>
    </row>
    <row r="827" ht="15.75" customHeight="1">
      <c r="A827" s="511"/>
      <c r="B827" s="511"/>
      <c r="C827" s="511"/>
      <c r="D827" s="511"/>
      <c r="E827" s="511"/>
      <c r="F827" s="511"/>
      <c r="G827" s="511"/>
      <c r="H827" s="511"/>
      <c r="I827" s="511"/>
      <c r="J827" s="511"/>
      <c r="K827" s="511"/>
      <c r="L827" s="511"/>
      <c r="M827" s="511"/>
      <c r="N827" s="511"/>
      <c r="O827" s="511"/>
      <c r="P827" s="511"/>
      <c r="Q827" s="511"/>
      <c r="R827" s="511"/>
      <c r="S827" s="511"/>
      <c r="T827" s="511"/>
      <c r="U827" s="511"/>
      <c r="V827" s="511"/>
      <c r="W827" s="511"/>
      <c r="X827" s="511"/>
      <c r="Y827" s="511"/>
      <c r="Z827" s="511"/>
      <c r="AA827" s="511"/>
      <c r="AB827" s="511"/>
      <c r="AC827" s="511"/>
      <c r="AD827" s="511"/>
      <c r="AE827" s="511"/>
      <c r="AF827" s="511"/>
      <c r="AG827" s="511"/>
      <c r="AH827" s="511"/>
      <c r="AI827" s="511"/>
      <c r="AJ827" s="511"/>
      <c r="AK827" s="511"/>
      <c r="AL827" s="511"/>
      <c r="AM827" s="511"/>
      <c r="AN827" s="511"/>
      <c r="AO827" s="511"/>
      <c r="AP827" s="511"/>
      <c r="AQ827" s="511"/>
      <c r="AR827" s="511"/>
      <c r="AS827" s="511"/>
      <c r="AT827" s="511"/>
      <c r="AU827" s="511"/>
      <c r="AV827" s="511"/>
      <c r="AW827" s="511"/>
      <c r="AX827" s="511"/>
      <c r="AY827" s="511"/>
      <c r="AZ827" s="511"/>
      <c r="BA827" s="511"/>
      <c r="BB827" s="511"/>
      <c r="BC827" s="511"/>
      <c r="BD827" s="511"/>
      <c r="BE827" s="511"/>
    </row>
    <row r="828" ht="15.75" customHeight="1">
      <c r="A828" s="511"/>
      <c r="B828" s="511"/>
      <c r="C828" s="511"/>
      <c r="D828" s="511"/>
      <c r="E828" s="511"/>
      <c r="F828" s="511"/>
      <c r="G828" s="511"/>
      <c r="H828" s="511"/>
      <c r="I828" s="511"/>
      <c r="J828" s="511"/>
      <c r="K828" s="511"/>
      <c r="L828" s="511"/>
      <c r="M828" s="511"/>
      <c r="N828" s="511"/>
      <c r="O828" s="511"/>
      <c r="P828" s="511"/>
      <c r="Q828" s="511"/>
      <c r="R828" s="511"/>
      <c r="S828" s="511"/>
      <c r="T828" s="511"/>
      <c r="U828" s="511"/>
      <c r="V828" s="511"/>
      <c r="W828" s="511"/>
      <c r="X828" s="511"/>
      <c r="Y828" s="511"/>
      <c r="Z828" s="511"/>
      <c r="AA828" s="511"/>
      <c r="AB828" s="511"/>
      <c r="AC828" s="511"/>
      <c r="AD828" s="511"/>
      <c r="AE828" s="511"/>
      <c r="AF828" s="511"/>
      <c r="AG828" s="511"/>
      <c r="AH828" s="511"/>
      <c r="AI828" s="511"/>
      <c r="AJ828" s="511"/>
      <c r="AK828" s="511"/>
      <c r="AL828" s="511"/>
      <c r="AM828" s="511"/>
      <c r="AN828" s="511"/>
      <c r="AO828" s="511"/>
      <c r="AP828" s="511"/>
      <c r="AQ828" s="511"/>
      <c r="AR828" s="511"/>
      <c r="AS828" s="511"/>
      <c r="AT828" s="511"/>
      <c r="AU828" s="511"/>
      <c r="AV828" s="511"/>
      <c r="AW828" s="511"/>
      <c r="AX828" s="511"/>
      <c r="AY828" s="511"/>
      <c r="AZ828" s="511"/>
      <c r="BA828" s="511"/>
      <c r="BB828" s="511"/>
      <c r="BC828" s="511"/>
      <c r="BD828" s="511"/>
      <c r="BE828" s="511"/>
    </row>
    <row r="829" ht="15.75" customHeight="1">
      <c r="A829" s="511"/>
      <c r="B829" s="511"/>
      <c r="C829" s="511"/>
      <c r="D829" s="511"/>
      <c r="E829" s="511"/>
      <c r="F829" s="511"/>
      <c r="G829" s="511"/>
      <c r="H829" s="511"/>
      <c r="I829" s="511"/>
      <c r="J829" s="511"/>
      <c r="K829" s="511"/>
      <c r="L829" s="511"/>
      <c r="M829" s="511"/>
      <c r="N829" s="511"/>
      <c r="O829" s="511"/>
      <c r="P829" s="511"/>
      <c r="Q829" s="511"/>
      <c r="R829" s="511"/>
      <c r="S829" s="511"/>
      <c r="T829" s="511"/>
      <c r="U829" s="511"/>
      <c r="V829" s="511"/>
      <c r="W829" s="511"/>
      <c r="X829" s="511"/>
      <c r="Y829" s="511"/>
      <c r="Z829" s="511"/>
      <c r="AA829" s="511"/>
      <c r="AB829" s="511"/>
      <c r="AC829" s="511"/>
      <c r="AD829" s="511"/>
      <c r="AE829" s="511"/>
      <c r="AF829" s="511"/>
      <c r="AG829" s="511"/>
      <c r="AH829" s="511"/>
      <c r="AI829" s="511"/>
      <c r="AJ829" s="511"/>
      <c r="AK829" s="511"/>
      <c r="AL829" s="511"/>
      <c r="AM829" s="511"/>
      <c r="AN829" s="511"/>
      <c r="AO829" s="511"/>
      <c r="AP829" s="511"/>
      <c r="AQ829" s="511"/>
      <c r="AR829" s="511"/>
      <c r="AS829" s="511"/>
      <c r="AT829" s="511"/>
      <c r="AU829" s="511"/>
      <c r="AV829" s="511"/>
      <c r="AW829" s="511"/>
      <c r="AX829" s="511"/>
      <c r="AY829" s="511"/>
      <c r="AZ829" s="511"/>
      <c r="BA829" s="511"/>
      <c r="BB829" s="511"/>
      <c r="BC829" s="511"/>
      <c r="BD829" s="511"/>
      <c r="BE829" s="511"/>
    </row>
    <row r="830" ht="15.75" customHeight="1">
      <c r="A830" s="511"/>
      <c r="B830" s="511"/>
      <c r="C830" s="511"/>
      <c r="D830" s="511"/>
      <c r="E830" s="511"/>
      <c r="F830" s="511"/>
      <c r="G830" s="511"/>
      <c r="H830" s="511"/>
      <c r="I830" s="511"/>
      <c r="J830" s="511"/>
      <c r="K830" s="511"/>
      <c r="L830" s="511"/>
      <c r="M830" s="511"/>
      <c r="N830" s="511"/>
      <c r="O830" s="511"/>
      <c r="P830" s="511"/>
      <c r="Q830" s="511"/>
      <c r="R830" s="511"/>
      <c r="S830" s="511"/>
      <c r="T830" s="511"/>
      <c r="U830" s="511"/>
      <c r="V830" s="511"/>
      <c r="W830" s="511"/>
      <c r="X830" s="511"/>
      <c r="Y830" s="511"/>
      <c r="Z830" s="511"/>
      <c r="AA830" s="511"/>
      <c r="AB830" s="511"/>
      <c r="AC830" s="511"/>
      <c r="AD830" s="511"/>
      <c r="AE830" s="511"/>
      <c r="AF830" s="511"/>
      <c r="AG830" s="511"/>
      <c r="AH830" s="511"/>
      <c r="AI830" s="511"/>
      <c r="AJ830" s="511"/>
      <c r="AK830" s="511"/>
      <c r="AL830" s="511"/>
      <c r="AM830" s="511"/>
      <c r="AN830" s="511"/>
      <c r="AO830" s="511"/>
      <c r="AP830" s="511"/>
      <c r="AQ830" s="511"/>
      <c r="AR830" s="511"/>
      <c r="AS830" s="511"/>
      <c r="AT830" s="511"/>
      <c r="AU830" s="511"/>
      <c r="AV830" s="511"/>
      <c r="AW830" s="511"/>
      <c r="AX830" s="511"/>
      <c r="AY830" s="511"/>
      <c r="AZ830" s="511"/>
      <c r="BA830" s="511"/>
      <c r="BB830" s="511"/>
      <c r="BC830" s="511"/>
      <c r="BD830" s="511"/>
      <c r="BE830" s="511"/>
    </row>
    <row r="831" ht="15.75" customHeight="1">
      <c r="A831" s="511"/>
      <c r="B831" s="511"/>
      <c r="C831" s="511"/>
      <c r="D831" s="511"/>
      <c r="E831" s="511"/>
      <c r="F831" s="511"/>
      <c r="G831" s="511"/>
      <c r="H831" s="511"/>
      <c r="I831" s="511"/>
      <c r="J831" s="511"/>
      <c r="K831" s="511"/>
      <c r="L831" s="511"/>
      <c r="M831" s="511"/>
      <c r="N831" s="511"/>
      <c r="O831" s="511"/>
      <c r="P831" s="511"/>
      <c r="Q831" s="511"/>
      <c r="R831" s="511"/>
      <c r="S831" s="511"/>
      <c r="T831" s="511"/>
      <c r="U831" s="511"/>
      <c r="V831" s="511"/>
      <c r="W831" s="511"/>
      <c r="X831" s="511"/>
      <c r="Y831" s="511"/>
      <c r="Z831" s="511"/>
      <c r="AA831" s="511"/>
      <c r="AB831" s="511"/>
      <c r="AC831" s="511"/>
      <c r="AD831" s="511"/>
      <c r="AE831" s="511"/>
      <c r="AF831" s="511"/>
      <c r="AG831" s="511"/>
      <c r="AH831" s="511"/>
      <c r="AI831" s="511"/>
      <c r="AJ831" s="511"/>
      <c r="AK831" s="511"/>
      <c r="AL831" s="511"/>
      <c r="AM831" s="511"/>
      <c r="AN831" s="511"/>
      <c r="AO831" s="511"/>
      <c r="AP831" s="511"/>
      <c r="AQ831" s="511"/>
      <c r="AR831" s="511"/>
      <c r="AS831" s="511"/>
      <c r="AT831" s="511"/>
      <c r="AU831" s="511"/>
      <c r="AV831" s="511"/>
      <c r="AW831" s="511"/>
      <c r="AX831" s="511"/>
      <c r="AY831" s="511"/>
      <c r="AZ831" s="511"/>
      <c r="BA831" s="511"/>
      <c r="BB831" s="511"/>
      <c r="BC831" s="511"/>
      <c r="BD831" s="511"/>
      <c r="BE831" s="511"/>
    </row>
    <row r="832" ht="15.75" customHeight="1">
      <c r="A832" s="511"/>
      <c r="B832" s="511"/>
      <c r="C832" s="511"/>
      <c r="D832" s="511"/>
      <c r="E832" s="511"/>
      <c r="F832" s="511"/>
      <c r="G832" s="511"/>
      <c r="H832" s="511"/>
      <c r="I832" s="511"/>
      <c r="J832" s="511"/>
      <c r="K832" s="511"/>
      <c r="L832" s="511"/>
      <c r="M832" s="511"/>
      <c r="N832" s="511"/>
      <c r="O832" s="511"/>
      <c r="P832" s="511"/>
      <c r="Q832" s="511"/>
      <c r="R832" s="511"/>
      <c r="S832" s="511"/>
      <c r="T832" s="511"/>
      <c r="U832" s="511"/>
      <c r="V832" s="511"/>
      <c r="W832" s="511"/>
      <c r="X832" s="511"/>
      <c r="Y832" s="511"/>
      <c r="Z832" s="511"/>
      <c r="AA832" s="511"/>
      <c r="AB832" s="511"/>
      <c r="AC832" s="511"/>
      <c r="AD832" s="511"/>
      <c r="AE832" s="511"/>
      <c r="AF832" s="511"/>
      <c r="AG832" s="511"/>
      <c r="AH832" s="511"/>
      <c r="AI832" s="511"/>
      <c r="AJ832" s="511"/>
      <c r="AK832" s="511"/>
      <c r="AL832" s="511"/>
      <c r="AM832" s="511"/>
      <c r="AN832" s="511"/>
      <c r="AO832" s="511"/>
      <c r="AP832" s="511"/>
      <c r="AQ832" s="511"/>
      <c r="AR832" s="511"/>
      <c r="AS832" s="511"/>
      <c r="AT832" s="511"/>
      <c r="AU832" s="511"/>
      <c r="AV832" s="511"/>
      <c r="AW832" s="511"/>
      <c r="AX832" s="511"/>
      <c r="AY832" s="511"/>
      <c r="AZ832" s="511"/>
      <c r="BA832" s="511"/>
      <c r="BB832" s="511"/>
      <c r="BC832" s="511"/>
      <c r="BD832" s="511"/>
      <c r="BE832" s="511"/>
    </row>
    <row r="833" ht="15.75" customHeight="1">
      <c r="A833" s="511"/>
      <c r="B833" s="511"/>
      <c r="C833" s="511"/>
      <c r="D833" s="511"/>
      <c r="E833" s="511"/>
      <c r="F833" s="511"/>
      <c r="G833" s="511"/>
      <c r="H833" s="511"/>
      <c r="I833" s="511"/>
      <c r="J833" s="511"/>
      <c r="K833" s="511"/>
      <c r="L833" s="511"/>
      <c r="M833" s="511"/>
      <c r="N833" s="511"/>
      <c r="O833" s="511"/>
      <c r="P833" s="511"/>
      <c r="Q833" s="511"/>
      <c r="R833" s="511"/>
      <c r="S833" s="511"/>
      <c r="T833" s="511"/>
      <c r="U833" s="511"/>
      <c r="V833" s="511"/>
      <c r="W833" s="511"/>
      <c r="X833" s="511"/>
      <c r="Y833" s="511"/>
      <c r="Z833" s="511"/>
      <c r="AA833" s="511"/>
      <c r="AB833" s="511"/>
      <c r="AC833" s="511"/>
      <c r="AD833" s="511"/>
      <c r="AE833" s="511"/>
      <c r="AF833" s="511"/>
      <c r="AG833" s="511"/>
      <c r="AH833" s="511"/>
      <c r="AI833" s="511"/>
      <c r="AJ833" s="511"/>
      <c r="AK833" s="511"/>
      <c r="AL833" s="511"/>
      <c r="AM833" s="511"/>
      <c r="AN833" s="511"/>
      <c r="AO833" s="511"/>
      <c r="AP833" s="511"/>
      <c r="AQ833" s="511"/>
      <c r="AR833" s="511"/>
      <c r="AS833" s="511"/>
      <c r="AT833" s="511"/>
      <c r="AU833" s="511"/>
      <c r="AV833" s="511"/>
      <c r="AW833" s="511"/>
      <c r="AX833" s="511"/>
      <c r="AY833" s="511"/>
      <c r="AZ833" s="511"/>
      <c r="BA833" s="511"/>
      <c r="BB833" s="511"/>
      <c r="BC833" s="511"/>
      <c r="BD833" s="511"/>
      <c r="BE833" s="511"/>
    </row>
    <row r="834" ht="15.75" customHeight="1">
      <c r="A834" s="511"/>
      <c r="B834" s="511"/>
      <c r="C834" s="511"/>
      <c r="D834" s="511"/>
      <c r="E834" s="511"/>
      <c r="F834" s="511"/>
      <c r="G834" s="511"/>
      <c r="H834" s="511"/>
      <c r="I834" s="511"/>
      <c r="J834" s="511"/>
      <c r="K834" s="511"/>
      <c r="L834" s="511"/>
      <c r="M834" s="511"/>
      <c r="N834" s="511"/>
      <c r="O834" s="511"/>
      <c r="P834" s="511"/>
      <c r="Q834" s="511"/>
      <c r="R834" s="511"/>
      <c r="S834" s="511"/>
      <c r="T834" s="511"/>
      <c r="U834" s="511"/>
      <c r="V834" s="511"/>
      <c r="W834" s="511"/>
      <c r="X834" s="511"/>
      <c r="Y834" s="511"/>
      <c r="Z834" s="511"/>
      <c r="AA834" s="511"/>
      <c r="AB834" s="511"/>
      <c r="AC834" s="511"/>
      <c r="AD834" s="511"/>
      <c r="AE834" s="511"/>
      <c r="AF834" s="511"/>
      <c r="AG834" s="511"/>
      <c r="AH834" s="511"/>
      <c r="AI834" s="511"/>
      <c r="AJ834" s="511"/>
      <c r="AK834" s="511"/>
      <c r="AL834" s="511"/>
      <c r="AM834" s="511"/>
      <c r="AN834" s="511"/>
      <c r="AO834" s="511"/>
      <c r="AP834" s="511"/>
      <c r="AQ834" s="511"/>
      <c r="AR834" s="511"/>
      <c r="AS834" s="511"/>
      <c r="AT834" s="511"/>
      <c r="AU834" s="511"/>
      <c r="AV834" s="511"/>
      <c r="AW834" s="511"/>
      <c r="AX834" s="511"/>
      <c r="AY834" s="511"/>
      <c r="AZ834" s="511"/>
      <c r="BA834" s="511"/>
      <c r="BB834" s="511"/>
      <c r="BC834" s="511"/>
      <c r="BD834" s="511"/>
      <c r="BE834" s="511"/>
    </row>
    <row r="835" ht="15.75" customHeight="1">
      <c r="A835" s="511"/>
      <c r="B835" s="511"/>
      <c r="C835" s="511"/>
      <c r="D835" s="511"/>
      <c r="E835" s="511"/>
      <c r="F835" s="511"/>
      <c r="G835" s="511"/>
      <c r="H835" s="511"/>
      <c r="I835" s="511"/>
      <c r="J835" s="511"/>
      <c r="K835" s="511"/>
      <c r="L835" s="511"/>
      <c r="M835" s="511"/>
      <c r="N835" s="511"/>
      <c r="O835" s="511"/>
      <c r="P835" s="511"/>
      <c r="Q835" s="511"/>
      <c r="R835" s="511"/>
      <c r="S835" s="511"/>
      <c r="T835" s="511"/>
      <c r="U835" s="511"/>
      <c r="V835" s="511"/>
      <c r="W835" s="511"/>
      <c r="X835" s="511"/>
      <c r="Y835" s="511"/>
      <c r="Z835" s="511"/>
      <c r="AA835" s="511"/>
      <c r="AB835" s="511"/>
      <c r="AC835" s="511"/>
      <c r="AD835" s="511"/>
      <c r="AE835" s="511"/>
      <c r="AF835" s="511"/>
      <c r="AG835" s="511"/>
      <c r="AH835" s="511"/>
      <c r="AI835" s="511"/>
      <c r="AJ835" s="511"/>
      <c r="AK835" s="511"/>
      <c r="AL835" s="511"/>
      <c r="AM835" s="511"/>
      <c r="AN835" s="511"/>
      <c r="AO835" s="511"/>
      <c r="AP835" s="511"/>
      <c r="AQ835" s="511"/>
      <c r="AR835" s="511"/>
      <c r="AS835" s="511"/>
      <c r="AT835" s="511"/>
      <c r="AU835" s="511"/>
      <c r="AV835" s="511"/>
      <c r="AW835" s="511"/>
      <c r="AX835" s="511"/>
      <c r="AY835" s="511"/>
      <c r="AZ835" s="511"/>
      <c r="BA835" s="511"/>
      <c r="BB835" s="511"/>
      <c r="BC835" s="511"/>
      <c r="BD835" s="511"/>
      <c r="BE835" s="511"/>
    </row>
    <row r="836" ht="15.75" customHeight="1">
      <c r="A836" s="511"/>
      <c r="B836" s="511"/>
      <c r="C836" s="511"/>
      <c r="D836" s="511"/>
      <c r="E836" s="511"/>
      <c r="F836" s="511"/>
      <c r="G836" s="511"/>
      <c r="H836" s="511"/>
      <c r="I836" s="511"/>
      <c r="J836" s="511"/>
      <c r="K836" s="511"/>
      <c r="L836" s="511"/>
      <c r="M836" s="511"/>
      <c r="N836" s="511"/>
      <c r="O836" s="511"/>
      <c r="P836" s="511"/>
      <c r="Q836" s="511"/>
      <c r="R836" s="511"/>
      <c r="S836" s="511"/>
      <c r="T836" s="511"/>
      <c r="U836" s="511"/>
      <c r="V836" s="511"/>
      <c r="W836" s="511"/>
      <c r="X836" s="511"/>
      <c r="Y836" s="511"/>
      <c r="Z836" s="511"/>
      <c r="AA836" s="511"/>
      <c r="AB836" s="511"/>
      <c r="AC836" s="511"/>
      <c r="AD836" s="511"/>
      <c r="AE836" s="511"/>
      <c r="AF836" s="511"/>
      <c r="AG836" s="511"/>
      <c r="AH836" s="511"/>
      <c r="AI836" s="511"/>
      <c r="AJ836" s="511"/>
      <c r="AK836" s="511"/>
      <c r="AL836" s="511"/>
      <c r="AM836" s="511"/>
      <c r="AN836" s="511"/>
      <c r="AO836" s="511"/>
      <c r="AP836" s="511"/>
      <c r="AQ836" s="511"/>
      <c r="AR836" s="511"/>
      <c r="AS836" s="511"/>
      <c r="AT836" s="511"/>
      <c r="AU836" s="511"/>
      <c r="AV836" s="511"/>
      <c r="AW836" s="511"/>
      <c r="AX836" s="511"/>
      <c r="AY836" s="511"/>
      <c r="AZ836" s="511"/>
      <c r="BA836" s="511"/>
      <c r="BB836" s="511"/>
      <c r="BC836" s="511"/>
      <c r="BD836" s="511"/>
      <c r="BE836" s="511"/>
    </row>
    <row r="837" ht="15.75" customHeight="1">
      <c r="A837" s="511"/>
      <c r="B837" s="511"/>
      <c r="C837" s="511"/>
      <c r="D837" s="511"/>
      <c r="E837" s="511"/>
      <c r="F837" s="511"/>
      <c r="G837" s="511"/>
      <c r="H837" s="511"/>
      <c r="I837" s="511"/>
      <c r="J837" s="511"/>
      <c r="K837" s="511"/>
      <c r="L837" s="511"/>
      <c r="M837" s="511"/>
      <c r="N837" s="511"/>
      <c r="O837" s="511"/>
      <c r="P837" s="511"/>
      <c r="Q837" s="511"/>
      <c r="R837" s="511"/>
      <c r="S837" s="511"/>
      <c r="T837" s="511"/>
      <c r="U837" s="511"/>
      <c r="V837" s="511"/>
      <c r="W837" s="511"/>
      <c r="X837" s="511"/>
      <c r="Y837" s="511"/>
      <c r="Z837" s="511"/>
      <c r="AA837" s="511"/>
      <c r="AB837" s="511"/>
      <c r="AC837" s="511"/>
      <c r="AD837" s="511"/>
      <c r="AE837" s="511"/>
      <c r="AF837" s="511"/>
      <c r="AG837" s="511"/>
      <c r="AH837" s="511"/>
      <c r="AI837" s="511"/>
      <c r="AJ837" s="511"/>
      <c r="AK837" s="511"/>
      <c r="AL837" s="511"/>
      <c r="AM837" s="511"/>
      <c r="AN837" s="511"/>
      <c r="AO837" s="511"/>
      <c r="AP837" s="511"/>
      <c r="AQ837" s="511"/>
      <c r="AR837" s="511"/>
      <c r="AS837" s="511"/>
      <c r="AT837" s="511"/>
      <c r="AU837" s="511"/>
      <c r="AV837" s="511"/>
      <c r="AW837" s="511"/>
      <c r="AX837" s="511"/>
      <c r="AY837" s="511"/>
      <c r="AZ837" s="511"/>
      <c r="BA837" s="511"/>
      <c r="BB837" s="511"/>
      <c r="BC837" s="511"/>
      <c r="BD837" s="511"/>
      <c r="BE837" s="511"/>
    </row>
    <row r="838" ht="15.75" customHeight="1">
      <c r="A838" s="511"/>
      <c r="B838" s="511"/>
      <c r="C838" s="511"/>
      <c r="D838" s="511"/>
      <c r="E838" s="511"/>
      <c r="F838" s="511"/>
      <c r="G838" s="511"/>
      <c r="H838" s="511"/>
      <c r="I838" s="511"/>
      <c r="J838" s="511"/>
      <c r="K838" s="511"/>
      <c r="L838" s="511"/>
      <c r="M838" s="511"/>
      <c r="N838" s="511"/>
      <c r="O838" s="511"/>
      <c r="P838" s="511"/>
      <c r="Q838" s="511"/>
      <c r="R838" s="511"/>
      <c r="S838" s="511"/>
      <c r="T838" s="511"/>
      <c r="U838" s="511"/>
      <c r="V838" s="511"/>
      <c r="W838" s="511"/>
      <c r="X838" s="511"/>
      <c r="Y838" s="511"/>
      <c r="Z838" s="511"/>
      <c r="AA838" s="511"/>
      <c r="AB838" s="511"/>
      <c r="AC838" s="511"/>
      <c r="AD838" s="511"/>
      <c r="AE838" s="511"/>
      <c r="AF838" s="511"/>
      <c r="AG838" s="511"/>
      <c r="AH838" s="511"/>
      <c r="AI838" s="511"/>
      <c r="AJ838" s="511"/>
      <c r="AK838" s="511"/>
      <c r="AL838" s="511"/>
      <c r="AM838" s="511"/>
      <c r="AN838" s="511"/>
      <c r="AO838" s="511"/>
      <c r="AP838" s="511"/>
      <c r="AQ838" s="511"/>
      <c r="AR838" s="511"/>
      <c r="AS838" s="511"/>
      <c r="AT838" s="511"/>
      <c r="AU838" s="511"/>
      <c r="AV838" s="511"/>
      <c r="AW838" s="511"/>
      <c r="AX838" s="511"/>
      <c r="AY838" s="511"/>
      <c r="AZ838" s="511"/>
      <c r="BA838" s="511"/>
      <c r="BB838" s="511"/>
      <c r="BC838" s="511"/>
      <c r="BD838" s="511"/>
      <c r="BE838" s="511"/>
    </row>
    <row r="839" ht="15.75" customHeight="1">
      <c r="A839" s="511"/>
      <c r="B839" s="511"/>
      <c r="C839" s="511"/>
      <c r="D839" s="511"/>
      <c r="E839" s="511"/>
      <c r="F839" s="511"/>
      <c r="G839" s="511"/>
      <c r="H839" s="511"/>
      <c r="I839" s="511"/>
      <c r="J839" s="511"/>
      <c r="K839" s="511"/>
      <c r="L839" s="511"/>
      <c r="M839" s="511"/>
      <c r="N839" s="511"/>
      <c r="O839" s="511"/>
      <c r="P839" s="511"/>
      <c r="Q839" s="511"/>
      <c r="R839" s="511"/>
      <c r="S839" s="511"/>
      <c r="T839" s="511"/>
      <c r="U839" s="511"/>
      <c r="V839" s="511"/>
      <c r="W839" s="511"/>
      <c r="X839" s="511"/>
      <c r="Y839" s="511"/>
      <c r="Z839" s="511"/>
      <c r="AA839" s="511"/>
      <c r="AB839" s="511"/>
      <c r="AC839" s="511"/>
      <c r="AD839" s="511"/>
      <c r="AE839" s="511"/>
      <c r="AF839" s="511"/>
      <c r="AG839" s="511"/>
      <c r="AH839" s="511"/>
      <c r="AI839" s="511"/>
      <c r="AJ839" s="511"/>
      <c r="AK839" s="511"/>
      <c r="AL839" s="511"/>
      <c r="AM839" s="511"/>
      <c r="AN839" s="511"/>
      <c r="AO839" s="511"/>
      <c r="AP839" s="511"/>
      <c r="AQ839" s="511"/>
      <c r="AR839" s="511"/>
      <c r="AS839" s="511"/>
      <c r="AT839" s="511"/>
      <c r="AU839" s="511"/>
      <c r="AV839" s="511"/>
      <c r="AW839" s="511"/>
      <c r="AX839" s="511"/>
      <c r="AY839" s="511"/>
      <c r="AZ839" s="511"/>
      <c r="BA839" s="511"/>
      <c r="BB839" s="511"/>
      <c r="BC839" s="511"/>
      <c r="BD839" s="511"/>
      <c r="BE839" s="511"/>
    </row>
    <row r="840" ht="15.75" customHeight="1">
      <c r="A840" s="511"/>
      <c r="B840" s="511"/>
      <c r="C840" s="511"/>
      <c r="D840" s="511"/>
      <c r="E840" s="511"/>
      <c r="F840" s="511"/>
      <c r="G840" s="511"/>
      <c r="H840" s="511"/>
      <c r="I840" s="511"/>
      <c r="J840" s="511"/>
      <c r="K840" s="511"/>
      <c r="L840" s="511"/>
      <c r="M840" s="511"/>
      <c r="N840" s="511"/>
      <c r="O840" s="511"/>
      <c r="P840" s="511"/>
      <c r="Q840" s="511"/>
      <c r="R840" s="511"/>
      <c r="S840" s="511"/>
      <c r="T840" s="511"/>
      <c r="U840" s="511"/>
      <c r="V840" s="511"/>
      <c r="W840" s="511"/>
      <c r="X840" s="511"/>
      <c r="Y840" s="511"/>
      <c r="Z840" s="511"/>
      <c r="AA840" s="511"/>
      <c r="AB840" s="511"/>
      <c r="AC840" s="511"/>
      <c r="AD840" s="511"/>
      <c r="AE840" s="511"/>
      <c r="AF840" s="511"/>
      <c r="AG840" s="511"/>
      <c r="AH840" s="511"/>
      <c r="AI840" s="511"/>
      <c r="AJ840" s="511"/>
      <c r="AK840" s="511"/>
      <c r="AL840" s="511"/>
      <c r="AM840" s="511"/>
      <c r="AN840" s="511"/>
      <c r="AO840" s="511"/>
      <c r="AP840" s="511"/>
      <c r="AQ840" s="511"/>
      <c r="AR840" s="511"/>
      <c r="AS840" s="511"/>
      <c r="AT840" s="511"/>
      <c r="AU840" s="511"/>
      <c r="AV840" s="511"/>
      <c r="AW840" s="511"/>
      <c r="AX840" s="511"/>
      <c r="AY840" s="511"/>
      <c r="AZ840" s="511"/>
      <c r="BA840" s="511"/>
      <c r="BB840" s="511"/>
      <c r="BC840" s="511"/>
      <c r="BD840" s="511"/>
      <c r="BE840" s="511"/>
    </row>
    <row r="841" ht="15.75" customHeight="1">
      <c r="A841" s="511"/>
      <c r="B841" s="511"/>
      <c r="C841" s="511"/>
      <c r="D841" s="511"/>
      <c r="E841" s="511"/>
      <c r="F841" s="511"/>
      <c r="G841" s="511"/>
      <c r="H841" s="511"/>
      <c r="I841" s="511"/>
      <c r="J841" s="511"/>
      <c r="K841" s="511"/>
      <c r="L841" s="511"/>
      <c r="M841" s="511"/>
      <c r="N841" s="511"/>
      <c r="O841" s="511"/>
      <c r="P841" s="511"/>
      <c r="Q841" s="511"/>
      <c r="R841" s="511"/>
      <c r="S841" s="511"/>
      <c r="T841" s="511"/>
      <c r="U841" s="511"/>
      <c r="V841" s="511"/>
      <c r="W841" s="511"/>
      <c r="X841" s="511"/>
      <c r="Y841" s="511"/>
      <c r="Z841" s="511"/>
      <c r="AA841" s="511"/>
      <c r="AB841" s="511"/>
      <c r="AC841" s="511"/>
      <c r="AD841" s="511"/>
      <c r="AE841" s="511"/>
      <c r="AF841" s="511"/>
      <c r="AG841" s="511"/>
      <c r="AH841" s="511"/>
      <c r="AI841" s="511"/>
      <c r="AJ841" s="511"/>
      <c r="AK841" s="511"/>
      <c r="AL841" s="511"/>
      <c r="AM841" s="511"/>
      <c r="AN841" s="511"/>
      <c r="AO841" s="511"/>
      <c r="AP841" s="511"/>
      <c r="AQ841" s="511"/>
      <c r="AR841" s="511"/>
      <c r="AS841" s="511"/>
      <c r="AT841" s="511"/>
      <c r="AU841" s="511"/>
      <c r="AV841" s="511"/>
      <c r="AW841" s="511"/>
      <c r="AX841" s="511"/>
      <c r="AY841" s="511"/>
      <c r="AZ841" s="511"/>
      <c r="BA841" s="511"/>
      <c r="BB841" s="511"/>
      <c r="BC841" s="511"/>
      <c r="BD841" s="511"/>
      <c r="BE841" s="511"/>
    </row>
    <row r="842" ht="15.75" customHeight="1">
      <c r="A842" s="511"/>
      <c r="B842" s="511"/>
      <c r="C842" s="511"/>
      <c r="D842" s="511"/>
      <c r="E842" s="511"/>
      <c r="F842" s="511"/>
      <c r="G842" s="511"/>
      <c r="H842" s="511"/>
      <c r="I842" s="511"/>
      <c r="J842" s="511"/>
      <c r="K842" s="511"/>
      <c r="L842" s="511"/>
      <c r="M842" s="511"/>
      <c r="N842" s="511"/>
      <c r="O842" s="511"/>
      <c r="P842" s="511"/>
      <c r="Q842" s="511"/>
      <c r="R842" s="511"/>
      <c r="S842" s="511"/>
      <c r="T842" s="511"/>
      <c r="U842" s="511"/>
      <c r="V842" s="511"/>
      <c r="W842" s="511"/>
      <c r="X842" s="511"/>
      <c r="Y842" s="511"/>
      <c r="Z842" s="511"/>
      <c r="AA842" s="511"/>
      <c r="AB842" s="511"/>
      <c r="AC842" s="511"/>
      <c r="AD842" s="511"/>
      <c r="AE842" s="511"/>
      <c r="AF842" s="511"/>
      <c r="AG842" s="511"/>
      <c r="AH842" s="511"/>
      <c r="AI842" s="511"/>
      <c r="AJ842" s="511"/>
      <c r="AK842" s="511"/>
      <c r="AL842" s="511"/>
      <c r="AM842" s="511"/>
      <c r="AN842" s="511"/>
      <c r="AO842" s="511"/>
      <c r="AP842" s="511"/>
      <c r="AQ842" s="511"/>
      <c r="AR842" s="511"/>
      <c r="AS842" s="511"/>
      <c r="AT842" s="511"/>
      <c r="AU842" s="511"/>
      <c r="AV842" s="511"/>
      <c r="AW842" s="511"/>
      <c r="AX842" s="511"/>
      <c r="AY842" s="511"/>
      <c r="AZ842" s="511"/>
      <c r="BA842" s="511"/>
      <c r="BB842" s="511"/>
      <c r="BC842" s="511"/>
      <c r="BD842" s="511"/>
      <c r="BE842" s="511"/>
    </row>
    <row r="843" ht="15.75" customHeight="1">
      <c r="A843" s="511"/>
      <c r="B843" s="511"/>
      <c r="C843" s="511"/>
      <c r="D843" s="511"/>
      <c r="E843" s="511"/>
      <c r="F843" s="511"/>
      <c r="G843" s="511"/>
      <c r="H843" s="511"/>
      <c r="I843" s="511"/>
      <c r="J843" s="511"/>
      <c r="K843" s="511"/>
      <c r="L843" s="511"/>
      <c r="M843" s="511"/>
      <c r="N843" s="511"/>
      <c r="O843" s="511"/>
      <c r="P843" s="511"/>
      <c r="Q843" s="511"/>
      <c r="R843" s="511"/>
      <c r="S843" s="511"/>
      <c r="T843" s="511"/>
      <c r="U843" s="511"/>
      <c r="V843" s="511"/>
      <c r="W843" s="511"/>
      <c r="X843" s="511"/>
      <c r="Y843" s="511"/>
      <c r="Z843" s="511"/>
      <c r="AA843" s="511"/>
      <c r="AB843" s="511"/>
      <c r="AC843" s="511"/>
      <c r="AD843" s="511"/>
      <c r="AE843" s="511"/>
      <c r="AF843" s="511"/>
      <c r="AG843" s="511"/>
      <c r="AH843" s="511"/>
      <c r="AI843" s="511"/>
      <c r="AJ843" s="511"/>
      <c r="AK843" s="511"/>
      <c r="AL843" s="511"/>
      <c r="AM843" s="511"/>
      <c r="AN843" s="511"/>
      <c r="AO843" s="511"/>
      <c r="AP843" s="511"/>
      <c r="AQ843" s="511"/>
      <c r="AR843" s="511"/>
      <c r="AS843" s="511"/>
      <c r="AT843" s="511"/>
      <c r="AU843" s="511"/>
      <c r="AV843" s="511"/>
      <c r="AW843" s="511"/>
      <c r="AX843" s="511"/>
      <c r="AY843" s="511"/>
      <c r="AZ843" s="511"/>
      <c r="BA843" s="511"/>
      <c r="BB843" s="511"/>
      <c r="BC843" s="511"/>
      <c r="BD843" s="511"/>
      <c r="BE843" s="511"/>
    </row>
    <row r="844" ht="15.75" customHeight="1">
      <c r="A844" s="511"/>
      <c r="B844" s="511"/>
      <c r="C844" s="511"/>
      <c r="D844" s="511"/>
      <c r="E844" s="511"/>
      <c r="F844" s="511"/>
      <c r="G844" s="511"/>
      <c r="H844" s="511"/>
      <c r="I844" s="511"/>
      <c r="J844" s="511"/>
      <c r="K844" s="511"/>
      <c r="L844" s="511"/>
      <c r="M844" s="511"/>
      <c r="N844" s="511"/>
      <c r="O844" s="511"/>
      <c r="P844" s="511"/>
      <c r="Q844" s="511"/>
      <c r="R844" s="511"/>
      <c r="S844" s="511"/>
      <c r="T844" s="511"/>
      <c r="U844" s="511"/>
      <c r="V844" s="511"/>
      <c r="W844" s="511"/>
      <c r="X844" s="511"/>
      <c r="Y844" s="511"/>
      <c r="Z844" s="511"/>
      <c r="AA844" s="511"/>
      <c r="AB844" s="511"/>
      <c r="AC844" s="511"/>
      <c r="AD844" s="511"/>
      <c r="AE844" s="511"/>
      <c r="AF844" s="511"/>
      <c r="AG844" s="511"/>
      <c r="AH844" s="511"/>
      <c r="AI844" s="511"/>
      <c r="AJ844" s="511"/>
      <c r="AK844" s="511"/>
      <c r="AL844" s="511"/>
      <c r="AM844" s="511"/>
      <c r="AN844" s="511"/>
      <c r="AO844" s="511"/>
      <c r="AP844" s="511"/>
      <c r="AQ844" s="511"/>
      <c r="AR844" s="511"/>
      <c r="AS844" s="511"/>
      <c r="AT844" s="511"/>
      <c r="AU844" s="511"/>
      <c r="AV844" s="511"/>
      <c r="AW844" s="511"/>
      <c r="AX844" s="511"/>
      <c r="AY844" s="511"/>
      <c r="AZ844" s="511"/>
      <c r="BA844" s="511"/>
      <c r="BB844" s="511"/>
      <c r="BC844" s="511"/>
      <c r="BD844" s="511"/>
      <c r="BE844" s="511"/>
    </row>
    <row r="845" ht="15.75" customHeight="1">
      <c r="A845" s="511"/>
      <c r="B845" s="511"/>
      <c r="C845" s="511"/>
      <c r="D845" s="511"/>
      <c r="E845" s="511"/>
      <c r="F845" s="511"/>
      <c r="G845" s="511"/>
      <c r="H845" s="511"/>
      <c r="I845" s="511"/>
      <c r="J845" s="511"/>
      <c r="K845" s="511"/>
      <c r="L845" s="511"/>
      <c r="M845" s="511"/>
      <c r="N845" s="511"/>
      <c r="O845" s="511"/>
      <c r="P845" s="511"/>
      <c r="Q845" s="511"/>
      <c r="R845" s="511"/>
      <c r="S845" s="511"/>
      <c r="T845" s="511"/>
      <c r="U845" s="511"/>
      <c r="V845" s="511"/>
      <c r="W845" s="511"/>
      <c r="X845" s="511"/>
      <c r="Y845" s="511"/>
      <c r="Z845" s="511"/>
      <c r="AA845" s="511"/>
      <c r="AB845" s="511"/>
      <c r="AC845" s="511"/>
      <c r="AD845" s="511"/>
      <c r="AE845" s="511"/>
      <c r="AF845" s="511"/>
      <c r="AG845" s="511"/>
      <c r="AH845" s="511"/>
      <c r="AI845" s="511"/>
      <c r="AJ845" s="511"/>
      <c r="AK845" s="511"/>
      <c r="AL845" s="511"/>
      <c r="AM845" s="511"/>
      <c r="AN845" s="511"/>
      <c r="AO845" s="511"/>
      <c r="AP845" s="511"/>
      <c r="AQ845" s="511"/>
      <c r="AR845" s="511"/>
      <c r="AS845" s="511"/>
      <c r="AT845" s="511"/>
      <c r="AU845" s="511"/>
      <c r="AV845" s="511"/>
      <c r="AW845" s="511"/>
      <c r="AX845" s="511"/>
      <c r="AY845" s="511"/>
      <c r="AZ845" s="511"/>
      <c r="BA845" s="511"/>
      <c r="BB845" s="511"/>
      <c r="BC845" s="511"/>
      <c r="BD845" s="511"/>
      <c r="BE845" s="511"/>
    </row>
    <row r="846" ht="15.75" customHeight="1">
      <c r="A846" s="511"/>
      <c r="B846" s="511"/>
      <c r="C846" s="511"/>
      <c r="D846" s="511"/>
      <c r="E846" s="511"/>
      <c r="F846" s="511"/>
      <c r="G846" s="511"/>
      <c r="H846" s="511"/>
      <c r="I846" s="511"/>
      <c r="J846" s="511"/>
      <c r="K846" s="511"/>
      <c r="L846" s="511"/>
      <c r="M846" s="511"/>
      <c r="N846" s="511"/>
      <c r="O846" s="511"/>
      <c r="P846" s="511"/>
      <c r="Q846" s="511"/>
      <c r="R846" s="511"/>
      <c r="S846" s="511"/>
      <c r="T846" s="511"/>
      <c r="U846" s="511"/>
      <c r="V846" s="511"/>
      <c r="W846" s="511"/>
      <c r="X846" s="511"/>
      <c r="Y846" s="511"/>
      <c r="Z846" s="511"/>
      <c r="AA846" s="511"/>
      <c r="AB846" s="511"/>
      <c r="AC846" s="511"/>
      <c r="AD846" s="511"/>
      <c r="AE846" s="511"/>
      <c r="AF846" s="511"/>
      <c r="AG846" s="511"/>
      <c r="AH846" s="511"/>
      <c r="AI846" s="511"/>
      <c r="AJ846" s="511"/>
      <c r="AK846" s="511"/>
      <c r="AL846" s="511"/>
      <c r="AM846" s="511"/>
      <c r="AN846" s="511"/>
      <c r="AO846" s="511"/>
      <c r="AP846" s="511"/>
      <c r="AQ846" s="511"/>
      <c r="AR846" s="511"/>
      <c r="AS846" s="511"/>
      <c r="AT846" s="511"/>
      <c r="AU846" s="511"/>
      <c r="AV846" s="511"/>
      <c r="AW846" s="511"/>
      <c r="AX846" s="511"/>
      <c r="AY846" s="511"/>
      <c r="AZ846" s="511"/>
      <c r="BA846" s="511"/>
      <c r="BB846" s="511"/>
      <c r="BC846" s="511"/>
      <c r="BD846" s="511"/>
      <c r="BE846" s="511"/>
    </row>
    <row r="847" ht="15.75" customHeight="1">
      <c r="A847" s="511"/>
      <c r="B847" s="511"/>
      <c r="C847" s="511"/>
      <c r="D847" s="511"/>
      <c r="E847" s="511"/>
      <c r="F847" s="511"/>
      <c r="G847" s="511"/>
      <c r="H847" s="511"/>
      <c r="I847" s="511"/>
      <c r="J847" s="511"/>
      <c r="K847" s="511"/>
      <c r="L847" s="511"/>
      <c r="M847" s="511"/>
      <c r="N847" s="511"/>
      <c r="O847" s="511"/>
      <c r="P847" s="511"/>
      <c r="Q847" s="511"/>
      <c r="R847" s="511"/>
      <c r="S847" s="511"/>
      <c r="T847" s="511"/>
      <c r="U847" s="511"/>
      <c r="V847" s="511"/>
      <c r="W847" s="511"/>
      <c r="X847" s="511"/>
      <c r="Y847" s="511"/>
      <c r="Z847" s="511"/>
      <c r="AA847" s="511"/>
      <c r="AB847" s="511"/>
      <c r="AC847" s="511"/>
      <c r="AD847" s="511"/>
      <c r="AE847" s="511"/>
      <c r="AF847" s="511"/>
      <c r="AG847" s="511"/>
      <c r="AH847" s="511"/>
      <c r="AI847" s="511"/>
      <c r="AJ847" s="511"/>
      <c r="AK847" s="511"/>
      <c r="AL847" s="511"/>
      <c r="AM847" s="511"/>
      <c r="AN847" s="511"/>
      <c r="AO847" s="511"/>
      <c r="AP847" s="511"/>
      <c r="AQ847" s="511"/>
      <c r="AR847" s="511"/>
      <c r="AS847" s="511"/>
      <c r="AT847" s="511"/>
      <c r="AU847" s="511"/>
      <c r="AV847" s="511"/>
      <c r="AW847" s="511"/>
      <c r="AX847" s="511"/>
      <c r="AY847" s="511"/>
      <c r="AZ847" s="511"/>
      <c r="BA847" s="511"/>
      <c r="BB847" s="511"/>
      <c r="BC847" s="511"/>
      <c r="BD847" s="511"/>
      <c r="BE847" s="511"/>
    </row>
    <row r="848" ht="15.75" customHeight="1">
      <c r="A848" s="511"/>
      <c r="B848" s="511"/>
      <c r="C848" s="511"/>
      <c r="D848" s="511"/>
      <c r="E848" s="511"/>
      <c r="F848" s="511"/>
      <c r="G848" s="511"/>
      <c r="H848" s="511"/>
      <c r="I848" s="511"/>
      <c r="J848" s="511"/>
      <c r="K848" s="511"/>
      <c r="L848" s="511"/>
      <c r="M848" s="511"/>
      <c r="N848" s="511"/>
      <c r="O848" s="511"/>
      <c r="P848" s="511"/>
      <c r="Q848" s="511"/>
      <c r="R848" s="511"/>
      <c r="S848" s="511"/>
      <c r="T848" s="511"/>
      <c r="U848" s="511"/>
      <c r="V848" s="511"/>
      <c r="W848" s="511"/>
      <c r="X848" s="511"/>
      <c r="Y848" s="511"/>
      <c r="Z848" s="511"/>
      <c r="AA848" s="511"/>
      <c r="AB848" s="511"/>
      <c r="AC848" s="511"/>
      <c r="AD848" s="511"/>
      <c r="AE848" s="511"/>
      <c r="AF848" s="511"/>
      <c r="AG848" s="511"/>
      <c r="AH848" s="511"/>
      <c r="AI848" s="511"/>
      <c r="AJ848" s="511"/>
      <c r="AK848" s="511"/>
      <c r="AL848" s="511"/>
      <c r="AM848" s="511"/>
      <c r="AN848" s="511"/>
      <c r="AO848" s="511"/>
      <c r="AP848" s="511"/>
      <c r="AQ848" s="511"/>
      <c r="AR848" s="511"/>
      <c r="AS848" s="511"/>
      <c r="AT848" s="511"/>
      <c r="AU848" s="511"/>
      <c r="AV848" s="511"/>
      <c r="AW848" s="511"/>
      <c r="AX848" s="511"/>
      <c r="AY848" s="511"/>
      <c r="AZ848" s="511"/>
      <c r="BA848" s="511"/>
      <c r="BB848" s="511"/>
      <c r="BC848" s="511"/>
      <c r="BD848" s="511"/>
      <c r="BE848" s="511"/>
    </row>
    <row r="849" ht="15.75" customHeight="1">
      <c r="A849" s="511"/>
      <c r="B849" s="511"/>
      <c r="C849" s="511"/>
      <c r="D849" s="511"/>
      <c r="E849" s="511"/>
      <c r="F849" s="511"/>
      <c r="G849" s="511"/>
      <c r="H849" s="511"/>
      <c r="I849" s="511"/>
      <c r="J849" s="511"/>
      <c r="K849" s="511"/>
      <c r="L849" s="511"/>
      <c r="M849" s="511"/>
      <c r="N849" s="511"/>
      <c r="O849" s="511"/>
      <c r="P849" s="511"/>
      <c r="Q849" s="511"/>
      <c r="R849" s="511"/>
      <c r="S849" s="511"/>
      <c r="T849" s="511"/>
      <c r="U849" s="511"/>
      <c r="V849" s="511"/>
      <c r="W849" s="511"/>
      <c r="X849" s="511"/>
      <c r="Y849" s="511"/>
      <c r="Z849" s="511"/>
      <c r="AA849" s="511"/>
      <c r="AB849" s="511"/>
      <c r="AC849" s="511"/>
      <c r="AD849" s="511"/>
      <c r="AE849" s="511"/>
      <c r="AF849" s="511"/>
      <c r="AG849" s="511"/>
      <c r="AH849" s="511"/>
      <c r="AI849" s="511"/>
      <c r="AJ849" s="511"/>
      <c r="AK849" s="511"/>
      <c r="AL849" s="511"/>
      <c r="AM849" s="511"/>
      <c r="AN849" s="511"/>
      <c r="AO849" s="511"/>
      <c r="AP849" s="511"/>
      <c r="AQ849" s="511"/>
      <c r="AR849" s="511"/>
      <c r="AS849" s="511"/>
      <c r="AT849" s="511"/>
      <c r="AU849" s="511"/>
      <c r="AV849" s="511"/>
      <c r="AW849" s="511"/>
      <c r="AX849" s="511"/>
      <c r="AY849" s="511"/>
      <c r="AZ849" s="511"/>
      <c r="BA849" s="511"/>
      <c r="BB849" s="511"/>
      <c r="BC849" s="511"/>
      <c r="BD849" s="511"/>
      <c r="BE849" s="511"/>
    </row>
    <row r="850" ht="15.75" customHeight="1">
      <c r="A850" s="511"/>
      <c r="B850" s="511"/>
      <c r="C850" s="511"/>
      <c r="D850" s="511"/>
      <c r="E850" s="511"/>
      <c r="F850" s="511"/>
      <c r="G850" s="511"/>
      <c r="H850" s="511"/>
      <c r="I850" s="511"/>
      <c r="J850" s="511"/>
      <c r="K850" s="511"/>
      <c r="L850" s="511"/>
      <c r="M850" s="511"/>
      <c r="N850" s="511"/>
      <c r="O850" s="511"/>
      <c r="P850" s="511"/>
      <c r="Q850" s="511"/>
      <c r="R850" s="511"/>
      <c r="S850" s="511"/>
      <c r="T850" s="511"/>
      <c r="U850" s="511"/>
      <c r="V850" s="511"/>
      <c r="W850" s="511"/>
      <c r="X850" s="511"/>
      <c r="Y850" s="511"/>
      <c r="Z850" s="511"/>
      <c r="AA850" s="511"/>
      <c r="AB850" s="511"/>
      <c r="AC850" s="511"/>
      <c r="AD850" s="511"/>
      <c r="AE850" s="511"/>
      <c r="AF850" s="511"/>
      <c r="AG850" s="511"/>
      <c r="AH850" s="511"/>
      <c r="AI850" s="511"/>
      <c r="AJ850" s="511"/>
      <c r="AK850" s="511"/>
      <c r="AL850" s="511"/>
      <c r="AM850" s="511"/>
      <c r="AN850" s="511"/>
      <c r="AO850" s="511"/>
      <c r="AP850" s="511"/>
      <c r="AQ850" s="511"/>
      <c r="AR850" s="511"/>
      <c r="AS850" s="511"/>
      <c r="AT850" s="511"/>
      <c r="AU850" s="511"/>
      <c r="AV850" s="511"/>
      <c r="AW850" s="511"/>
      <c r="AX850" s="511"/>
      <c r="AY850" s="511"/>
      <c r="AZ850" s="511"/>
      <c r="BA850" s="511"/>
      <c r="BB850" s="511"/>
      <c r="BC850" s="511"/>
      <c r="BD850" s="511"/>
      <c r="BE850" s="511"/>
    </row>
    <row r="851" ht="15.75" customHeight="1">
      <c r="A851" s="511"/>
      <c r="B851" s="511"/>
      <c r="C851" s="511"/>
      <c r="D851" s="511"/>
      <c r="E851" s="511"/>
      <c r="F851" s="511"/>
      <c r="G851" s="511"/>
      <c r="H851" s="511"/>
      <c r="I851" s="511"/>
      <c r="J851" s="511"/>
      <c r="K851" s="511"/>
      <c r="L851" s="511"/>
      <c r="M851" s="511"/>
      <c r="N851" s="511"/>
      <c r="O851" s="511"/>
      <c r="P851" s="511"/>
      <c r="Q851" s="511"/>
      <c r="R851" s="511"/>
      <c r="S851" s="511"/>
      <c r="T851" s="511"/>
      <c r="U851" s="511"/>
      <c r="V851" s="511"/>
      <c r="W851" s="511"/>
      <c r="X851" s="511"/>
      <c r="Y851" s="511"/>
      <c r="Z851" s="511"/>
      <c r="AA851" s="511"/>
      <c r="AB851" s="511"/>
      <c r="AC851" s="511"/>
      <c r="AD851" s="511"/>
      <c r="AE851" s="511"/>
      <c r="AF851" s="511"/>
      <c r="AG851" s="511"/>
      <c r="AH851" s="511"/>
      <c r="AI851" s="511"/>
      <c r="AJ851" s="511"/>
      <c r="AK851" s="511"/>
      <c r="AL851" s="511"/>
      <c r="AM851" s="511"/>
      <c r="AN851" s="511"/>
      <c r="AO851" s="511"/>
      <c r="AP851" s="511"/>
      <c r="AQ851" s="511"/>
      <c r="AR851" s="511"/>
      <c r="AS851" s="511"/>
      <c r="AT851" s="511"/>
      <c r="AU851" s="511"/>
      <c r="AV851" s="511"/>
      <c r="AW851" s="511"/>
      <c r="AX851" s="511"/>
      <c r="AY851" s="511"/>
      <c r="AZ851" s="511"/>
      <c r="BA851" s="511"/>
      <c r="BB851" s="511"/>
      <c r="BC851" s="511"/>
      <c r="BD851" s="511"/>
      <c r="BE851" s="511"/>
    </row>
    <row r="852" ht="15.75" customHeight="1">
      <c r="A852" s="511"/>
      <c r="B852" s="511"/>
      <c r="C852" s="511"/>
      <c r="D852" s="511"/>
      <c r="E852" s="511"/>
      <c r="F852" s="511"/>
      <c r="G852" s="511"/>
      <c r="H852" s="511"/>
      <c r="I852" s="511"/>
      <c r="J852" s="511"/>
      <c r="K852" s="511"/>
      <c r="L852" s="511"/>
      <c r="M852" s="511"/>
      <c r="N852" s="511"/>
      <c r="O852" s="511"/>
      <c r="P852" s="511"/>
      <c r="Q852" s="511"/>
      <c r="R852" s="511"/>
      <c r="S852" s="511"/>
      <c r="T852" s="511"/>
      <c r="U852" s="511"/>
      <c r="V852" s="511"/>
      <c r="W852" s="511"/>
      <c r="X852" s="511"/>
      <c r="Y852" s="511"/>
      <c r="Z852" s="511"/>
      <c r="AA852" s="511"/>
      <c r="AB852" s="511"/>
      <c r="AC852" s="511"/>
      <c r="AD852" s="511"/>
      <c r="AE852" s="511"/>
      <c r="AF852" s="511"/>
      <c r="AG852" s="511"/>
      <c r="AH852" s="511"/>
      <c r="AI852" s="511"/>
      <c r="AJ852" s="511"/>
      <c r="AK852" s="511"/>
      <c r="AL852" s="511"/>
      <c r="AM852" s="511"/>
      <c r="AN852" s="511"/>
      <c r="AO852" s="511"/>
      <c r="AP852" s="511"/>
      <c r="AQ852" s="511"/>
      <c r="AR852" s="511"/>
      <c r="AS852" s="511"/>
      <c r="AT852" s="511"/>
      <c r="AU852" s="511"/>
      <c r="AV852" s="511"/>
      <c r="AW852" s="511"/>
      <c r="AX852" s="511"/>
      <c r="AY852" s="511"/>
      <c r="AZ852" s="511"/>
      <c r="BA852" s="511"/>
      <c r="BB852" s="511"/>
      <c r="BC852" s="511"/>
      <c r="BD852" s="511"/>
      <c r="BE852" s="511"/>
    </row>
    <row r="853" ht="15.75" customHeight="1">
      <c r="A853" s="511"/>
      <c r="B853" s="511"/>
      <c r="C853" s="511"/>
      <c r="D853" s="511"/>
      <c r="E853" s="511"/>
      <c r="F853" s="511"/>
      <c r="G853" s="511"/>
      <c r="H853" s="511"/>
      <c r="I853" s="511"/>
      <c r="J853" s="511"/>
      <c r="K853" s="511"/>
      <c r="L853" s="511"/>
      <c r="M853" s="511"/>
      <c r="N853" s="511"/>
      <c r="O853" s="511"/>
      <c r="P853" s="511"/>
      <c r="Q853" s="511"/>
      <c r="R853" s="511"/>
      <c r="S853" s="511"/>
      <c r="T853" s="511"/>
      <c r="U853" s="511"/>
      <c r="V853" s="511"/>
      <c r="W853" s="511"/>
      <c r="X853" s="511"/>
      <c r="Y853" s="511"/>
      <c r="Z853" s="511"/>
      <c r="AA853" s="511"/>
      <c r="AB853" s="511"/>
      <c r="AC853" s="511"/>
      <c r="AD853" s="511"/>
      <c r="AE853" s="511"/>
      <c r="AF853" s="511"/>
      <c r="AG853" s="511"/>
      <c r="AH853" s="511"/>
      <c r="AI853" s="511"/>
      <c r="AJ853" s="511"/>
      <c r="AK853" s="511"/>
      <c r="AL853" s="511"/>
      <c r="AM853" s="511"/>
      <c r="AN853" s="511"/>
      <c r="AO853" s="511"/>
      <c r="AP853" s="511"/>
      <c r="AQ853" s="511"/>
      <c r="AR853" s="511"/>
      <c r="AS853" s="511"/>
      <c r="AT853" s="511"/>
      <c r="AU853" s="511"/>
      <c r="AV853" s="511"/>
      <c r="AW853" s="511"/>
      <c r="AX853" s="511"/>
      <c r="AY853" s="511"/>
      <c r="AZ853" s="511"/>
      <c r="BA853" s="511"/>
      <c r="BB853" s="511"/>
      <c r="BC853" s="511"/>
      <c r="BD853" s="511"/>
      <c r="BE853" s="511"/>
    </row>
    <row r="854" ht="15.75" customHeight="1">
      <c r="A854" s="511"/>
      <c r="B854" s="511"/>
      <c r="C854" s="511"/>
      <c r="D854" s="511"/>
      <c r="E854" s="511"/>
      <c r="F854" s="511"/>
      <c r="G854" s="511"/>
      <c r="H854" s="511"/>
      <c r="I854" s="511"/>
      <c r="J854" s="511"/>
      <c r="K854" s="511"/>
      <c r="L854" s="511"/>
      <c r="M854" s="511"/>
      <c r="N854" s="511"/>
      <c r="O854" s="511"/>
      <c r="P854" s="511"/>
      <c r="Q854" s="511"/>
      <c r="R854" s="511"/>
      <c r="S854" s="511"/>
      <c r="T854" s="511"/>
      <c r="U854" s="511"/>
      <c r="V854" s="511"/>
      <c r="W854" s="511"/>
      <c r="X854" s="511"/>
      <c r="Y854" s="511"/>
      <c r="Z854" s="511"/>
      <c r="AA854" s="511"/>
      <c r="AB854" s="511"/>
      <c r="AC854" s="511"/>
      <c r="AD854" s="511"/>
      <c r="AE854" s="511"/>
      <c r="AF854" s="511"/>
      <c r="AG854" s="511"/>
      <c r="AH854" s="511"/>
      <c r="AI854" s="511"/>
      <c r="AJ854" s="511"/>
      <c r="AK854" s="511"/>
      <c r="AL854" s="511"/>
      <c r="AM854" s="511"/>
      <c r="AN854" s="511"/>
      <c r="AO854" s="511"/>
      <c r="AP854" s="511"/>
      <c r="AQ854" s="511"/>
      <c r="AR854" s="511"/>
      <c r="AS854" s="511"/>
      <c r="AT854" s="511"/>
      <c r="AU854" s="511"/>
      <c r="AV854" s="511"/>
      <c r="AW854" s="511"/>
      <c r="AX854" s="511"/>
      <c r="AY854" s="511"/>
      <c r="AZ854" s="511"/>
      <c r="BA854" s="511"/>
      <c r="BB854" s="511"/>
      <c r="BC854" s="511"/>
      <c r="BD854" s="511"/>
      <c r="BE854" s="511"/>
    </row>
    <row r="855" ht="15.75" customHeight="1">
      <c r="A855" s="511"/>
      <c r="B855" s="511"/>
      <c r="C855" s="511"/>
      <c r="D855" s="511"/>
      <c r="E855" s="511"/>
      <c r="F855" s="511"/>
      <c r="G855" s="511"/>
      <c r="H855" s="511"/>
      <c r="I855" s="511"/>
      <c r="J855" s="511"/>
      <c r="K855" s="511"/>
      <c r="L855" s="511"/>
      <c r="M855" s="511"/>
      <c r="N855" s="511"/>
      <c r="O855" s="511"/>
      <c r="P855" s="511"/>
      <c r="Q855" s="511"/>
      <c r="R855" s="511"/>
      <c r="S855" s="511"/>
      <c r="T855" s="511"/>
      <c r="U855" s="511"/>
      <c r="V855" s="511"/>
      <c r="W855" s="511"/>
      <c r="X855" s="511"/>
      <c r="Y855" s="511"/>
      <c r="Z855" s="511"/>
      <c r="AA855" s="511"/>
      <c r="AB855" s="511"/>
      <c r="AC855" s="511"/>
      <c r="AD855" s="511"/>
      <c r="AE855" s="511"/>
      <c r="AF855" s="511"/>
      <c r="AG855" s="511"/>
      <c r="AH855" s="511"/>
      <c r="AI855" s="511"/>
      <c r="AJ855" s="511"/>
      <c r="AK855" s="511"/>
      <c r="AL855" s="511"/>
      <c r="AM855" s="511"/>
      <c r="AN855" s="511"/>
      <c r="AO855" s="511"/>
      <c r="AP855" s="511"/>
      <c r="AQ855" s="511"/>
      <c r="AR855" s="511"/>
      <c r="AS855" s="511"/>
      <c r="AT855" s="511"/>
      <c r="AU855" s="511"/>
      <c r="AV855" s="511"/>
      <c r="AW855" s="511"/>
      <c r="AX855" s="511"/>
      <c r="AY855" s="511"/>
      <c r="AZ855" s="511"/>
      <c r="BA855" s="511"/>
      <c r="BB855" s="511"/>
      <c r="BC855" s="511"/>
      <c r="BD855" s="511"/>
      <c r="BE855" s="511"/>
    </row>
    <row r="856" ht="15.75" customHeight="1">
      <c r="A856" s="511"/>
      <c r="B856" s="511"/>
      <c r="C856" s="511"/>
      <c r="D856" s="511"/>
      <c r="E856" s="511"/>
      <c r="F856" s="511"/>
      <c r="G856" s="511"/>
      <c r="H856" s="511"/>
      <c r="I856" s="511"/>
      <c r="J856" s="511"/>
      <c r="K856" s="511"/>
      <c r="L856" s="511"/>
      <c r="M856" s="511"/>
      <c r="N856" s="511"/>
      <c r="O856" s="511"/>
      <c r="P856" s="511"/>
      <c r="Q856" s="511"/>
      <c r="R856" s="511"/>
      <c r="S856" s="511"/>
      <c r="T856" s="511"/>
      <c r="U856" s="511"/>
      <c r="V856" s="511"/>
      <c r="W856" s="511"/>
      <c r="X856" s="511"/>
      <c r="Y856" s="511"/>
      <c r="Z856" s="511"/>
      <c r="AA856" s="511"/>
      <c r="AB856" s="511"/>
      <c r="AC856" s="511"/>
      <c r="AD856" s="511"/>
      <c r="AE856" s="511"/>
      <c r="AF856" s="511"/>
      <c r="AG856" s="511"/>
      <c r="AH856" s="511"/>
      <c r="AI856" s="511"/>
      <c r="AJ856" s="511"/>
      <c r="AK856" s="511"/>
      <c r="AL856" s="511"/>
      <c r="AM856" s="511"/>
      <c r="AN856" s="511"/>
      <c r="AO856" s="511"/>
      <c r="AP856" s="511"/>
      <c r="AQ856" s="511"/>
      <c r="AR856" s="511"/>
      <c r="AS856" s="511"/>
      <c r="AT856" s="511"/>
      <c r="AU856" s="511"/>
      <c r="AV856" s="511"/>
      <c r="AW856" s="511"/>
      <c r="AX856" s="511"/>
      <c r="AY856" s="511"/>
      <c r="AZ856" s="511"/>
      <c r="BA856" s="511"/>
      <c r="BB856" s="511"/>
      <c r="BC856" s="511"/>
      <c r="BD856" s="511"/>
      <c r="BE856" s="511"/>
    </row>
    <row r="857" ht="15.75" customHeight="1">
      <c r="A857" s="511"/>
      <c r="B857" s="511"/>
      <c r="C857" s="511"/>
      <c r="D857" s="511"/>
      <c r="E857" s="511"/>
      <c r="F857" s="511"/>
      <c r="G857" s="511"/>
      <c r="H857" s="511"/>
      <c r="I857" s="511"/>
      <c r="J857" s="511"/>
      <c r="K857" s="511"/>
      <c r="L857" s="511"/>
      <c r="M857" s="511"/>
      <c r="N857" s="511"/>
      <c r="O857" s="511"/>
      <c r="P857" s="511"/>
      <c r="Q857" s="511"/>
      <c r="R857" s="511"/>
      <c r="S857" s="511"/>
      <c r="T857" s="511"/>
      <c r="U857" s="511"/>
      <c r="V857" s="511"/>
      <c r="W857" s="511"/>
      <c r="X857" s="511"/>
      <c r="Y857" s="511"/>
      <c r="Z857" s="511"/>
      <c r="AA857" s="511"/>
      <c r="AB857" s="511"/>
      <c r="AC857" s="511"/>
      <c r="AD857" s="511"/>
      <c r="AE857" s="511"/>
      <c r="AF857" s="511"/>
      <c r="AG857" s="511"/>
      <c r="AH857" s="511"/>
      <c r="AI857" s="511"/>
      <c r="AJ857" s="511"/>
      <c r="AK857" s="511"/>
      <c r="AL857" s="511"/>
      <c r="AM857" s="511"/>
      <c r="AN857" s="511"/>
      <c r="AO857" s="511"/>
      <c r="AP857" s="511"/>
      <c r="AQ857" s="511"/>
      <c r="AR857" s="511"/>
      <c r="AS857" s="511"/>
      <c r="AT857" s="511"/>
      <c r="AU857" s="511"/>
      <c r="AV857" s="511"/>
      <c r="AW857" s="511"/>
      <c r="AX857" s="511"/>
      <c r="AY857" s="511"/>
      <c r="AZ857" s="511"/>
      <c r="BA857" s="511"/>
      <c r="BB857" s="511"/>
      <c r="BC857" s="511"/>
      <c r="BD857" s="511"/>
      <c r="BE857" s="511"/>
    </row>
    <row r="858" ht="15.75" customHeight="1">
      <c r="A858" s="511"/>
      <c r="B858" s="511"/>
      <c r="C858" s="511"/>
      <c r="D858" s="511"/>
      <c r="E858" s="511"/>
      <c r="F858" s="511"/>
      <c r="G858" s="511"/>
      <c r="H858" s="511"/>
      <c r="I858" s="511"/>
      <c r="J858" s="511"/>
      <c r="K858" s="511"/>
      <c r="L858" s="511"/>
      <c r="M858" s="511"/>
      <c r="N858" s="511"/>
      <c r="O858" s="511"/>
      <c r="P858" s="511"/>
      <c r="Q858" s="511"/>
      <c r="R858" s="511"/>
      <c r="S858" s="511"/>
      <c r="T858" s="511"/>
      <c r="U858" s="511"/>
      <c r="V858" s="511"/>
      <c r="W858" s="511"/>
      <c r="X858" s="511"/>
      <c r="Y858" s="511"/>
      <c r="Z858" s="511"/>
      <c r="AA858" s="511"/>
      <c r="AB858" s="511"/>
      <c r="AC858" s="511"/>
      <c r="AD858" s="511"/>
      <c r="AE858" s="511"/>
      <c r="AF858" s="511"/>
      <c r="AG858" s="511"/>
      <c r="AH858" s="511"/>
      <c r="AI858" s="511"/>
      <c r="AJ858" s="511"/>
      <c r="AK858" s="511"/>
      <c r="AL858" s="511"/>
      <c r="AM858" s="511"/>
      <c r="AN858" s="511"/>
      <c r="AO858" s="511"/>
      <c r="AP858" s="511"/>
      <c r="AQ858" s="511"/>
      <c r="AR858" s="511"/>
      <c r="AS858" s="511"/>
      <c r="AT858" s="511"/>
      <c r="AU858" s="511"/>
      <c r="AV858" s="511"/>
      <c r="AW858" s="511"/>
      <c r="AX858" s="511"/>
      <c r="AY858" s="511"/>
      <c r="AZ858" s="511"/>
      <c r="BA858" s="511"/>
      <c r="BB858" s="511"/>
      <c r="BC858" s="511"/>
      <c r="BD858" s="511"/>
      <c r="BE858" s="511"/>
    </row>
    <row r="859" ht="15.75" customHeight="1">
      <c r="A859" s="511"/>
      <c r="B859" s="511"/>
      <c r="C859" s="511"/>
      <c r="D859" s="511"/>
      <c r="E859" s="511"/>
      <c r="F859" s="511"/>
      <c r="G859" s="511"/>
      <c r="H859" s="511"/>
      <c r="I859" s="511"/>
      <c r="J859" s="511"/>
      <c r="K859" s="511"/>
      <c r="L859" s="511"/>
      <c r="M859" s="511"/>
      <c r="N859" s="511"/>
      <c r="O859" s="511"/>
      <c r="P859" s="511"/>
      <c r="Q859" s="511"/>
      <c r="R859" s="511"/>
      <c r="S859" s="511"/>
      <c r="T859" s="511"/>
      <c r="U859" s="511"/>
      <c r="V859" s="511"/>
      <c r="W859" s="511"/>
      <c r="X859" s="511"/>
      <c r="Y859" s="511"/>
      <c r="Z859" s="511"/>
      <c r="AA859" s="511"/>
      <c r="AB859" s="511"/>
      <c r="AC859" s="511"/>
      <c r="AD859" s="511"/>
      <c r="AE859" s="511"/>
      <c r="AF859" s="511"/>
      <c r="AG859" s="511"/>
      <c r="AH859" s="511"/>
      <c r="AI859" s="511"/>
      <c r="AJ859" s="511"/>
      <c r="AK859" s="511"/>
      <c r="AL859" s="511"/>
      <c r="AM859" s="511"/>
      <c r="AN859" s="511"/>
      <c r="AO859" s="511"/>
      <c r="AP859" s="511"/>
      <c r="AQ859" s="511"/>
      <c r="AR859" s="511"/>
      <c r="AS859" s="511"/>
      <c r="AT859" s="511"/>
      <c r="AU859" s="511"/>
      <c r="AV859" s="511"/>
      <c r="AW859" s="511"/>
      <c r="AX859" s="511"/>
      <c r="AY859" s="511"/>
      <c r="AZ859" s="511"/>
      <c r="BA859" s="511"/>
      <c r="BB859" s="511"/>
      <c r="BC859" s="511"/>
      <c r="BD859" s="511"/>
      <c r="BE859" s="511"/>
    </row>
    <row r="860" ht="15.75" customHeight="1">
      <c r="A860" s="511"/>
      <c r="B860" s="511"/>
      <c r="C860" s="511"/>
      <c r="D860" s="511"/>
      <c r="E860" s="511"/>
      <c r="F860" s="511"/>
      <c r="G860" s="511"/>
      <c r="H860" s="511"/>
      <c r="I860" s="511"/>
      <c r="J860" s="511"/>
      <c r="K860" s="511"/>
      <c r="L860" s="511"/>
      <c r="M860" s="511"/>
      <c r="N860" s="511"/>
      <c r="O860" s="511"/>
      <c r="P860" s="511"/>
      <c r="Q860" s="511"/>
      <c r="R860" s="511"/>
      <c r="S860" s="511"/>
      <c r="T860" s="511"/>
      <c r="U860" s="511"/>
      <c r="V860" s="511"/>
      <c r="W860" s="511"/>
      <c r="X860" s="511"/>
      <c r="Y860" s="511"/>
      <c r="Z860" s="511"/>
      <c r="AA860" s="511"/>
      <c r="AB860" s="511"/>
      <c r="AC860" s="511"/>
      <c r="AD860" s="511"/>
      <c r="AE860" s="511"/>
      <c r="AF860" s="511"/>
      <c r="AG860" s="511"/>
      <c r="AH860" s="511"/>
      <c r="AI860" s="511"/>
      <c r="AJ860" s="511"/>
      <c r="AK860" s="511"/>
      <c r="AL860" s="511"/>
      <c r="AM860" s="511"/>
      <c r="AN860" s="511"/>
      <c r="AO860" s="511"/>
      <c r="AP860" s="511"/>
      <c r="AQ860" s="511"/>
      <c r="AR860" s="511"/>
      <c r="AS860" s="511"/>
      <c r="AT860" s="511"/>
      <c r="AU860" s="511"/>
      <c r="AV860" s="511"/>
      <c r="AW860" s="511"/>
      <c r="AX860" s="511"/>
      <c r="AY860" s="511"/>
      <c r="AZ860" s="511"/>
      <c r="BA860" s="511"/>
      <c r="BB860" s="511"/>
      <c r="BC860" s="511"/>
      <c r="BD860" s="511"/>
      <c r="BE860" s="511"/>
    </row>
    <row r="861" ht="15.75" customHeight="1">
      <c r="A861" s="511"/>
      <c r="B861" s="511"/>
      <c r="C861" s="511"/>
      <c r="D861" s="511"/>
      <c r="E861" s="511"/>
      <c r="F861" s="511"/>
      <c r="G861" s="511"/>
      <c r="H861" s="511"/>
      <c r="I861" s="511"/>
      <c r="J861" s="511"/>
      <c r="K861" s="511"/>
      <c r="L861" s="511"/>
      <c r="M861" s="511"/>
      <c r="N861" s="511"/>
      <c r="O861" s="511"/>
      <c r="P861" s="511"/>
      <c r="Q861" s="511"/>
      <c r="R861" s="511"/>
      <c r="S861" s="511"/>
      <c r="T861" s="511"/>
      <c r="U861" s="511"/>
      <c r="V861" s="511"/>
      <c r="W861" s="511"/>
      <c r="X861" s="511"/>
      <c r="Y861" s="511"/>
      <c r="Z861" s="511"/>
      <c r="AA861" s="511"/>
      <c r="AB861" s="511"/>
      <c r="AC861" s="511"/>
      <c r="AD861" s="511"/>
      <c r="AE861" s="511"/>
      <c r="AF861" s="511"/>
      <c r="AG861" s="511"/>
      <c r="AH861" s="511"/>
      <c r="AI861" s="511"/>
      <c r="AJ861" s="511"/>
      <c r="AK861" s="511"/>
      <c r="AL861" s="511"/>
      <c r="AM861" s="511"/>
      <c r="AN861" s="511"/>
      <c r="AO861" s="511"/>
      <c r="AP861" s="511"/>
      <c r="AQ861" s="511"/>
      <c r="AR861" s="511"/>
      <c r="AS861" s="511"/>
      <c r="AT861" s="511"/>
      <c r="AU861" s="511"/>
      <c r="AV861" s="511"/>
      <c r="AW861" s="511"/>
      <c r="AX861" s="511"/>
      <c r="AY861" s="511"/>
      <c r="AZ861" s="511"/>
      <c r="BA861" s="511"/>
      <c r="BB861" s="511"/>
      <c r="BC861" s="511"/>
      <c r="BD861" s="511"/>
      <c r="BE861" s="511"/>
    </row>
    <row r="862" ht="15.75" customHeight="1">
      <c r="A862" s="511"/>
      <c r="B862" s="511"/>
      <c r="C862" s="511"/>
      <c r="D862" s="511"/>
      <c r="E862" s="511"/>
      <c r="F862" s="511"/>
      <c r="G862" s="511"/>
      <c r="H862" s="511"/>
      <c r="I862" s="511"/>
      <c r="J862" s="511"/>
      <c r="K862" s="511"/>
      <c r="L862" s="511"/>
      <c r="M862" s="511"/>
      <c r="N862" s="511"/>
      <c r="O862" s="511"/>
      <c r="P862" s="511"/>
      <c r="Q862" s="511"/>
      <c r="R862" s="511"/>
      <c r="S862" s="511"/>
      <c r="T862" s="511"/>
      <c r="U862" s="511"/>
      <c r="V862" s="511"/>
      <c r="W862" s="511"/>
      <c r="X862" s="511"/>
      <c r="Y862" s="511"/>
      <c r="Z862" s="511"/>
      <c r="AA862" s="511"/>
      <c r="AB862" s="511"/>
      <c r="AC862" s="511"/>
      <c r="AD862" s="511"/>
      <c r="AE862" s="511"/>
      <c r="AF862" s="511"/>
      <c r="AG862" s="511"/>
      <c r="AH862" s="511"/>
      <c r="AI862" s="511"/>
      <c r="AJ862" s="511"/>
      <c r="AK862" s="511"/>
      <c r="AL862" s="511"/>
      <c r="AM862" s="511"/>
      <c r="AN862" s="511"/>
      <c r="AO862" s="511"/>
      <c r="AP862" s="511"/>
      <c r="AQ862" s="511"/>
      <c r="AR862" s="511"/>
      <c r="AS862" s="511"/>
      <c r="AT862" s="511"/>
      <c r="AU862" s="511"/>
      <c r="AV862" s="511"/>
      <c r="AW862" s="511"/>
      <c r="AX862" s="511"/>
      <c r="AY862" s="511"/>
      <c r="AZ862" s="511"/>
      <c r="BA862" s="511"/>
      <c r="BB862" s="511"/>
      <c r="BC862" s="511"/>
      <c r="BD862" s="511"/>
      <c r="BE862" s="511"/>
    </row>
    <row r="863" ht="15.75" customHeight="1">
      <c r="A863" s="511"/>
      <c r="B863" s="511"/>
      <c r="C863" s="511"/>
      <c r="D863" s="511"/>
      <c r="E863" s="511"/>
      <c r="F863" s="511"/>
      <c r="G863" s="511"/>
      <c r="H863" s="511"/>
      <c r="I863" s="511"/>
      <c r="J863" s="511"/>
      <c r="K863" s="511"/>
      <c r="L863" s="511"/>
      <c r="M863" s="511"/>
      <c r="N863" s="511"/>
      <c r="O863" s="511"/>
      <c r="P863" s="511"/>
      <c r="Q863" s="511"/>
      <c r="R863" s="511"/>
      <c r="S863" s="511"/>
      <c r="T863" s="511"/>
      <c r="U863" s="511"/>
      <c r="V863" s="511"/>
      <c r="W863" s="511"/>
      <c r="X863" s="511"/>
      <c r="Y863" s="511"/>
      <c r="Z863" s="511"/>
      <c r="AA863" s="511"/>
      <c r="AB863" s="511"/>
      <c r="AC863" s="511"/>
      <c r="AD863" s="511"/>
      <c r="AE863" s="511"/>
      <c r="AF863" s="511"/>
      <c r="AG863" s="511"/>
      <c r="AH863" s="511"/>
      <c r="AI863" s="511"/>
      <c r="AJ863" s="511"/>
      <c r="AK863" s="511"/>
      <c r="AL863" s="511"/>
      <c r="AM863" s="511"/>
      <c r="AN863" s="511"/>
      <c r="AO863" s="511"/>
      <c r="AP863" s="511"/>
      <c r="AQ863" s="511"/>
      <c r="AR863" s="511"/>
      <c r="AS863" s="511"/>
      <c r="AT863" s="511"/>
      <c r="AU863" s="511"/>
      <c r="AV863" s="511"/>
      <c r="AW863" s="511"/>
      <c r="AX863" s="511"/>
      <c r="AY863" s="511"/>
      <c r="AZ863" s="511"/>
      <c r="BA863" s="511"/>
      <c r="BB863" s="511"/>
      <c r="BC863" s="511"/>
      <c r="BD863" s="511"/>
      <c r="BE863" s="511"/>
    </row>
    <row r="864" ht="15.75" customHeight="1">
      <c r="A864" s="511"/>
      <c r="B864" s="511"/>
      <c r="C864" s="511"/>
      <c r="D864" s="511"/>
      <c r="E864" s="511"/>
      <c r="F864" s="511"/>
      <c r="G864" s="511"/>
      <c r="H864" s="511"/>
      <c r="I864" s="511"/>
      <c r="J864" s="511"/>
      <c r="K864" s="511"/>
      <c r="L864" s="511"/>
      <c r="M864" s="511"/>
      <c r="N864" s="511"/>
      <c r="O864" s="511"/>
      <c r="P864" s="511"/>
      <c r="Q864" s="511"/>
      <c r="R864" s="511"/>
      <c r="S864" s="511"/>
      <c r="T864" s="511"/>
      <c r="U864" s="511"/>
      <c r="V864" s="511"/>
      <c r="W864" s="511"/>
      <c r="X864" s="511"/>
      <c r="Y864" s="511"/>
      <c r="Z864" s="511"/>
      <c r="AA864" s="511"/>
      <c r="AB864" s="511"/>
      <c r="AC864" s="511"/>
      <c r="AD864" s="511"/>
      <c r="AE864" s="511"/>
      <c r="AF864" s="511"/>
      <c r="AG864" s="511"/>
      <c r="AH864" s="511"/>
      <c r="AI864" s="511"/>
      <c r="AJ864" s="511"/>
      <c r="AK864" s="511"/>
      <c r="AL864" s="511"/>
      <c r="AM864" s="511"/>
      <c r="AN864" s="511"/>
      <c r="AO864" s="511"/>
      <c r="AP864" s="511"/>
      <c r="AQ864" s="511"/>
      <c r="AR864" s="511"/>
      <c r="AS864" s="511"/>
      <c r="AT864" s="511"/>
      <c r="AU864" s="511"/>
      <c r="AV864" s="511"/>
      <c r="AW864" s="511"/>
      <c r="AX864" s="511"/>
      <c r="AY864" s="511"/>
      <c r="AZ864" s="511"/>
      <c r="BA864" s="511"/>
      <c r="BB864" s="511"/>
      <c r="BC864" s="511"/>
      <c r="BD864" s="511"/>
      <c r="BE864" s="511"/>
    </row>
    <row r="865" ht="15.75" customHeight="1">
      <c r="A865" s="511"/>
      <c r="B865" s="511"/>
      <c r="C865" s="511"/>
      <c r="D865" s="511"/>
      <c r="E865" s="511"/>
      <c r="F865" s="511"/>
      <c r="G865" s="511"/>
      <c r="H865" s="511"/>
      <c r="I865" s="511"/>
      <c r="J865" s="511"/>
      <c r="K865" s="511"/>
      <c r="L865" s="511"/>
      <c r="M865" s="511"/>
      <c r="N865" s="511"/>
      <c r="O865" s="511"/>
      <c r="P865" s="511"/>
      <c r="Q865" s="511"/>
      <c r="R865" s="511"/>
      <c r="S865" s="511"/>
      <c r="T865" s="511"/>
      <c r="U865" s="511"/>
      <c r="V865" s="511"/>
      <c r="W865" s="511"/>
      <c r="X865" s="511"/>
      <c r="Y865" s="511"/>
      <c r="Z865" s="511"/>
      <c r="AA865" s="511"/>
      <c r="AB865" s="511"/>
      <c r="AC865" s="511"/>
      <c r="AD865" s="511"/>
      <c r="AE865" s="511"/>
      <c r="AF865" s="511"/>
      <c r="AG865" s="511"/>
      <c r="AH865" s="511"/>
      <c r="AI865" s="511"/>
      <c r="AJ865" s="511"/>
      <c r="AK865" s="511"/>
      <c r="AL865" s="511"/>
      <c r="AM865" s="511"/>
      <c r="AN865" s="511"/>
      <c r="AO865" s="511"/>
      <c r="AP865" s="511"/>
      <c r="AQ865" s="511"/>
      <c r="AR865" s="511"/>
      <c r="AS865" s="511"/>
      <c r="AT865" s="511"/>
      <c r="AU865" s="511"/>
      <c r="AV865" s="511"/>
      <c r="AW865" s="511"/>
      <c r="AX865" s="511"/>
      <c r="AY865" s="511"/>
      <c r="AZ865" s="511"/>
      <c r="BA865" s="511"/>
      <c r="BB865" s="511"/>
      <c r="BC865" s="511"/>
      <c r="BD865" s="511"/>
      <c r="BE865" s="511"/>
    </row>
    <row r="866" ht="15.75" customHeight="1">
      <c r="A866" s="511"/>
      <c r="B866" s="511"/>
      <c r="C866" s="511"/>
      <c r="D866" s="511"/>
      <c r="E866" s="511"/>
      <c r="F866" s="511"/>
      <c r="G866" s="511"/>
      <c r="H866" s="511"/>
      <c r="I866" s="511"/>
      <c r="J866" s="511"/>
      <c r="K866" s="511"/>
      <c r="L866" s="511"/>
      <c r="M866" s="511"/>
      <c r="N866" s="511"/>
      <c r="O866" s="511"/>
      <c r="P866" s="511"/>
      <c r="Q866" s="511"/>
      <c r="R866" s="511"/>
      <c r="S866" s="511"/>
      <c r="T866" s="511"/>
      <c r="U866" s="511"/>
      <c r="V866" s="511"/>
      <c r="W866" s="511"/>
      <c r="X866" s="511"/>
      <c r="Y866" s="511"/>
      <c r="Z866" s="511"/>
      <c r="AA866" s="511"/>
      <c r="AB866" s="511"/>
      <c r="AC866" s="511"/>
      <c r="AD866" s="511"/>
      <c r="AE866" s="511"/>
      <c r="AF866" s="511"/>
      <c r="AG866" s="511"/>
      <c r="AH866" s="511"/>
      <c r="AI866" s="511"/>
      <c r="AJ866" s="511"/>
      <c r="AK866" s="511"/>
      <c r="AL866" s="511"/>
      <c r="AM866" s="511"/>
      <c r="AN866" s="511"/>
      <c r="AO866" s="511"/>
      <c r="AP866" s="511"/>
      <c r="AQ866" s="511"/>
      <c r="AR866" s="511"/>
      <c r="AS866" s="511"/>
      <c r="AT866" s="511"/>
      <c r="AU866" s="511"/>
      <c r="AV866" s="511"/>
      <c r="AW866" s="511"/>
      <c r="AX866" s="511"/>
      <c r="AY866" s="511"/>
      <c r="AZ866" s="511"/>
      <c r="BA866" s="511"/>
      <c r="BB866" s="511"/>
      <c r="BC866" s="511"/>
      <c r="BD866" s="511"/>
      <c r="BE866" s="511"/>
    </row>
    <row r="867" ht="15.75" customHeight="1">
      <c r="A867" s="511"/>
      <c r="B867" s="511"/>
      <c r="C867" s="511"/>
      <c r="D867" s="511"/>
      <c r="E867" s="511"/>
      <c r="F867" s="511"/>
      <c r="G867" s="511"/>
      <c r="H867" s="511"/>
      <c r="I867" s="511"/>
      <c r="J867" s="511"/>
      <c r="K867" s="511"/>
      <c r="L867" s="511"/>
      <c r="M867" s="511"/>
      <c r="N867" s="511"/>
      <c r="O867" s="511"/>
      <c r="P867" s="511"/>
      <c r="Q867" s="511"/>
      <c r="R867" s="511"/>
      <c r="S867" s="511"/>
      <c r="T867" s="511"/>
      <c r="U867" s="511"/>
      <c r="V867" s="511"/>
      <c r="W867" s="511"/>
      <c r="X867" s="511"/>
      <c r="Y867" s="511"/>
      <c r="Z867" s="511"/>
      <c r="AA867" s="511"/>
      <c r="AB867" s="511"/>
      <c r="AC867" s="511"/>
      <c r="AD867" s="511"/>
      <c r="AE867" s="511"/>
      <c r="AF867" s="511"/>
      <c r="AG867" s="511"/>
      <c r="AH867" s="511"/>
      <c r="AI867" s="511"/>
      <c r="AJ867" s="511"/>
      <c r="AK867" s="511"/>
      <c r="AL867" s="511"/>
      <c r="AM867" s="511"/>
      <c r="AN867" s="511"/>
      <c r="AO867" s="511"/>
      <c r="AP867" s="511"/>
      <c r="AQ867" s="511"/>
      <c r="AR867" s="511"/>
      <c r="AS867" s="511"/>
      <c r="AT867" s="511"/>
      <c r="AU867" s="511"/>
      <c r="AV867" s="511"/>
      <c r="AW867" s="511"/>
      <c r="AX867" s="511"/>
      <c r="AY867" s="511"/>
      <c r="AZ867" s="511"/>
      <c r="BA867" s="511"/>
      <c r="BB867" s="511"/>
      <c r="BC867" s="511"/>
      <c r="BD867" s="511"/>
      <c r="BE867" s="511"/>
    </row>
    <row r="868" ht="15.75" customHeight="1">
      <c r="A868" s="511"/>
      <c r="B868" s="511"/>
      <c r="C868" s="511"/>
      <c r="D868" s="511"/>
      <c r="E868" s="511"/>
      <c r="F868" s="511"/>
      <c r="G868" s="511"/>
      <c r="H868" s="511"/>
      <c r="I868" s="511"/>
      <c r="J868" s="511"/>
      <c r="K868" s="511"/>
      <c r="L868" s="511"/>
      <c r="M868" s="511"/>
      <c r="N868" s="511"/>
      <c r="O868" s="511"/>
      <c r="P868" s="511"/>
      <c r="Q868" s="511"/>
      <c r="R868" s="511"/>
      <c r="S868" s="511"/>
      <c r="T868" s="511"/>
      <c r="U868" s="511"/>
      <c r="V868" s="511"/>
      <c r="W868" s="511"/>
      <c r="X868" s="511"/>
      <c r="Y868" s="511"/>
      <c r="Z868" s="511"/>
      <c r="AA868" s="511"/>
      <c r="AB868" s="511"/>
      <c r="AC868" s="511"/>
      <c r="AD868" s="511"/>
      <c r="AE868" s="511"/>
      <c r="AF868" s="511"/>
      <c r="AG868" s="511"/>
      <c r="AH868" s="511"/>
      <c r="AI868" s="511"/>
      <c r="AJ868" s="511"/>
      <c r="AK868" s="511"/>
      <c r="AL868" s="511"/>
      <c r="AM868" s="511"/>
      <c r="AN868" s="511"/>
      <c r="AO868" s="511"/>
      <c r="AP868" s="511"/>
      <c r="AQ868" s="511"/>
      <c r="AR868" s="511"/>
      <c r="AS868" s="511"/>
      <c r="AT868" s="511"/>
      <c r="AU868" s="511"/>
      <c r="AV868" s="511"/>
      <c r="AW868" s="511"/>
      <c r="AX868" s="511"/>
      <c r="AY868" s="511"/>
      <c r="AZ868" s="511"/>
      <c r="BA868" s="511"/>
      <c r="BB868" s="511"/>
      <c r="BC868" s="511"/>
      <c r="BD868" s="511"/>
      <c r="BE868" s="511"/>
    </row>
    <row r="869" ht="15.75" customHeight="1">
      <c r="A869" s="511"/>
      <c r="B869" s="511"/>
      <c r="C869" s="511"/>
      <c r="D869" s="511"/>
      <c r="E869" s="511"/>
      <c r="F869" s="511"/>
      <c r="G869" s="511"/>
      <c r="H869" s="511"/>
      <c r="I869" s="511"/>
      <c r="J869" s="511"/>
      <c r="K869" s="511"/>
      <c r="L869" s="511"/>
      <c r="M869" s="511"/>
      <c r="N869" s="511"/>
      <c r="O869" s="511"/>
      <c r="P869" s="511"/>
      <c r="Q869" s="511"/>
      <c r="R869" s="511"/>
      <c r="S869" s="511"/>
      <c r="T869" s="511"/>
      <c r="U869" s="511"/>
      <c r="V869" s="511"/>
      <c r="W869" s="511"/>
      <c r="X869" s="511"/>
      <c r="Y869" s="511"/>
      <c r="Z869" s="511"/>
      <c r="AA869" s="511"/>
      <c r="AB869" s="511"/>
      <c r="AC869" s="511"/>
      <c r="AD869" s="511"/>
      <c r="AE869" s="511"/>
      <c r="AF869" s="511"/>
      <c r="AG869" s="511"/>
      <c r="AH869" s="511"/>
      <c r="AI869" s="511"/>
      <c r="AJ869" s="511"/>
      <c r="AK869" s="511"/>
      <c r="AL869" s="511"/>
      <c r="AM869" s="511"/>
      <c r="AN869" s="511"/>
      <c r="AO869" s="511"/>
      <c r="AP869" s="511"/>
      <c r="AQ869" s="511"/>
      <c r="AR869" s="511"/>
      <c r="AS869" s="511"/>
      <c r="AT869" s="511"/>
      <c r="AU869" s="511"/>
      <c r="AV869" s="511"/>
      <c r="AW869" s="511"/>
      <c r="AX869" s="511"/>
      <c r="AY869" s="511"/>
      <c r="AZ869" s="511"/>
      <c r="BA869" s="511"/>
      <c r="BB869" s="511"/>
      <c r="BC869" s="511"/>
      <c r="BD869" s="511"/>
      <c r="BE869" s="511"/>
    </row>
    <row r="870" ht="15.75" customHeight="1">
      <c r="A870" s="511"/>
      <c r="B870" s="511"/>
      <c r="C870" s="511"/>
      <c r="D870" s="511"/>
      <c r="E870" s="511"/>
      <c r="F870" s="511"/>
      <c r="G870" s="511"/>
      <c r="H870" s="511"/>
      <c r="I870" s="511"/>
      <c r="J870" s="511"/>
      <c r="K870" s="511"/>
      <c r="L870" s="511"/>
      <c r="M870" s="511"/>
      <c r="N870" s="511"/>
      <c r="O870" s="511"/>
      <c r="P870" s="511"/>
      <c r="Q870" s="511"/>
      <c r="R870" s="511"/>
      <c r="S870" s="511"/>
      <c r="T870" s="511"/>
      <c r="U870" s="511"/>
      <c r="V870" s="511"/>
      <c r="W870" s="511"/>
      <c r="X870" s="511"/>
      <c r="Y870" s="511"/>
      <c r="Z870" s="511"/>
      <c r="AA870" s="511"/>
      <c r="AB870" s="511"/>
      <c r="AC870" s="511"/>
      <c r="AD870" s="511"/>
      <c r="AE870" s="511"/>
      <c r="AF870" s="511"/>
      <c r="AG870" s="511"/>
      <c r="AH870" s="511"/>
      <c r="AI870" s="511"/>
      <c r="AJ870" s="511"/>
      <c r="AK870" s="511"/>
      <c r="AL870" s="511"/>
      <c r="AM870" s="511"/>
      <c r="AN870" s="511"/>
      <c r="AO870" s="511"/>
      <c r="AP870" s="511"/>
      <c r="AQ870" s="511"/>
      <c r="AR870" s="511"/>
      <c r="AS870" s="511"/>
      <c r="AT870" s="511"/>
      <c r="AU870" s="511"/>
      <c r="AV870" s="511"/>
      <c r="AW870" s="511"/>
      <c r="AX870" s="511"/>
      <c r="AY870" s="511"/>
      <c r="AZ870" s="511"/>
      <c r="BA870" s="511"/>
      <c r="BB870" s="511"/>
      <c r="BC870" s="511"/>
      <c r="BD870" s="511"/>
      <c r="BE870" s="511"/>
    </row>
    <row r="871" ht="15.75" customHeight="1">
      <c r="A871" s="511"/>
      <c r="B871" s="511"/>
      <c r="C871" s="511"/>
      <c r="D871" s="511"/>
      <c r="E871" s="511"/>
      <c r="F871" s="511"/>
      <c r="G871" s="511"/>
      <c r="H871" s="511"/>
      <c r="I871" s="511"/>
      <c r="J871" s="511"/>
      <c r="K871" s="511"/>
      <c r="L871" s="511"/>
      <c r="M871" s="511"/>
      <c r="N871" s="511"/>
      <c r="O871" s="511"/>
      <c r="P871" s="511"/>
      <c r="Q871" s="511"/>
      <c r="R871" s="511"/>
      <c r="S871" s="511"/>
      <c r="T871" s="511"/>
      <c r="U871" s="511"/>
      <c r="V871" s="511"/>
      <c r="W871" s="511"/>
      <c r="X871" s="511"/>
      <c r="Y871" s="511"/>
      <c r="Z871" s="511"/>
      <c r="AA871" s="511"/>
      <c r="AB871" s="511"/>
      <c r="AC871" s="511"/>
      <c r="AD871" s="511"/>
      <c r="AE871" s="511"/>
      <c r="AF871" s="511"/>
      <c r="AG871" s="511"/>
      <c r="AH871" s="511"/>
      <c r="AI871" s="511"/>
      <c r="AJ871" s="511"/>
      <c r="AK871" s="511"/>
      <c r="AL871" s="511"/>
      <c r="AM871" s="511"/>
      <c r="AN871" s="511"/>
      <c r="AO871" s="511"/>
      <c r="AP871" s="511"/>
      <c r="AQ871" s="511"/>
      <c r="AR871" s="511"/>
      <c r="AS871" s="511"/>
      <c r="AT871" s="511"/>
      <c r="AU871" s="511"/>
      <c r="AV871" s="511"/>
      <c r="AW871" s="511"/>
      <c r="AX871" s="511"/>
      <c r="AY871" s="511"/>
      <c r="AZ871" s="511"/>
      <c r="BA871" s="511"/>
      <c r="BB871" s="511"/>
      <c r="BC871" s="511"/>
      <c r="BD871" s="511"/>
      <c r="BE871" s="511"/>
    </row>
    <row r="872" ht="15.75" customHeight="1">
      <c r="A872" s="511"/>
      <c r="B872" s="511"/>
      <c r="C872" s="511"/>
      <c r="D872" s="511"/>
      <c r="E872" s="511"/>
      <c r="F872" s="511"/>
      <c r="G872" s="511"/>
      <c r="H872" s="511"/>
      <c r="I872" s="511"/>
      <c r="J872" s="511"/>
      <c r="K872" s="511"/>
      <c r="L872" s="511"/>
      <c r="M872" s="511"/>
      <c r="N872" s="511"/>
      <c r="O872" s="511"/>
      <c r="P872" s="511"/>
      <c r="Q872" s="511"/>
      <c r="R872" s="511"/>
      <c r="S872" s="511"/>
      <c r="T872" s="511"/>
      <c r="U872" s="511"/>
      <c r="V872" s="511"/>
      <c r="W872" s="511"/>
      <c r="X872" s="511"/>
      <c r="Y872" s="511"/>
      <c r="Z872" s="511"/>
      <c r="AA872" s="511"/>
      <c r="AB872" s="511"/>
      <c r="AC872" s="511"/>
      <c r="AD872" s="511"/>
      <c r="AE872" s="511"/>
      <c r="AF872" s="511"/>
      <c r="AG872" s="511"/>
      <c r="AH872" s="511"/>
      <c r="AI872" s="511"/>
      <c r="AJ872" s="511"/>
      <c r="AK872" s="511"/>
      <c r="AL872" s="511"/>
      <c r="AM872" s="511"/>
      <c r="AN872" s="511"/>
      <c r="AO872" s="511"/>
      <c r="AP872" s="511"/>
      <c r="AQ872" s="511"/>
      <c r="AR872" s="511"/>
      <c r="AS872" s="511"/>
      <c r="AT872" s="511"/>
      <c r="AU872" s="511"/>
      <c r="AV872" s="511"/>
      <c r="AW872" s="511"/>
      <c r="AX872" s="511"/>
      <c r="AY872" s="511"/>
      <c r="AZ872" s="511"/>
      <c r="BA872" s="511"/>
      <c r="BB872" s="511"/>
      <c r="BC872" s="511"/>
      <c r="BD872" s="511"/>
      <c r="BE872" s="511"/>
    </row>
    <row r="873" ht="15.75" customHeight="1">
      <c r="A873" s="511"/>
      <c r="B873" s="511"/>
      <c r="C873" s="511"/>
      <c r="D873" s="511"/>
      <c r="E873" s="511"/>
      <c r="F873" s="511"/>
      <c r="G873" s="511"/>
      <c r="H873" s="511"/>
      <c r="I873" s="511"/>
      <c r="J873" s="511"/>
      <c r="K873" s="511"/>
      <c r="L873" s="511"/>
      <c r="M873" s="511"/>
      <c r="N873" s="511"/>
      <c r="O873" s="511"/>
      <c r="P873" s="511"/>
      <c r="Q873" s="511"/>
      <c r="R873" s="511"/>
      <c r="S873" s="511"/>
      <c r="T873" s="511"/>
      <c r="U873" s="511"/>
      <c r="V873" s="511"/>
      <c r="W873" s="511"/>
      <c r="X873" s="511"/>
      <c r="Y873" s="511"/>
      <c r="Z873" s="511"/>
      <c r="AA873" s="511"/>
      <c r="AB873" s="511"/>
      <c r="AC873" s="511"/>
      <c r="AD873" s="511"/>
      <c r="AE873" s="511"/>
      <c r="AF873" s="511"/>
      <c r="AG873" s="511"/>
      <c r="AH873" s="511"/>
      <c r="AI873" s="511"/>
      <c r="AJ873" s="511"/>
      <c r="AK873" s="511"/>
      <c r="AL873" s="511"/>
      <c r="AM873" s="511"/>
      <c r="AN873" s="511"/>
      <c r="AO873" s="511"/>
      <c r="AP873" s="511"/>
      <c r="AQ873" s="511"/>
      <c r="AR873" s="511"/>
      <c r="AS873" s="511"/>
      <c r="AT873" s="511"/>
      <c r="AU873" s="511"/>
      <c r="AV873" s="511"/>
      <c r="AW873" s="511"/>
      <c r="AX873" s="511"/>
      <c r="AY873" s="511"/>
      <c r="AZ873" s="511"/>
      <c r="BA873" s="511"/>
      <c r="BB873" s="511"/>
      <c r="BC873" s="511"/>
      <c r="BD873" s="511"/>
      <c r="BE873" s="511"/>
    </row>
    <row r="874" ht="15.75" customHeight="1">
      <c r="A874" s="511"/>
      <c r="B874" s="511"/>
      <c r="C874" s="511"/>
      <c r="D874" s="511"/>
      <c r="E874" s="511"/>
      <c r="F874" s="511"/>
      <c r="G874" s="511"/>
      <c r="H874" s="511"/>
      <c r="I874" s="511"/>
      <c r="J874" s="511"/>
      <c r="K874" s="511"/>
      <c r="L874" s="511"/>
      <c r="M874" s="511"/>
      <c r="N874" s="511"/>
      <c r="O874" s="511"/>
      <c r="P874" s="511"/>
      <c r="Q874" s="511"/>
      <c r="R874" s="511"/>
      <c r="S874" s="511"/>
      <c r="T874" s="511"/>
      <c r="U874" s="511"/>
      <c r="V874" s="511"/>
      <c r="W874" s="511"/>
      <c r="X874" s="511"/>
      <c r="Y874" s="511"/>
      <c r="Z874" s="511"/>
      <c r="AA874" s="511"/>
      <c r="AB874" s="511"/>
      <c r="AC874" s="511"/>
      <c r="AD874" s="511"/>
      <c r="AE874" s="511"/>
      <c r="AF874" s="511"/>
      <c r="AG874" s="511"/>
      <c r="AH874" s="511"/>
      <c r="AI874" s="511"/>
      <c r="AJ874" s="511"/>
      <c r="AK874" s="511"/>
      <c r="AL874" s="511"/>
      <c r="AM874" s="511"/>
      <c r="AN874" s="511"/>
      <c r="AO874" s="511"/>
      <c r="AP874" s="511"/>
      <c r="AQ874" s="511"/>
      <c r="AR874" s="511"/>
      <c r="AS874" s="511"/>
      <c r="AT874" s="511"/>
      <c r="AU874" s="511"/>
      <c r="AV874" s="511"/>
      <c r="AW874" s="511"/>
      <c r="AX874" s="511"/>
      <c r="AY874" s="511"/>
      <c r="AZ874" s="511"/>
      <c r="BA874" s="511"/>
      <c r="BB874" s="511"/>
      <c r="BC874" s="511"/>
      <c r="BD874" s="511"/>
      <c r="BE874" s="511"/>
    </row>
    <row r="875" ht="15.75" customHeight="1">
      <c r="A875" s="511"/>
      <c r="B875" s="511"/>
      <c r="C875" s="511"/>
      <c r="D875" s="511"/>
      <c r="E875" s="511"/>
      <c r="F875" s="511"/>
      <c r="G875" s="511"/>
      <c r="H875" s="511"/>
      <c r="I875" s="511"/>
      <c r="J875" s="511"/>
      <c r="K875" s="511"/>
      <c r="L875" s="511"/>
      <c r="M875" s="511"/>
      <c r="N875" s="511"/>
      <c r="O875" s="511"/>
      <c r="P875" s="511"/>
      <c r="Q875" s="511"/>
      <c r="R875" s="511"/>
      <c r="S875" s="511"/>
      <c r="T875" s="511"/>
      <c r="U875" s="511"/>
      <c r="V875" s="511"/>
      <c r="W875" s="511"/>
      <c r="X875" s="511"/>
      <c r="Y875" s="511"/>
      <c r="Z875" s="511"/>
      <c r="AA875" s="511"/>
      <c r="AB875" s="511"/>
      <c r="AC875" s="511"/>
      <c r="AD875" s="511"/>
      <c r="AE875" s="511"/>
      <c r="AF875" s="511"/>
      <c r="AG875" s="511"/>
      <c r="AH875" s="511"/>
      <c r="AI875" s="511"/>
      <c r="AJ875" s="511"/>
      <c r="AK875" s="511"/>
      <c r="AL875" s="511"/>
      <c r="AM875" s="511"/>
      <c r="AN875" s="511"/>
      <c r="AO875" s="511"/>
      <c r="AP875" s="511"/>
      <c r="AQ875" s="511"/>
      <c r="AR875" s="511"/>
      <c r="AS875" s="511"/>
      <c r="AT875" s="511"/>
      <c r="AU875" s="511"/>
      <c r="AV875" s="511"/>
      <c r="AW875" s="511"/>
      <c r="AX875" s="511"/>
      <c r="AY875" s="511"/>
      <c r="AZ875" s="511"/>
      <c r="BA875" s="511"/>
      <c r="BB875" s="511"/>
      <c r="BC875" s="511"/>
      <c r="BD875" s="511"/>
      <c r="BE875" s="511"/>
    </row>
    <row r="876" ht="15.75" customHeight="1">
      <c r="A876" s="511"/>
      <c r="B876" s="511"/>
      <c r="C876" s="511"/>
      <c r="D876" s="511"/>
      <c r="E876" s="511"/>
      <c r="F876" s="511"/>
      <c r="G876" s="511"/>
      <c r="H876" s="511"/>
      <c r="I876" s="511"/>
      <c r="J876" s="511"/>
      <c r="K876" s="511"/>
      <c r="L876" s="511"/>
      <c r="M876" s="511"/>
      <c r="N876" s="511"/>
      <c r="O876" s="511"/>
      <c r="P876" s="511"/>
      <c r="Q876" s="511"/>
      <c r="R876" s="511"/>
      <c r="S876" s="511"/>
      <c r="T876" s="511"/>
      <c r="U876" s="511"/>
      <c r="V876" s="511"/>
      <c r="W876" s="511"/>
      <c r="X876" s="511"/>
      <c r="Y876" s="511"/>
      <c r="Z876" s="511"/>
      <c r="AA876" s="511"/>
      <c r="AB876" s="511"/>
      <c r="AC876" s="511"/>
      <c r="AD876" s="511"/>
      <c r="AE876" s="511"/>
      <c r="AF876" s="511"/>
      <c r="AG876" s="511"/>
      <c r="AH876" s="511"/>
      <c r="AI876" s="511"/>
      <c r="AJ876" s="511"/>
      <c r="AK876" s="511"/>
      <c r="AL876" s="511"/>
      <c r="AM876" s="511"/>
      <c r="AN876" s="511"/>
      <c r="AO876" s="511"/>
      <c r="AP876" s="511"/>
      <c r="AQ876" s="511"/>
      <c r="AR876" s="511"/>
      <c r="AS876" s="511"/>
      <c r="AT876" s="511"/>
      <c r="AU876" s="511"/>
      <c r="AV876" s="511"/>
      <c r="AW876" s="511"/>
      <c r="AX876" s="511"/>
      <c r="AY876" s="511"/>
      <c r="AZ876" s="511"/>
      <c r="BA876" s="511"/>
      <c r="BB876" s="511"/>
      <c r="BC876" s="511"/>
      <c r="BD876" s="511"/>
      <c r="BE876" s="511"/>
    </row>
    <row r="877" ht="15.75" customHeight="1">
      <c r="A877" s="511"/>
      <c r="B877" s="511"/>
      <c r="C877" s="511"/>
      <c r="D877" s="511"/>
      <c r="E877" s="511"/>
      <c r="F877" s="511"/>
      <c r="G877" s="511"/>
      <c r="H877" s="511"/>
      <c r="I877" s="511"/>
      <c r="J877" s="511"/>
      <c r="K877" s="511"/>
      <c r="L877" s="511"/>
      <c r="M877" s="511"/>
      <c r="N877" s="511"/>
      <c r="O877" s="511"/>
      <c r="P877" s="511"/>
      <c r="Q877" s="511"/>
      <c r="R877" s="511"/>
      <c r="S877" s="511"/>
      <c r="T877" s="511"/>
      <c r="U877" s="511"/>
      <c r="V877" s="511"/>
      <c r="W877" s="511"/>
      <c r="X877" s="511"/>
      <c r="Y877" s="511"/>
      <c r="Z877" s="511"/>
      <c r="AA877" s="511"/>
      <c r="AB877" s="511"/>
      <c r="AC877" s="511"/>
      <c r="AD877" s="511"/>
      <c r="AE877" s="511"/>
      <c r="AF877" s="511"/>
      <c r="AG877" s="511"/>
      <c r="AH877" s="511"/>
      <c r="AI877" s="511"/>
      <c r="AJ877" s="511"/>
      <c r="AK877" s="511"/>
      <c r="AL877" s="511"/>
      <c r="AM877" s="511"/>
      <c r="AN877" s="511"/>
      <c r="AO877" s="511"/>
      <c r="AP877" s="511"/>
      <c r="AQ877" s="511"/>
      <c r="AR877" s="511"/>
      <c r="AS877" s="511"/>
      <c r="AT877" s="511"/>
      <c r="AU877" s="511"/>
      <c r="AV877" s="511"/>
      <c r="AW877" s="511"/>
      <c r="AX877" s="511"/>
      <c r="AY877" s="511"/>
      <c r="AZ877" s="511"/>
      <c r="BA877" s="511"/>
      <c r="BB877" s="511"/>
      <c r="BC877" s="511"/>
      <c r="BD877" s="511"/>
      <c r="BE877" s="511"/>
    </row>
    <row r="878" ht="15.75" customHeight="1">
      <c r="A878" s="511"/>
      <c r="B878" s="511"/>
      <c r="C878" s="511"/>
      <c r="D878" s="511"/>
      <c r="E878" s="511"/>
      <c r="F878" s="511"/>
      <c r="G878" s="511"/>
      <c r="H878" s="511"/>
      <c r="I878" s="511"/>
      <c r="J878" s="511"/>
      <c r="K878" s="511"/>
      <c r="L878" s="511"/>
      <c r="M878" s="511"/>
      <c r="N878" s="511"/>
      <c r="O878" s="511"/>
      <c r="P878" s="511"/>
      <c r="Q878" s="511"/>
      <c r="R878" s="511"/>
      <c r="S878" s="511"/>
      <c r="T878" s="511"/>
      <c r="U878" s="511"/>
      <c r="V878" s="511"/>
      <c r="W878" s="511"/>
      <c r="X878" s="511"/>
      <c r="Y878" s="511"/>
      <c r="Z878" s="511"/>
      <c r="AA878" s="511"/>
      <c r="AB878" s="511"/>
      <c r="AC878" s="511"/>
      <c r="AD878" s="511"/>
      <c r="AE878" s="511"/>
      <c r="AF878" s="511"/>
      <c r="AG878" s="511"/>
      <c r="AH878" s="511"/>
      <c r="AI878" s="511"/>
      <c r="AJ878" s="511"/>
      <c r="AK878" s="511"/>
      <c r="AL878" s="511"/>
      <c r="AM878" s="511"/>
      <c r="AN878" s="511"/>
      <c r="AO878" s="511"/>
      <c r="AP878" s="511"/>
      <c r="AQ878" s="511"/>
      <c r="AR878" s="511"/>
      <c r="AS878" s="511"/>
      <c r="AT878" s="511"/>
      <c r="AU878" s="511"/>
      <c r="AV878" s="511"/>
      <c r="AW878" s="511"/>
      <c r="AX878" s="511"/>
      <c r="AY878" s="511"/>
      <c r="AZ878" s="511"/>
      <c r="BA878" s="511"/>
      <c r="BB878" s="511"/>
      <c r="BC878" s="511"/>
      <c r="BD878" s="511"/>
      <c r="BE878" s="511"/>
    </row>
    <row r="879" ht="15.75" customHeight="1">
      <c r="A879" s="511"/>
      <c r="B879" s="511"/>
      <c r="C879" s="511"/>
      <c r="D879" s="511"/>
      <c r="E879" s="511"/>
      <c r="F879" s="511"/>
      <c r="G879" s="511"/>
      <c r="H879" s="511"/>
      <c r="I879" s="511"/>
      <c r="J879" s="511"/>
      <c r="K879" s="511"/>
      <c r="L879" s="511"/>
      <c r="M879" s="511"/>
      <c r="N879" s="511"/>
      <c r="O879" s="511"/>
      <c r="P879" s="511"/>
      <c r="Q879" s="511"/>
      <c r="R879" s="511"/>
      <c r="S879" s="511"/>
      <c r="T879" s="511"/>
      <c r="U879" s="511"/>
      <c r="V879" s="511"/>
      <c r="W879" s="511"/>
      <c r="X879" s="511"/>
      <c r="Y879" s="511"/>
      <c r="Z879" s="511"/>
      <c r="AA879" s="511"/>
      <c r="AB879" s="511"/>
      <c r="AC879" s="511"/>
      <c r="AD879" s="511"/>
      <c r="AE879" s="511"/>
      <c r="AF879" s="511"/>
      <c r="AG879" s="511"/>
      <c r="AH879" s="511"/>
      <c r="AI879" s="511"/>
      <c r="AJ879" s="511"/>
      <c r="AK879" s="511"/>
      <c r="AL879" s="511"/>
      <c r="AM879" s="511"/>
      <c r="AN879" s="511"/>
      <c r="AO879" s="511"/>
      <c r="AP879" s="511"/>
      <c r="AQ879" s="511"/>
      <c r="AR879" s="511"/>
      <c r="AS879" s="511"/>
      <c r="AT879" s="511"/>
      <c r="AU879" s="511"/>
      <c r="AV879" s="511"/>
      <c r="AW879" s="511"/>
      <c r="AX879" s="511"/>
      <c r="AY879" s="511"/>
      <c r="AZ879" s="511"/>
      <c r="BA879" s="511"/>
      <c r="BB879" s="511"/>
      <c r="BC879" s="511"/>
      <c r="BD879" s="511"/>
      <c r="BE879" s="511"/>
    </row>
    <row r="880" ht="15.75" customHeight="1">
      <c r="A880" s="511"/>
      <c r="B880" s="511"/>
      <c r="C880" s="511"/>
      <c r="D880" s="511"/>
      <c r="E880" s="511"/>
      <c r="F880" s="511"/>
      <c r="G880" s="511"/>
      <c r="H880" s="511"/>
      <c r="I880" s="511"/>
      <c r="J880" s="511"/>
      <c r="K880" s="511"/>
      <c r="L880" s="511"/>
      <c r="M880" s="511"/>
      <c r="N880" s="511"/>
      <c r="O880" s="511"/>
      <c r="P880" s="511"/>
      <c r="Q880" s="511"/>
      <c r="R880" s="511"/>
      <c r="S880" s="511"/>
      <c r="T880" s="511"/>
      <c r="U880" s="511"/>
      <c r="V880" s="511"/>
      <c r="W880" s="511"/>
      <c r="X880" s="511"/>
      <c r="Y880" s="511"/>
      <c r="Z880" s="511"/>
      <c r="AA880" s="511"/>
      <c r="AB880" s="511"/>
      <c r="AC880" s="511"/>
      <c r="AD880" s="511"/>
      <c r="AE880" s="511"/>
      <c r="AF880" s="511"/>
      <c r="AG880" s="511"/>
      <c r="AH880" s="511"/>
      <c r="AI880" s="511"/>
      <c r="AJ880" s="511"/>
      <c r="AK880" s="511"/>
      <c r="AL880" s="511"/>
      <c r="AM880" s="511"/>
      <c r="AN880" s="511"/>
      <c r="AO880" s="511"/>
      <c r="AP880" s="511"/>
      <c r="AQ880" s="511"/>
      <c r="AR880" s="511"/>
      <c r="AS880" s="511"/>
      <c r="AT880" s="511"/>
      <c r="AU880" s="511"/>
      <c r="AV880" s="511"/>
      <c r="AW880" s="511"/>
      <c r="AX880" s="511"/>
      <c r="AY880" s="511"/>
      <c r="AZ880" s="511"/>
      <c r="BA880" s="511"/>
      <c r="BB880" s="511"/>
      <c r="BC880" s="511"/>
      <c r="BD880" s="511"/>
      <c r="BE880" s="511"/>
    </row>
    <row r="881" ht="15.75" customHeight="1">
      <c r="A881" s="511"/>
      <c r="B881" s="511"/>
      <c r="C881" s="511"/>
      <c r="D881" s="511"/>
      <c r="E881" s="511"/>
      <c r="F881" s="511"/>
      <c r="G881" s="511"/>
      <c r="H881" s="511"/>
      <c r="I881" s="511"/>
      <c r="J881" s="511"/>
      <c r="K881" s="511"/>
      <c r="L881" s="511"/>
      <c r="M881" s="511"/>
      <c r="N881" s="511"/>
      <c r="O881" s="511"/>
      <c r="P881" s="511"/>
      <c r="Q881" s="511"/>
      <c r="R881" s="511"/>
      <c r="S881" s="511"/>
      <c r="T881" s="511"/>
      <c r="U881" s="511"/>
      <c r="V881" s="511"/>
      <c r="W881" s="511"/>
      <c r="X881" s="511"/>
      <c r="Y881" s="511"/>
      <c r="Z881" s="511"/>
      <c r="AA881" s="511"/>
      <c r="AB881" s="511"/>
      <c r="AC881" s="511"/>
      <c r="AD881" s="511"/>
      <c r="AE881" s="511"/>
      <c r="AF881" s="511"/>
      <c r="AG881" s="511"/>
      <c r="AH881" s="511"/>
      <c r="AI881" s="511"/>
      <c r="AJ881" s="511"/>
      <c r="AK881" s="511"/>
      <c r="AL881" s="511"/>
      <c r="AM881" s="511"/>
      <c r="AN881" s="511"/>
      <c r="AO881" s="511"/>
      <c r="AP881" s="511"/>
      <c r="AQ881" s="511"/>
      <c r="AR881" s="511"/>
      <c r="AS881" s="511"/>
      <c r="AT881" s="511"/>
      <c r="AU881" s="511"/>
      <c r="AV881" s="511"/>
      <c r="AW881" s="511"/>
      <c r="AX881" s="511"/>
      <c r="AY881" s="511"/>
      <c r="AZ881" s="511"/>
      <c r="BA881" s="511"/>
      <c r="BB881" s="511"/>
      <c r="BC881" s="511"/>
      <c r="BD881" s="511"/>
      <c r="BE881" s="511"/>
    </row>
    <row r="882" ht="15.75" customHeight="1">
      <c r="A882" s="511"/>
      <c r="B882" s="511"/>
      <c r="C882" s="511"/>
      <c r="D882" s="511"/>
      <c r="E882" s="511"/>
      <c r="F882" s="511"/>
      <c r="G882" s="511"/>
      <c r="H882" s="511"/>
      <c r="I882" s="511"/>
      <c r="J882" s="511"/>
      <c r="K882" s="511"/>
      <c r="L882" s="511"/>
      <c r="M882" s="511"/>
      <c r="N882" s="511"/>
      <c r="O882" s="511"/>
      <c r="P882" s="511"/>
      <c r="Q882" s="511"/>
      <c r="R882" s="511"/>
      <c r="S882" s="511"/>
      <c r="T882" s="511"/>
      <c r="U882" s="511"/>
      <c r="V882" s="511"/>
      <c r="W882" s="511"/>
      <c r="X882" s="511"/>
      <c r="Y882" s="511"/>
      <c r="Z882" s="511"/>
      <c r="AA882" s="511"/>
      <c r="AB882" s="511"/>
      <c r="AC882" s="511"/>
      <c r="AD882" s="511"/>
      <c r="AE882" s="511"/>
      <c r="AF882" s="511"/>
      <c r="AG882" s="511"/>
      <c r="AH882" s="511"/>
      <c r="AI882" s="511"/>
      <c r="AJ882" s="511"/>
      <c r="AK882" s="511"/>
      <c r="AL882" s="511"/>
      <c r="AM882" s="511"/>
      <c r="AN882" s="511"/>
      <c r="AO882" s="511"/>
      <c r="AP882" s="511"/>
      <c r="AQ882" s="511"/>
      <c r="AR882" s="511"/>
      <c r="AS882" s="511"/>
      <c r="AT882" s="511"/>
      <c r="AU882" s="511"/>
      <c r="AV882" s="511"/>
      <c r="AW882" s="511"/>
      <c r="AX882" s="511"/>
      <c r="AY882" s="511"/>
      <c r="AZ882" s="511"/>
      <c r="BA882" s="511"/>
      <c r="BB882" s="511"/>
      <c r="BC882" s="511"/>
      <c r="BD882" s="511"/>
      <c r="BE882" s="511"/>
    </row>
    <row r="883" ht="15.75" customHeight="1">
      <c r="A883" s="511"/>
      <c r="B883" s="511"/>
      <c r="C883" s="511"/>
      <c r="D883" s="511"/>
      <c r="E883" s="511"/>
      <c r="F883" s="511"/>
      <c r="G883" s="511"/>
      <c r="H883" s="511"/>
      <c r="I883" s="511"/>
      <c r="J883" s="511"/>
      <c r="K883" s="511"/>
      <c r="L883" s="511"/>
      <c r="M883" s="511"/>
      <c r="N883" s="511"/>
      <c r="O883" s="511"/>
      <c r="P883" s="511"/>
      <c r="Q883" s="511"/>
      <c r="R883" s="511"/>
      <c r="S883" s="511"/>
      <c r="T883" s="511"/>
      <c r="U883" s="511"/>
      <c r="V883" s="511"/>
      <c r="W883" s="511"/>
      <c r="X883" s="511"/>
      <c r="Y883" s="511"/>
      <c r="Z883" s="511"/>
      <c r="AA883" s="511"/>
      <c r="AB883" s="511"/>
      <c r="AC883" s="511"/>
      <c r="AD883" s="511"/>
      <c r="AE883" s="511"/>
      <c r="AF883" s="511"/>
      <c r="AG883" s="511"/>
      <c r="AH883" s="511"/>
      <c r="AI883" s="511"/>
      <c r="AJ883" s="511"/>
      <c r="AK883" s="511"/>
      <c r="AL883" s="511"/>
      <c r="AM883" s="511"/>
      <c r="AN883" s="511"/>
      <c r="AO883" s="511"/>
      <c r="AP883" s="511"/>
      <c r="AQ883" s="511"/>
      <c r="AR883" s="511"/>
      <c r="AS883" s="511"/>
      <c r="AT883" s="511"/>
      <c r="AU883" s="511"/>
      <c r="AV883" s="511"/>
      <c r="AW883" s="511"/>
      <c r="AX883" s="511"/>
      <c r="AY883" s="511"/>
      <c r="AZ883" s="511"/>
      <c r="BA883" s="511"/>
      <c r="BB883" s="511"/>
      <c r="BC883" s="511"/>
      <c r="BD883" s="511"/>
      <c r="BE883" s="511"/>
    </row>
    <row r="884" ht="15.75" customHeight="1">
      <c r="A884" s="511"/>
      <c r="B884" s="511"/>
      <c r="C884" s="511"/>
      <c r="D884" s="511"/>
      <c r="E884" s="511"/>
      <c r="F884" s="511"/>
      <c r="G884" s="511"/>
      <c r="H884" s="511"/>
      <c r="I884" s="511"/>
      <c r="J884" s="511"/>
      <c r="K884" s="511"/>
      <c r="L884" s="511"/>
      <c r="M884" s="511"/>
      <c r="N884" s="511"/>
      <c r="O884" s="511"/>
      <c r="P884" s="511"/>
      <c r="Q884" s="511"/>
      <c r="R884" s="511"/>
      <c r="S884" s="511"/>
      <c r="T884" s="511"/>
      <c r="U884" s="511"/>
      <c r="V884" s="511"/>
      <c r="W884" s="511"/>
      <c r="X884" s="511"/>
      <c r="Y884" s="511"/>
      <c r="Z884" s="511"/>
      <c r="AA884" s="511"/>
      <c r="AB884" s="511"/>
      <c r="AC884" s="511"/>
      <c r="AD884" s="511"/>
      <c r="AE884" s="511"/>
      <c r="AF884" s="511"/>
      <c r="AG884" s="511"/>
      <c r="AH884" s="511"/>
      <c r="AI884" s="511"/>
      <c r="AJ884" s="511"/>
      <c r="AK884" s="511"/>
      <c r="AL884" s="511"/>
      <c r="AM884" s="511"/>
      <c r="AN884" s="511"/>
      <c r="AO884" s="511"/>
      <c r="AP884" s="511"/>
      <c r="AQ884" s="511"/>
      <c r="AR884" s="511"/>
      <c r="AS884" s="511"/>
      <c r="AT884" s="511"/>
      <c r="AU884" s="511"/>
      <c r="AV884" s="511"/>
      <c r="AW884" s="511"/>
      <c r="AX884" s="511"/>
      <c r="AY884" s="511"/>
      <c r="AZ884" s="511"/>
      <c r="BA884" s="511"/>
      <c r="BB884" s="511"/>
      <c r="BC884" s="511"/>
      <c r="BD884" s="511"/>
      <c r="BE884" s="511"/>
    </row>
    <row r="885" ht="15.75" customHeight="1">
      <c r="A885" s="511"/>
      <c r="B885" s="511"/>
      <c r="C885" s="511"/>
      <c r="D885" s="511"/>
      <c r="E885" s="511"/>
      <c r="F885" s="511"/>
      <c r="G885" s="511"/>
      <c r="H885" s="511"/>
      <c r="I885" s="511"/>
      <c r="J885" s="511"/>
      <c r="K885" s="511"/>
      <c r="L885" s="511"/>
      <c r="M885" s="511"/>
      <c r="N885" s="511"/>
      <c r="O885" s="511"/>
      <c r="P885" s="511"/>
      <c r="Q885" s="511"/>
      <c r="R885" s="511"/>
      <c r="S885" s="511"/>
      <c r="T885" s="511"/>
      <c r="U885" s="511"/>
      <c r="V885" s="511"/>
      <c r="W885" s="511"/>
      <c r="X885" s="511"/>
      <c r="Y885" s="511"/>
      <c r="Z885" s="511"/>
      <c r="AA885" s="511"/>
      <c r="AB885" s="511"/>
      <c r="AC885" s="511"/>
      <c r="AD885" s="511"/>
      <c r="AE885" s="511"/>
      <c r="AF885" s="511"/>
      <c r="AG885" s="511"/>
      <c r="AH885" s="511"/>
      <c r="AI885" s="511"/>
      <c r="AJ885" s="511"/>
      <c r="AK885" s="511"/>
      <c r="AL885" s="511"/>
      <c r="AM885" s="511"/>
      <c r="AN885" s="511"/>
      <c r="AO885" s="511"/>
      <c r="AP885" s="511"/>
      <c r="AQ885" s="511"/>
      <c r="AR885" s="511"/>
      <c r="AS885" s="511"/>
      <c r="AT885" s="511"/>
      <c r="AU885" s="511"/>
      <c r="AV885" s="511"/>
      <c r="AW885" s="511"/>
      <c r="AX885" s="511"/>
      <c r="AY885" s="511"/>
      <c r="AZ885" s="511"/>
      <c r="BA885" s="511"/>
      <c r="BB885" s="511"/>
      <c r="BC885" s="511"/>
      <c r="BD885" s="511"/>
      <c r="BE885" s="511"/>
    </row>
    <row r="886" ht="15.75" customHeight="1">
      <c r="A886" s="511"/>
      <c r="B886" s="511"/>
      <c r="C886" s="511"/>
      <c r="D886" s="511"/>
      <c r="E886" s="511"/>
      <c r="F886" s="511"/>
      <c r="G886" s="511"/>
      <c r="H886" s="511"/>
      <c r="I886" s="511"/>
      <c r="J886" s="511"/>
      <c r="K886" s="511"/>
      <c r="L886" s="511"/>
      <c r="M886" s="511"/>
      <c r="N886" s="511"/>
      <c r="O886" s="511"/>
      <c r="P886" s="511"/>
      <c r="Q886" s="511"/>
      <c r="R886" s="511"/>
      <c r="S886" s="511"/>
      <c r="T886" s="511"/>
      <c r="U886" s="511"/>
      <c r="V886" s="511"/>
      <c r="W886" s="511"/>
      <c r="X886" s="511"/>
      <c r="Y886" s="511"/>
      <c r="Z886" s="511"/>
      <c r="AA886" s="511"/>
      <c r="AB886" s="511"/>
      <c r="AC886" s="511"/>
      <c r="AD886" s="511"/>
      <c r="AE886" s="511"/>
      <c r="AF886" s="511"/>
      <c r="AG886" s="511"/>
      <c r="AH886" s="511"/>
      <c r="AI886" s="511"/>
      <c r="AJ886" s="511"/>
      <c r="AK886" s="511"/>
      <c r="AL886" s="511"/>
      <c r="AM886" s="511"/>
      <c r="AN886" s="511"/>
      <c r="AO886" s="511"/>
      <c r="AP886" s="511"/>
      <c r="AQ886" s="511"/>
      <c r="AR886" s="511"/>
      <c r="AS886" s="511"/>
      <c r="AT886" s="511"/>
      <c r="AU886" s="511"/>
      <c r="AV886" s="511"/>
      <c r="AW886" s="511"/>
      <c r="AX886" s="511"/>
      <c r="AY886" s="511"/>
      <c r="AZ886" s="511"/>
      <c r="BA886" s="511"/>
      <c r="BB886" s="511"/>
      <c r="BC886" s="511"/>
      <c r="BD886" s="511"/>
      <c r="BE886" s="511"/>
    </row>
    <row r="887" ht="15.75" customHeight="1">
      <c r="A887" s="511"/>
      <c r="B887" s="511"/>
      <c r="C887" s="511"/>
      <c r="D887" s="511"/>
      <c r="E887" s="511"/>
      <c r="F887" s="511"/>
      <c r="G887" s="511"/>
      <c r="H887" s="511"/>
      <c r="I887" s="511"/>
      <c r="J887" s="511"/>
      <c r="K887" s="511"/>
      <c r="L887" s="511"/>
      <c r="M887" s="511"/>
      <c r="N887" s="511"/>
      <c r="O887" s="511"/>
      <c r="P887" s="511"/>
      <c r="Q887" s="511"/>
      <c r="R887" s="511"/>
      <c r="S887" s="511"/>
      <c r="T887" s="511"/>
      <c r="U887" s="511"/>
      <c r="V887" s="511"/>
      <c r="W887" s="511"/>
      <c r="X887" s="511"/>
      <c r="Y887" s="511"/>
      <c r="Z887" s="511"/>
      <c r="AA887" s="511"/>
      <c r="AB887" s="511"/>
      <c r="AC887" s="511"/>
      <c r="AD887" s="511"/>
      <c r="AE887" s="511"/>
      <c r="AF887" s="511"/>
      <c r="AG887" s="511"/>
      <c r="AH887" s="511"/>
      <c r="AI887" s="511"/>
      <c r="AJ887" s="511"/>
      <c r="AK887" s="511"/>
      <c r="AL887" s="511"/>
      <c r="AM887" s="511"/>
      <c r="AN887" s="511"/>
      <c r="AO887" s="511"/>
      <c r="AP887" s="511"/>
      <c r="AQ887" s="511"/>
      <c r="AR887" s="511"/>
      <c r="AS887" s="511"/>
      <c r="AT887" s="511"/>
      <c r="AU887" s="511"/>
      <c r="AV887" s="511"/>
      <c r="AW887" s="511"/>
      <c r="AX887" s="511"/>
      <c r="AY887" s="511"/>
      <c r="AZ887" s="511"/>
      <c r="BA887" s="511"/>
      <c r="BB887" s="511"/>
      <c r="BC887" s="511"/>
      <c r="BD887" s="511"/>
      <c r="BE887" s="511"/>
    </row>
    <row r="888" ht="15.75" customHeight="1">
      <c r="A888" s="511"/>
      <c r="B888" s="511"/>
      <c r="C888" s="511"/>
      <c r="D888" s="511"/>
      <c r="E888" s="511"/>
      <c r="F888" s="511"/>
      <c r="G888" s="511"/>
      <c r="H888" s="511"/>
      <c r="I888" s="511"/>
      <c r="J888" s="511"/>
      <c r="K888" s="511"/>
      <c r="L888" s="511"/>
      <c r="M888" s="511"/>
      <c r="N888" s="511"/>
      <c r="O888" s="511"/>
      <c r="P888" s="511"/>
      <c r="Q888" s="511"/>
      <c r="R888" s="511"/>
      <c r="S888" s="511"/>
      <c r="T888" s="511"/>
      <c r="U888" s="511"/>
      <c r="V888" s="511"/>
      <c r="W888" s="511"/>
      <c r="X888" s="511"/>
      <c r="Y888" s="511"/>
      <c r="Z888" s="511"/>
      <c r="AA888" s="511"/>
      <c r="AB888" s="511"/>
      <c r="AC888" s="511"/>
      <c r="AD888" s="511"/>
      <c r="AE888" s="511"/>
      <c r="AF888" s="511"/>
      <c r="AG888" s="511"/>
      <c r="AH888" s="511"/>
      <c r="AI888" s="511"/>
      <c r="AJ888" s="511"/>
      <c r="AK888" s="511"/>
      <c r="AL888" s="511"/>
      <c r="AM888" s="511"/>
      <c r="AN888" s="511"/>
      <c r="AO888" s="511"/>
      <c r="AP888" s="511"/>
      <c r="AQ888" s="511"/>
      <c r="AR888" s="511"/>
      <c r="AS888" s="511"/>
      <c r="AT888" s="511"/>
      <c r="AU888" s="511"/>
      <c r="AV888" s="511"/>
      <c r="AW888" s="511"/>
      <c r="AX888" s="511"/>
      <c r="AY888" s="511"/>
      <c r="AZ888" s="511"/>
      <c r="BA888" s="511"/>
      <c r="BB888" s="511"/>
      <c r="BC888" s="511"/>
      <c r="BD888" s="511"/>
      <c r="BE888" s="511"/>
    </row>
    <row r="889" ht="15.75" customHeight="1">
      <c r="A889" s="511"/>
      <c r="B889" s="511"/>
      <c r="C889" s="511"/>
      <c r="D889" s="511"/>
      <c r="E889" s="511"/>
      <c r="F889" s="511"/>
      <c r="G889" s="511"/>
      <c r="H889" s="511"/>
      <c r="I889" s="511"/>
      <c r="J889" s="511"/>
      <c r="K889" s="511"/>
      <c r="L889" s="511"/>
      <c r="M889" s="511"/>
      <c r="N889" s="511"/>
      <c r="O889" s="511"/>
      <c r="P889" s="511"/>
      <c r="Q889" s="511"/>
      <c r="R889" s="511"/>
      <c r="S889" s="511"/>
      <c r="T889" s="511"/>
      <c r="U889" s="511"/>
      <c r="V889" s="511"/>
      <c r="W889" s="511"/>
      <c r="X889" s="511"/>
      <c r="Y889" s="511"/>
      <c r="Z889" s="511"/>
      <c r="AA889" s="511"/>
      <c r="AB889" s="511"/>
      <c r="AC889" s="511"/>
      <c r="AD889" s="511"/>
      <c r="AE889" s="511"/>
      <c r="AF889" s="511"/>
      <c r="AG889" s="511"/>
      <c r="AH889" s="511"/>
      <c r="AI889" s="511"/>
      <c r="AJ889" s="511"/>
      <c r="AK889" s="511"/>
      <c r="AL889" s="511"/>
      <c r="AM889" s="511"/>
      <c r="AN889" s="511"/>
      <c r="AO889" s="511"/>
      <c r="AP889" s="511"/>
      <c r="AQ889" s="511"/>
      <c r="AR889" s="511"/>
      <c r="AS889" s="511"/>
      <c r="AT889" s="511"/>
      <c r="AU889" s="511"/>
      <c r="AV889" s="511"/>
      <c r="AW889" s="511"/>
      <c r="AX889" s="511"/>
      <c r="AY889" s="511"/>
      <c r="AZ889" s="511"/>
      <c r="BA889" s="511"/>
      <c r="BB889" s="511"/>
      <c r="BC889" s="511"/>
      <c r="BD889" s="511"/>
      <c r="BE889" s="511"/>
    </row>
    <row r="890" ht="15.75" customHeight="1">
      <c r="A890" s="511"/>
      <c r="B890" s="511"/>
      <c r="C890" s="511"/>
      <c r="D890" s="511"/>
      <c r="E890" s="511"/>
      <c r="F890" s="511"/>
      <c r="G890" s="511"/>
      <c r="H890" s="511"/>
      <c r="I890" s="511"/>
      <c r="J890" s="511"/>
      <c r="K890" s="511"/>
      <c r="L890" s="511"/>
      <c r="M890" s="511"/>
      <c r="N890" s="511"/>
      <c r="O890" s="511"/>
      <c r="P890" s="511"/>
      <c r="Q890" s="511"/>
      <c r="R890" s="511"/>
      <c r="S890" s="511"/>
      <c r="T890" s="511"/>
      <c r="U890" s="511"/>
      <c r="V890" s="511"/>
      <c r="W890" s="511"/>
      <c r="X890" s="511"/>
      <c r="Y890" s="511"/>
      <c r="Z890" s="511"/>
      <c r="AA890" s="511"/>
      <c r="AB890" s="511"/>
      <c r="AC890" s="511"/>
      <c r="AD890" s="511"/>
      <c r="AE890" s="511"/>
      <c r="AF890" s="511"/>
      <c r="AG890" s="511"/>
      <c r="AH890" s="511"/>
      <c r="AI890" s="511"/>
      <c r="AJ890" s="511"/>
      <c r="AK890" s="511"/>
      <c r="AL890" s="511"/>
      <c r="AM890" s="511"/>
      <c r="AN890" s="511"/>
      <c r="AO890" s="511"/>
      <c r="AP890" s="511"/>
      <c r="AQ890" s="511"/>
      <c r="AR890" s="511"/>
      <c r="AS890" s="511"/>
      <c r="AT890" s="511"/>
      <c r="AU890" s="511"/>
      <c r="AV890" s="511"/>
      <c r="AW890" s="511"/>
      <c r="AX890" s="511"/>
      <c r="AY890" s="511"/>
      <c r="AZ890" s="511"/>
      <c r="BA890" s="511"/>
      <c r="BB890" s="511"/>
      <c r="BC890" s="511"/>
      <c r="BD890" s="511"/>
      <c r="BE890" s="511"/>
    </row>
    <row r="891" ht="15.75" customHeight="1">
      <c r="A891" s="511"/>
      <c r="B891" s="511"/>
      <c r="C891" s="511"/>
      <c r="D891" s="511"/>
      <c r="E891" s="511"/>
      <c r="F891" s="511"/>
      <c r="G891" s="511"/>
      <c r="H891" s="511"/>
      <c r="I891" s="511"/>
      <c r="J891" s="511"/>
      <c r="K891" s="511"/>
      <c r="L891" s="511"/>
      <c r="M891" s="511"/>
      <c r="N891" s="511"/>
      <c r="O891" s="511"/>
      <c r="P891" s="511"/>
      <c r="Q891" s="511"/>
      <c r="R891" s="511"/>
      <c r="S891" s="511"/>
      <c r="T891" s="511"/>
      <c r="U891" s="511"/>
      <c r="V891" s="511"/>
      <c r="W891" s="511"/>
      <c r="X891" s="511"/>
      <c r="Y891" s="511"/>
      <c r="Z891" s="511"/>
      <c r="AA891" s="511"/>
      <c r="AB891" s="511"/>
      <c r="AC891" s="511"/>
      <c r="AD891" s="511"/>
      <c r="AE891" s="511"/>
      <c r="AF891" s="511"/>
      <c r="AG891" s="511"/>
      <c r="AH891" s="511"/>
      <c r="AI891" s="511"/>
      <c r="AJ891" s="511"/>
      <c r="AK891" s="511"/>
      <c r="AL891" s="511"/>
      <c r="AM891" s="511"/>
      <c r="AN891" s="511"/>
      <c r="AO891" s="511"/>
      <c r="AP891" s="511"/>
      <c r="AQ891" s="511"/>
      <c r="AR891" s="511"/>
      <c r="AS891" s="511"/>
      <c r="AT891" s="511"/>
      <c r="AU891" s="511"/>
      <c r="AV891" s="511"/>
      <c r="AW891" s="511"/>
      <c r="AX891" s="511"/>
      <c r="AY891" s="511"/>
      <c r="AZ891" s="511"/>
      <c r="BA891" s="511"/>
      <c r="BB891" s="511"/>
      <c r="BC891" s="511"/>
      <c r="BD891" s="511"/>
      <c r="BE891" s="511"/>
    </row>
    <row r="892" ht="15.75" customHeight="1">
      <c r="A892" s="511"/>
      <c r="B892" s="511"/>
      <c r="C892" s="511"/>
      <c r="D892" s="511"/>
      <c r="E892" s="511"/>
      <c r="F892" s="511"/>
      <c r="G892" s="511"/>
      <c r="H892" s="511"/>
      <c r="I892" s="511"/>
      <c r="J892" s="511"/>
      <c r="K892" s="511"/>
      <c r="L892" s="511"/>
      <c r="M892" s="511"/>
      <c r="N892" s="511"/>
      <c r="O892" s="511"/>
      <c r="P892" s="511"/>
      <c r="Q892" s="511"/>
      <c r="R892" s="511"/>
      <c r="S892" s="511"/>
      <c r="T892" s="511"/>
      <c r="U892" s="511"/>
      <c r="V892" s="511"/>
      <c r="W892" s="511"/>
      <c r="X892" s="511"/>
      <c r="Y892" s="511"/>
      <c r="Z892" s="511"/>
      <c r="AA892" s="511"/>
      <c r="AB892" s="511"/>
      <c r="AC892" s="511"/>
      <c r="AD892" s="511"/>
      <c r="AE892" s="511"/>
      <c r="AF892" s="511"/>
      <c r="AG892" s="511"/>
      <c r="AH892" s="511"/>
      <c r="AI892" s="511"/>
      <c r="AJ892" s="511"/>
      <c r="AK892" s="511"/>
      <c r="AL892" s="511"/>
      <c r="AM892" s="511"/>
      <c r="AN892" s="511"/>
      <c r="AO892" s="511"/>
      <c r="AP892" s="511"/>
      <c r="AQ892" s="511"/>
      <c r="AR892" s="511"/>
      <c r="AS892" s="511"/>
      <c r="AT892" s="511"/>
      <c r="AU892" s="511"/>
      <c r="AV892" s="511"/>
      <c r="AW892" s="511"/>
      <c r="AX892" s="511"/>
      <c r="AY892" s="511"/>
      <c r="AZ892" s="511"/>
      <c r="BA892" s="511"/>
      <c r="BB892" s="511"/>
      <c r="BC892" s="511"/>
      <c r="BD892" s="511"/>
      <c r="BE892" s="511"/>
    </row>
    <row r="893" ht="15.75" customHeight="1">
      <c r="A893" s="511"/>
      <c r="B893" s="511"/>
      <c r="C893" s="511"/>
      <c r="D893" s="511"/>
      <c r="E893" s="511"/>
      <c r="F893" s="511"/>
      <c r="G893" s="511"/>
      <c r="H893" s="511"/>
      <c r="I893" s="511"/>
      <c r="J893" s="511"/>
      <c r="K893" s="511"/>
      <c r="L893" s="511"/>
      <c r="M893" s="511"/>
      <c r="N893" s="511"/>
      <c r="O893" s="511"/>
      <c r="P893" s="511"/>
      <c r="Q893" s="511"/>
      <c r="R893" s="511"/>
      <c r="S893" s="511"/>
      <c r="T893" s="511"/>
      <c r="U893" s="511"/>
      <c r="V893" s="511"/>
      <c r="W893" s="511"/>
      <c r="X893" s="511"/>
      <c r="Y893" s="511"/>
      <c r="Z893" s="511"/>
      <c r="AA893" s="511"/>
      <c r="AB893" s="511"/>
      <c r="AC893" s="511"/>
      <c r="AD893" s="511"/>
      <c r="AE893" s="511"/>
      <c r="AF893" s="511"/>
      <c r="AG893" s="511"/>
      <c r="AH893" s="511"/>
      <c r="AI893" s="511"/>
      <c r="AJ893" s="511"/>
      <c r="AK893" s="511"/>
      <c r="AL893" s="511"/>
      <c r="AM893" s="511"/>
      <c r="AN893" s="511"/>
      <c r="AO893" s="511"/>
      <c r="AP893" s="511"/>
      <c r="AQ893" s="511"/>
      <c r="AR893" s="511"/>
      <c r="AS893" s="511"/>
      <c r="AT893" s="511"/>
      <c r="AU893" s="511"/>
      <c r="AV893" s="511"/>
      <c r="AW893" s="511"/>
      <c r="AX893" s="511"/>
      <c r="AY893" s="511"/>
      <c r="AZ893" s="511"/>
      <c r="BA893" s="511"/>
      <c r="BB893" s="511"/>
      <c r="BC893" s="511"/>
      <c r="BD893" s="511"/>
      <c r="BE893" s="511"/>
    </row>
    <row r="894" ht="15.75" customHeight="1">
      <c r="A894" s="511"/>
      <c r="B894" s="511"/>
      <c r="C894" s="511"/>
      <c r="D894" s="511"/>
      <c r="E894" s="511"/>
      <c r="F894" s="511"/>
      <c r="G894" s="511"/>
      <c r="H894" s="511"/>
      <c r="I894" s="511"/>
      <c r="J894" s="511"/>
      <c r="K894" s="511"/>
      <c r="L894" s="511"/>
      <c r="M894" s="511"/>
      <c r="N894" s="511"/>
      <c r="O894" s="511"/>
      <c r="P894" s="511"/>
      <c r="Q894" s="511"/>
      <c r="R894" s="511"/>
      <c r="S894" s="511"/>
      <c r="T894" s="511"/>
      <c r="U894" s="511"/>
      <c r="V894" s="511"/>
      <c r="W894" s="511"/>
      <c r="X894" s="511"/>
      <c r="Y894" s="511"/>
      <c r="Z894" s="511"/>
      <c r="AA894" s="511"/>
      <c r="AB894" s="511"/>
      <c r="AC894" s="511"/>
      <c r="AD894" s="511"/>
      <c r="AE894" s="511"/>
      <c r="AF894" s="511"/>
      <c r="AG894" s="511"/>
      <c r="AH894" s="511"/>
      <c r="AI894" s="511"/>
      <c r="AJ894" s="511"/>
      <c r="AK894" s="511"/>
      <c r="AL894" s="511"/>
      <c r="AM894" s="511"/>
      <c r="AN894" s="511"/>
      <c r="AO894" s="511"/>
      <c r="AP894" s="511"/>
      <c r="AQ894" s="511"/>
      <c r="AR894" s="511"/>
      <c r="AS894" s="511"/>
      <c r="AT894" s="511"/>
      <c r="AU894" s="511"/>
      <c r="AV894" s="511"/>
      <c r="AW894" s="511"/>
      <c r="AX894" s="511"/>
      <c r="AY894" s="511"/>
      <c r="AZ894" s="511"/>
      <c r="BA894" s="511"/>
      <c r="BB894" s="511"/>
      <c r="BC894" s="511"/>
      <c r="BD894" s="511"/>
      <c r="BE894" s="511"/>
    </row>
    <row r="895" ht="15.75" customHeight="1">
      <c r="A895" s="511"/>
      <c r="B895" s="511"/>
      <c r="C895" s="511"/>
      <c r="D895" s="511"/>
      <c r="E895" s="511"/>
      <c r="F895" s="511"/>
      <c r="G895" s="511"/>
      <c r="H895" s="511"/>
      <c r="I895" s="511"/>
      <c r="J895" s="511"/>
      <c r="K895" s="511"/>
      <c r="L895" s="511"/>
      <c r="M895" s="511"/>
      <c r="N895" s="511"/>
      <c r="O895" s="511"/>
      <c r="P895" s="511"/>
      <c r="Q895" s="511"/>
      <c r="R895" s="511"/>
      <c r="S895" s="511"/>
      <c r="T895" s="511"/>
      <c r="U895" s="511"/>
      <c r="V895" s="511"/>
      <c r="W895" s="511"/>
      <c r="X895" s="511"/>
      <c r="Y895" s="511"/>
      <c r="Z895" s="511"/>
      <c r="AA895" s="511"/>
      <c r="AB895" s="511"/>
      <c r="AC895" s="511"/>
      <c r="AD895" s="511"/>
      <c r="AE895" s="511"/>
      <c r="AF895" s="511"/>
      <c r="AG895" s="511"/>
      <c r="AH895" s="511"/>
      <c r="AI895" s="511"/>
      <c r="AJ895" s="511"/>
      <c r="AK895" s="511"/>
      <c r="AL895" s="511"/>
      <c r="AM895" s="511"/>
      <c r="AN895" s="511"/>
      <c r="AO895" s="511"/>
      <c r="AP895" s="511"/>
      <c r="AQ895" s="511"/>
      <c r="AR895" s="511"/>
      <c r="AS895" s="511"/>
      <c r="AT895" s="511"/>
      <c r="AU895" s="511"/>
      <c r="AV895" s="511"/>
      <c r="AW895" s="511"/>
      <c r="AX895" s="511"/>
      <c r="AY895" s="511"/>
      <c r="AZ895" s="511"/>
      <c r="BA895" s="511"/>
      <c r="BB895" s="511"/>
      <c r="BC895" s="511"/>
      <c r="BD895" s="511"/>
      <c r="BE895" s="511"/>
    </row>
    <row r="896" ht="15.75" customHeight="1">
      <c r="A896" s="511"/>
      <c r="B896" s="511"/>
      <c r="C896" s="511"/>
      <c r="D896" s="511"/>
      <c r="E896" s="511"/>
      <c r="F896" s="511"/>
      <c r="G896" s="511"/>
      <c r="H896" s="511"/>
      <c r="I896" s="511"/>
      <c r="J896" s="511"/>
      <c r="K896" s="511"/>
      <c r="L896" s="511"/>
      <c r="M896" s="511"/>
      <c r="N896" s="511"/>
      <c r="O896" s="511"/>
      <c r="P896" s="511"/>
      <c r="Q896" s="511"/>
      <c r="R896" s="511"/>
      <c r="S896" s="511"/>
      <c r="T896" s="511"/>
      <c r="U896" s="511"/>
      <c r="V896" s="511"/>
      <c r="W896" s="511"/>
      <c r="X896" s="511"/>
      <c r="Y896" s="511"/>
      <c r="Z896" s="511"/>
      <c r="AA896" s="511"/>
      <c r="AB896" s="511"/>
      <c r="AC896" s="511"/>
      <c r="AD896" s="511"/>
      <c r="AE896" s="511"/>
      <c r="AF896" s="511"/>
      <c r="AG896" s="511"/>
      <c r="AH896" s="511"/>
      <c r="AI896" s="511"/>
      <c r="AJ896" s="511"/>
      <c r="AK896" s="511"/>
      <c r="AL896" s="511"/>
      <c r="AM896" s="511"/>
      <c r="AN896" s="511"/>
      <c r="AO896" s="511"/>
      <c r="AP896" s="511"/>
      <c r="AQ896" s="511"/>
      <c r="AR896" s="511"/>
      <c r="AS896" s="511"/>
      <c r="AT896" s="511"/>
      <c r="AU896" s="511"/>
      <c r="AV896" s="511"/>
      <c r="AW896" s="511"/>
      <c r="AX896" s="511"/>
      <c r="AY896" s="511"/>
      <c r="AZ896" s="511"/>
      <c r="BA896" s="511"/>
      <c r="BB896" s="511"/>
      <c r="BC896" s="511"/>
      <c r="BD896" s="511"/>
      <c r="BE896" s="511"/>
    </row>
    <row r="897" ht="15.75" customHeight="1">
      <c r="A897" s="511"/>
      <c r="B897" s="511"/>
      <c r="C897" s="511"/>
      <c r="D897" s="511"/>
      <c r="E897" s="511"/>
      <c r="F897" s="511"/>
      <c r="G897" s="511"/>
      <c r="H897" s="511"/>
      <c r="I897" s="511"/>
      <c r="J897" s="511"/>
      <c r="K897" s="511"/>
      <c r="L897" s="511"/>
      <c r="M897" s="511"/>
      <c r="N897" s="511"/>
      <c r="O897" s="511"/>
      <c r="P897" s="511"/>
      <c r="Q897" s="511"/>
      <c r="R897" s="511"/>
      <c r="S897" s="511"/>
      <c r="T897" s="511"/>
      <c r="U897" s="511"/>
      <c r="V897" s="511"/>
      <c r="W897" s="511"/>
      <c r="X897" s="511"/>
      <c r="Y897" s="511"/>
      <c r="Z897" s="511"/>
      <c r="AA897" s="511"/>
      <c r="AB897" s="511"/>
      <c r="AC897" s="511"/>
      <c r="AD897" s="511"/>
      <c r="AE897" s="511"/>
      <c r="AF897" s="511"/>
      <c r="AG897" s="511"/>
      <c r="AH897" s="511"/>
      <c r="AI897" s="511"/>
      <c r="AJ897" s="511"/>
      <c r="AK897" s="511"/>
      <c r="AL897" s="511"/>
      <c r="AM897" s="511"/>
      <c r="AN897" s="511"/>
      <c r="AO897" s="511"/>
      <c r="AP897" s="511"/>
      <c r="AQ897" s="511"/>
      <c r="AR897" s="511"/>
      <c r="AS897" s="511"/>
      <c r="AT897" s="511"/>
      <c r="AU897" s="511"/>
      <c r="AV897" s="511"/>
      <c r="AW897" s="511"/>
      <c r="AX897" s="511"/>
      <c r="AY897" s="511"/>
      <c r="AZ897" s="511"/>
      <c r="BA897" s="511"/>
      <c r="BB897" s="511"/>
      <c r="BC897" s="511"/>
      <c r="BD897" s="511"/>
      <c r="BE897" s="511"/>
    </row>
    <row r="898" ht="15.75" customHeight="1">
      <c r="A898" s="511"/>
      <c r="B898" s="511"/>
      <c r="C898" s="511"/>
      <c r="D898" s="511"/>
      <c r="E898" s="511"/>
      <c r="F898" s="511"/>
      <c r="G898" s="511"/>
      <c r="H898" s="511"/>
      <c r="I898" s="511"/>
      <c r="J898" s="511"/>
      <c r="K898" s="511"/>
      <c r="L898" s="511"/>
      <c r="M898" s="511"/>
      <c r="N898" s="511"/>
      <c r="O898" s="511"/>
      <c r="P898" s="511"/>
      <c r="Q898" s="511"/>
      <c r="R898" s="511"/>
      <c r="S898" s="511"/>
      <c r="T898" s="511"/>
      <c r="U898" s="511"/>
      <c r="V898" s="511"/>
      <c r="W898" s="511"/>
      <c r="X898" s="511"/>
      <c r="Y898" s="511"/>
      <c r="Z898" s="511"/>
      <c r="AA898" s="511"/>
      <c r="AB898" s="511"/>
      <c r="AC898" s="511"/>
      <c r="AD898" s="511"/>
      <c r="AE898" s="511"/>
      <c r="AF898" s="511"/>
      <c r="AG898" s="511"/>
      <c r="AH898" s="511"/>
      <c r="AI898" s="511"/>
      <c r="AJ898" s="511"/>
      <c r="AK898" s="511"/>
      <c r="AL898" s="511"/>
      <c r="AM898" s="511"/>
      <c r="AN898" s="511"/>
      <c r="AO898" s="511"/>
      <c r="AP898" s="511"/>
      <c r="AQ898" s="511"/>
      <c r="AR898" s="511"/>
      <c r="AS898" s="511"/>
      <c r="AT898" s="511"/>
      <c r="AU898" s="511"/>
      <c r="AV898" s="511"/>
      <c r="AW898" s="511"/>
      <c r="AX898" s="511"/>
      <c r="AY898" s="511"/>
      <c r="AZ898" s="511"/>
      <c r="BA898" s="511"/>
      <c r="BB898" s="511"/>
      <c r="BC898" s="511"/>
      <c r="BD898" s="511"/>
      <c r="BE898" s="511"/>
    </row>
    <row r="899" ht="15.75" customHeight="1">
      <c r="A899" s="511"/>
      <c r="B899" s="511"/>
      <c r="C899" s="511"/>
      <c r="D899" s="511"/>
      <c r="E899" s="511"/>
      <c r="F899" s="511"/>
      <c r="G899" s="511"/>
      <c r="H899" s="511"/>
      <c r="I899" s="511"/>
      <c r="J899" s="511"/>
      <c r="K899" s="511"/>
      <c r="L899" s="511"/>
      <c r="M899" s="511"/>
      <c r="N899" s="511"/>
      <c r="O899" s="511"/>
      <c r="P899" s="511"/>
      <c r="Q899" s="511"/>
      <c r="R899" s="511"/>
      <c r="S899" s="511"/>
      <c r="T899" s="511"/>
      <c r="U899" s="511"/>
      <c r="V899" s="511"/>
      <c r="W899" s="511"/>
      <c r="X899" s="511"/>
      <c r="Y899" s="511"/>
      <c r="Z899" s="511"/>
      <c r="AA899" s="511"/>
      <c r="AB899" s="511"/>
      <c r="AC899" s="511"/>
      <c r="AD899" s="511"/>
      <c r="AE899" s="511"/>
      <c r="AF899" s="511"/>
      <c r="AG899" s="511"/>
      <c r="AH899" s="511"/>
      <c r="AI899" s="511"/>
      <c r="AJ899" s="511"/>
      <c r="AK899" s="511"/>
      <c r="AL899" s="511"/>
      <c r="AM899" s="511"/>
      <c r="AN899" s="511"/>
      <c r="AO899" s="511"/>
      <c r="AP899" s="511"/>
      <c r="AQ899" s="511"/>
      <c r="AR899" s="511"/>
      <c r="AS899" s="511"/>
      <c r="AT899" s="511"/>
      <c r="AU899" s="511"/>
      <c r="AV899" s="511"/>
      <c r="AW899" s="511"/>
      <c r="AX899" s="511"/>
      <c r="AY899" s="511"/>
      <c r="AZ899" s="511"/>
      <c r="BA899" s="511"/>
      <c r="BB899" s="511"/>
      <c r="BC899" s="511"/>
      <c r="BD899" s="511"/>
      <c r="BE899" s="511"/>
    </row>
    <row r="900" ht="15.75" customHeight="1">
      <c r="A900" s="511"/>
      <c r="B900" s="511"/>
      <c r="C900" s="511"/>
      <c r="D900" s="511"/>
      <c r="E900" s="511"/>
      <c r="F900" s="511"/>
      <c r="G900" s="511"/>
      <c r="H900" s="511"/>
      <c r="I900" s="511"/>
      <c r="J900" s="511"/>
      <c r="K900" s="511"/>
      <c r="L900" s="511"/>
      <c r="M900" s="511"/>
      <c r="N900" s="511"/>
      <c r="O900" s="511"/>
      <c r="P900" s="511"/>
      <c r="Q900" s="511"/>
      <c r="R900" s="511"/>
      <c r="S900" s="511"/>
      <c r="T900" s="511"/>
      <c r="U900" s="511"/>
      <c r="V900" s="511"/>
      <c r="W900" s="511"/>
      <c r="X900" s="511"/>
      <c r="Y900" s="511"/>
      <c r="Z900" s="511"/>
      <c r="AA900" s="511"/>
      <c r="AB900" s="511"/>
      <c r="AC900" s="511"/>
      <c r="AD900" s="511"/>
      <c r="AE900" s="511"/>
      <c r="AF900" s="511"/>
      <c r="AG900" s="511"/>
      <c r="AH900" s="511"/>
      <c r="AI900" s="511"/>
      <c r="AJ900" s="511"/>
      <c r="AK900" s="511"/>
      <c r="AL900" s="511"/>
      <c r="AM900" s="511"/>
      <c r="AN900" s="511"/>
      <c r="AO900" s="511"/>
      <c r="AP900" s="511"/>
      <c r="AQ900" s="511"/>
      <c r="AR900" s="511"/>
      <c r="AS900" s="511"/>
      <c r="AT900" s="511"/>
      <c r="AU900" s="511"/>
      <c r="AV900" s="511"/>
      <c r="AW900" s="511"/>
      <c r="AX900" s="511"/>
      <c r="AY900" s="511"/>
      <c r="AZ900" s="511"/>
      <c r="BA900" s="511"/>
      <c r="BB900" s="511"/>
      <c r="BC900" s="511"/>
      <c r="BD900" s="511"/>
      <c r="BE900" s="511"/>
    </row>
    <row r="901" ht="15.75" customHeight="1">
      <c r="A901" s="511"/>
      <c r="B901" s="511"/>
      <c r="C901" s="511"/>
      <c r="D901" s="511"/>
      <c r="E901" s="511"/>
      <c r="F901" s="511"/>
      <c r="G901" s="511"/>
      <c r="H901" s="511"/>
      <c r="I901" s="511"/>
      <c r="J901" s="511"/>
      <c r="K901" s="511"/>
      <c r="L901" s="511"/>
      <c r="M901" s="511"/>
      <c r="N901" s="511"/>
      <c r="O901" s="511"/>
      <c r="P901" s="511"/>
      <c r="Q901" s="511"/>
      <c r="R901" s="511"/>
      <c r="S901" s="511"/>
      <c r="T901" s="511"/>
      <c r="U901" s="511"/>
      <c r="V901" s="511"/>
      <c r="W901" s="511"/>
      <c r="X901" s="511"/>
      <c r="Y901" s="511"/>
      <c r="Z901" s="511"/>
      <c r="AA901" s="511"/>
      <c r="AB901" s="511"/>
      <c r="AC901" s="511"/>
      <c r="AD901" s="511"/>
      <c r="AE901" s="511"/>
      <c r="AF901" s="511"/>
      <c r="AG901" s="511"/>
      <c r="AH901" s="511"/>
      <c r="AI901" s="511"/>
      <c r="AJ901" s="511"/>
      <c r="AK901" s="511"/>
      <c r="AL901" s="511"/>
      <c r="AM901" s="511"/>
      <c r="AN901" s="511"/>
      <c r="AO901" s="511"/>
      <c r="AP901" s="511"/>
      <c r="AQ901" s="511"/>
      <c r="AR901" s="511"/>
      <c r="AS901" s="511"/>
      <c r="AT901" s="511"/>
      <c r="AU901" s="511"/>
      <c r="AV901" s="511"/>
      <c r="AW901" s="511"/>
      <c r="AX901" s="511"/>
      <c r="AY901" s="511"/>
      <c r="AZ901" s="511"/>
      <c r="BA901" s="511"/>
      <c r="BB901" s="511"/>
      <c r="BC901" s="511"/>
      <c r="BD901" s="511"/>
      <c r="BE901" s="511"/>
    </row>
    <row r="902" ht="15.75" customHeight="1">
      <c r="A902" s="511"/>
      <c r="B902" s="511"/>
      <c r="C902" s="511"/>
      <c r="D902" s="511"/>
      <c r="E902" s="511"/>
      <c r="F902" s="511"/>
      <c r="G902" s="511"/>
      <c r="H902" s="511"/>
      <c r="I902" s="511"/>
      <c r="J902" s="511"/>
      <c r="K902" s="511"/>
      <c r="L902" s="511"/>
      <c r="M902" s="511"/>
      <c r="N902" s="511"/>
      <c r="O902" s="511"/>
      <c r="P902" s="511"/>
      <c r="Q902" s="511"/>
      <c r="R902" s="511"/>
      <c r="S902" s="511"/>
      <c r="T902" s="511"/>
      <c r="U902" s="511"/>
      <c r="V902" s="511"/>
      <c r="W902" s="511"/>
      <c r="X902" s="511"/>
      <c r="Y902" s="511"/>
      <c r="Z902" s="511"/>
      <c r="AA902" s="511"/>
      <c r="AB902" s="511"/>
      <c r="AC902" s="511"/>
      <c r="AD902" s="511"/>
      <c r="AE902" s="511"/>
      <c r="AF902" s="511"/>
      <c r="AG902" s="511"/>
      <c r="AH902" s="511"/>
      <c r="AI902" s="511"/>
      <c r="AJ902" s="511"/>
      <c r="AK902" s="511"/>
      <c r="AL902" s="511"/>
      <c r="AM902" s="511"/>
      <c r="AN902" s="511"/>
      <c r="AO902" s="511"/>
      <c r="AP902" s="511"/>
      <c r="AQ902" s="511"/>
      <c r="AR902" s="511"/>
      <c r="AS902" s="511"/>
      <c r="AT902" s="511"/>
      <c r="AU902" s="511"/>
      <c r="AV902" s="511"/>
      <c r="AW902" s="511"/>
      <c r="AX902" s="511"/>
      <c r="AY902" s="511"/>
      <c r="AZ902" s="511"/>
      <c r="BA902" s="511"/>
      <c r="BB902" s="511"/>
      <c r="BC902" s="511"/>
      <c r="BD902" s="511"/>
      <c r="BE902" s="511"/>
    </row>
    <row r="903" ht="15.75" customHeight="1">
      <c r="A903" s="511"/>
      <c r="B903" s="511"/>
      <c r="C903" s="511"/>
      <c r="D903" s="511"/>
      <c r="E903" s="511"/>
      <c r="F903" s="511"/>
      <c r="G903" s="511"/>
      <c r="H903" s="511"/>
      <c r="I903" s="511"/>
      <c r="J903" s="511"/>
      <c r="K903" s="511"/>
      <c r="L903" s="511"/>
      <c r="M903" s="511"/>
      <c r="N903" s="511"/>
      <c r="O903" s="511"/>
      <c r="P903" s="511"/>
      <c r="Q903" s="511"/>
      <c r="R903" s="511"/>
      <c r="S903" s="511"/>
      <c r="T903" s="511"/>
      <c r="U903" s="511"/>
      <c r="V903" s="511"/>
      <c r="W903" s="511"/>
      <c r="X903" s="511"/>
      <c r="Y903" s="511"/>
      <c r="Z903" s="511"/>
      <c r="AA903" s="511"/>
      <c r="AB903" s="511"/>
      <c r="AC903" s="511"/>
      <c r="AD903" s="511"/>
      <c r="AE903" s="511"/>
      <c r="AF903" s="511"/>
      <c r="AG903" s="511"/>
      <c r="AH903" s="511"/>
      <c r="AI903" s="511"/>
      <c r="AJ903" s="511"/>
      <c r="AK903" s="511"/>
      <c r="AL903" s="511"/>
      <c r="AM903" s="511"/>
      <c r="AN903" s="511"/>
      <c r="AO903" s="511"/>
      <c r="AP903" s="511"/>
      <c r="AQ903" s="511"/>
      <c r="AR903" s="511"/>
      <c r="AS903" s="511"/>
      <c r="AT903" s="511"/>
      <c r="AU903" s="511"/>
      <c r="AV903" s="511"/>
      <c r="AW903" s="511"/>
      <c r="AX903" s="511"/>
      <c r="AY903" s="511"/>
      <c r="AZ903" s="511"/>
      <c r="BA903" s="511"/>
      <c r="BB903" s="511"/>
      <c r="BC903" s="511"/>
      <c r="BD903" s="511"/>
      <c r="BE903" s="511"/>
    </row>
    <row r="904" ht="15.75" customHeight="1">
      <c r="A904" s="511"/>
      <c r="B904" s="511"/>
      <c r="C904" s="511"/>
      <c r="D904" s="511"/>
      <c r="E904" s="511"/>
      <c r="F904" s="511"/>
      <c r="G904" s="511"/>
      <c r="H904" s="511"/>
      <c r="I904" s="511"/>
      <c r="J904" s="511"/>
      <c r="K904" s="511"/>
      <c r="L904" s="511"/>
      <c r="M904" s="511"/>
      <c r="N904" s="511"/>
      <c r="O904" s="511"/>
      <c r="P904" s="511"/>
      <c r="Q904" s="511"/>
      <c r="R904" s="511"/>
      <c r="S904" s="511"/>
      <c r="T904" s="511"/>
      <c r="U904" s="511"/>
      <c r="V904" s="511"/>
      <c r="W904" s="511"/>
      <c r="X904" s="511"/>
      <c r="Y904" s="511"/>
      <c r="Z904" s="511"/>
      <c r="AA904" s="511"/>
      <c r="AB904" s="511"/>
      <c r="AC904" s="511"/>
      <c r="AD904" s="511"/>
      <c r="AE904" s="511"/>
      <c r="AF904" s="511"/>
      <c r="AG904" s="511"/>
      <c r="AH904" s="511"/>
      <c r="AI904" s="511"/>
      <c r="AJ904" s="511"/>
      <c r="AK904" s="511"/>
      <c r="AL904" s="511"/>
      <c r="AM904" s="511"/>
      <c r="AN904" s="511"/>
      <c r="AO904" s="511"/>
      <c r="AP904" s="511"/>
      <c r="AQ904" s="511"/>
      <c r="AR904" s="511"/>
      <c r="AS904" s="511"/>
      <c r="AT904" s="511"/>
      <c r="AU904" s="511"/>
      <c r="AV904" s="511"/>
      <c r="AW904" s="511"/>
      <c r="AX904" s="511"/>
      <c r="AY904" s="511"/>
      <c r="AZ904" s="511"/>
      <c r="BA904" s="511"/>
      <c r="BB904" s="511"/>
      <c r="BC904" s="511"/>
      <c r="BD904" s="511"/>
      <c r="BE904" s="511"/>
    </row>
    <row r="905" ht="15.75" customHeight="1">
      <c r="A905" s="511"/>
      <c r="B905" s="511"/>
      <c r="C905" s="511"/>
      <c r="D905" s="511"/>
      <c r="E905" s="511"/>
      <c r="F905" s="511"/>
      <c r="G905" s="511"/>
      <c r="H905" s="511"/>
      <c r="I905" s="511"/>
      <c r="J905" s="511"/>
      <c r="K905" s="511"/>
      <c r="L905" s="511"/>
      <c r="M905" s="511"/>
      <c r="N905" s="511"/>
      <c r="O905" s="511"/>
      <c r="P905" s="511"/>
      <c r="Q905" s="511"/>
      <c r="R905" s="511"/>
      <c r="S905" s="511"/>
      <c r="T905" s="511"/>
      <c r="U905" s="511"/>
      <c r="V905" s="511"/>
      <c r="W905" s="511"/>
      <c r="X905" s="511"/>
      <c r="Y905" s="511"/>
      <c r="Z905" s="511"/>
      <c r="AA905" s="511"/>
      <c r="AB905" s="511"/>
      <c r="AC905" s="511"/>
      <c r="AD905" s="511"/>
      <c r="AE905" s="511"/>
      <c r="AF905" s="511"/>
      <c r="AG905" s="511"/>
      <c r="AH905" s="511"/>
      <c r="AI905" s="511"/>
      <c r="AJ905" s="511"/>
      <c r="AK905" s="511"/>
      <c r="AL905" s="511"/>
      <c r="AM905" s="511"/>
      <c r="AN905" s="511"/>
      <c r="AO905" s="511"/>
      <c r="AP905" s="511"/>
      <c r="AQ905" s="511"/>
      <c r="AR905" s="511"/>
      <c r="AS905" s="511"/>
      <c r="AT905" s="511"/>
      <c r="AU905" s="511"/>
      <c r="AV905" s="511"/>
      <c r="AW905" s="511"/>
      <c r="AX905" s="511"/>
      <c r="AY905" s="511"/>
      <c r="AZ905" s="511"/>
      <c r="BA905" s="511"/>
      <c r="BB905" s="511"/>
      <c r="BC905" s="511"/>
      <c r="BD905" s="511"/>
      <c r="BE905" s="511"/>
    </row>
    <row r="906" ht="15.75" customHeight="1">
      <c r="A906" s="511"/>
      <c r="B906" s="511"/>
      <c r="C906" s="511"/>
      <c r="D906" s="511"/>
      <c r="E906" s="511"/>
      <c r="F906" s="511"/>
      <c r="G906" s="511"/>
      <c r="H906" s="511"/>
      <c r="I906" s="511"/>
      <c r="J906" s="511"/>
      <c r="K906" s="511"/>
      <c r="L906" s="511"/>
      <c r="M906" s="511"/>
      <c r="N906" s="511"/>
      <c r="O906" s="511"/>
      <c r="P906" s="511"/>
      <c r="Q906" s="511"/>
      <c r="R906" s="511"/>
      <c r="S906" s="511"/>
      <c r="T906" s="511"/>
      <c r="U906" s="511"/>
      <c r="V906" s="511"/>
      <c r="W906" s="511"/>
      <c r="X906" s="511"/>
      <c r="Y906" s="511"/>
      <c r="Z906" s="511"/>
      <c r="AA906" s="511"/>
      <c r="AB906" s="511"/>
      <c r="AC906" s="511"/>
      <c r="AD906" s="511"/>
      <c r="AE906" s="511"/>
      <c r="AF906" s="511"/>
      <c r="AG906" s="511"/>
      <c r="AH906" s="511"/>
      <c r="AI906" s="511"/>
      <c r="AJ906" s="511"/>
      <c r="AK906" s="511"/>
      <c r="AL906" s="511"/>
      <c r="AM906" s="511"/>
      <c r="AN906" s="511"/>
      <c r="AO906" s="511"/>
      <c r="AP906" s="511"/>
      <c r="AQ906" s="511"/>
      <c r="AR906" s="511"/>
      <c r="AS906" s="511"/>
      <c r="AT906" s="511"/>
      <c r="AU906" s="511"/>
      <c r="AV906" s="511"/>
      <c r="AW906" s="511"/>
      <c r="AX906" s="511"/>
      <c r="AY906" s="511"/>
      <c r="AZ906" s="511"/>
      <c r="BA906" s="511"/>
      <c r="BB906" s="511"/>
      <c r="BC906" s="511"/>
      <c r="BD906" s="511"/>
      <c r="BE906" s="511"/>
    </row>
    <row r="907" ht="15.75" customHeight="1">
      <c r="A907" s="511"/>
      <c r="B907" s="511"/>
      <c r="C907" s="511"/>
      <c r="D907" s="511"/>
      <c r="E907" s="511"/>
      <c r="F907" s="511"/>
      <c r="G907" s="511"/>
      <c r="H907" s="511"/>
      <c r="I907" s="511"/>
      <c r="J907" s="511"/>
      <c r="K907" s="511"/>
      <c r="L907" s="511"/>
      <c r="M907" s="511"/>
      <c r="N907" s="511"/>
      <c r="O907" s="511"/>
      <c r="P907" s="511"/>
      <c r="Q907" s="511"/>
      <c r="R907" s="511"/>
      <c r="S907" s="511"/>
      <c r="T907" s="511"/>
      <c r="U907" s="511"/>
      <c r="V907" s="511"/>
      <c r="W907" s="511"/>
      <c r="X907" s="511"/>
      <c r="Y907" s="511"/>
      <c r="Z907" s="511"/>
      <c r="AA907" s="511"/>
      <c r="AB907" s="511"/>
      <c r="AC907" s="511"/>
      <c r="AD907" s="511"/>
      <c r="AE907" s="511"/>
      <c r="AF907" s="511"/>
      <c r="AG907" s="511"/>
      <c r="AH907" s="511"/>
      <c r="AI907" s="511"/>
      <c r="AJ907" s="511"/>
      <c r="AK907" s="511"/>
      <c r="AL907" s="511"/>
      <c r="AM907" s="511"/>
      <c r="AN907" s="511"/>
      <c r="AO907" s="511"/>
      <c r="AP907" s="511"/>
      <c r="AQ907" s="511"/>
      <c r="AR907" s="511"/>
      <c r="AS907" s="511"/>
      <c r="AT907" s="511"/>
      <c r="AU907" s="511"/>
      <c r="AV907" s="511"/>
      <c r="AW907" s="511"/>
      <c r="AX907" s="511"/>
      <c r="AY907" s="511"/>
      <c r="AZ907" s="511"/>
      <c r="BA907" s="511"/>
      <c r="BB907" s="511"/>
      <c r="BC907" s="511"/>
      <c r="BD907" s="511"/>
      <c r="BE907" s="511"/>
    </row>
    <row r="908" ht="15.75" customHeight="1">
      <c r="A908" s="511"/>
      <c r="B908" s="511"/>
      <c r="C908" s="511"/>
      <c r="D908" s="511"/>
      <c r="E908" s="511"/>
      <c r="F908" s="511"/>
      <c r="G908" s="511"/>
      <c r="H908" s="511"/>
      <c r="I908" s="511"/>
      <c r="J908" s="511"/>
      <c r="K908" s="511"/>
      <c r="L908" s="511"/>
      <c r="M908" s="511"/>
      <c r="N908" s="511"/>
      <c r="O908" s="511"/>
      <c r="P908" s="511"/>
      <c r="Q908" s="511"/>
      <c r="R908" s="511"/>
      <c r="S908" s="511"/>
      <c r="T908" s="511"/>
      <c r="U908" s="511"/>
      <c r="V908" s="511"/>
      <c r="W908" s="511"/>
      <c r="X908" s="511"/>
      <c r="Y908" s="511"/>
      <c r="Z908" s="511"/>
      <c r="AA908" s="511"/>
      <c r="AB908" s="511"/>
      <c r="AC908" s="511"/>
      <c r="AD908" s="511"/>
      <c r="AE908" s="511"/>
      <c r="AF908" s="511"/>
      <c r="AG908" s="511"/>
      <c r="AH908" s="511"/>
      <c r="AI908" s="511"/>
      <c r="AJ908" s="511"/>
      <c r="AK908" s="511"/>
      <c r="AL908" s="511"/>
      <c r="AM908" s="511"/>
      <c r="AN908" s="511"/>
      <c r="AO908" s="511"/>
      <c r="AP908" s="511"/>
      <c r="AQ908" s="511"/>
      <c r="AR908" s="511"/>
      <c r="AS908" s="511"/>
      <c r="AT908" s="511"/>
      <c r="AU908" s="511"/>
      <c r="AV908" s="511"/>
      <c r="AW908" s="511"/>
      <c r="AX908" s="511"/>
      <c r="AY908" s="511"/>
      <c r="AZ908" s="511"/>
      <c r="BA908" s="511"/>
      <c r="BB908" s="511"/>
      <c r="BC908" s="511"/>
      <c r="BD908" s="511"/>
      <c r="BE908" s="511"/>
    </row>
    <row r="909" ht="15.75" customHeight="1">
      <c r="A909" s="511"/>
      <c r="B909" s="511"/>
      <c r="C909" s="511"/>
      <c r="D909" s="511"/>
      <c r="E909" s="511"/>
      <c r="F909" s="511"/>
      <c r="G909" s="511"/>
      <c r="H909" s="511"/>
      <c r="I909" s="511"/>
      <c r="J909" s="511"/>
      <c r="K909" s="511"/>
      <c r="L909" s="511"/>
      <c r="M909" s="511"/>
      <c r="N909" s="511"/>
      <c r="O909" s="511"/>
      <c r="P909" s="511"/>
      <c r="Q909" s="511"/>
      <c r="R909" s="511"/>
      <c r="S909" s="511"/>
      <c r="T909" s="511"/>
      <c r="U909" s="511"/>
      <c r="V909" s="511"/>
      <c r="W909" s="511"/>
      <c r="X909" s="511"/>
      <c r="Y909" s="511"/>
      <c r="Z909" s="511"/>
      <c r="AA909" s="511"/>
      <c r="AB909" s="511"/>
      <c r="AC909" s="511"/>
      <c r="AD909" s="511"/>
      <c r="AE909" s="511"/>
      <c r="AF909" s="511"/>
      <c r="AG909" s="511"/>
      <c r="AH909" s="511"/>
      <c r="AI909" s="511"/>
      <c r="AJ909" s="511"/>
      <c r="AK909" s="511"/>
      <c r="AL909" s="511"/>
      <c r="AM909" s="511"/>
      <c r="AN909" s="511"/>
      <c r="AO909" s="511"/>
      <c r="AP909" s="511"/>
      <c r="AQ909" s="511"/>
      <c r="AR909" s="511"/>
      <c r="AS909" s="511"/>
      <c r="AT909" s="511"/>
      <c r="AU909" s="511"/>
      <c r="AV909" s="511"/>
      <c r="AW909" s="511"/>
      <c r="AX909" s="511"/>
      <c r="AY909" s="511"/>
      <c r="AZ909" s="511"/>
      <c r="BA909" s="511"/>
      <c r="BB909" s="511"/>
      <c r="BC909" s="511"/>
      <c r="BD909" s="511"/>
      <c r="BE909" s="511"/>
    </row>
    <row r="910" ht="15.75" customHeight="1">
      <c r="A910" s="511"/>
      <c r="B910" s="511"/>
      <c r="C910" s="511"/>
      <c r="D910" s="511"/>
      <c r="E910" s="511"/>
      <c r="F910" s="511"/>
      <c r="G910" s="511"/>
      <c r="H910" s="511"/>
      <c r="I910" s="511"/>
      <c r="J910" s="511"/>
      <c r="K910" s="511"/>
      <c r="L910" s="511"/>
      <c r="M910" s="511"/>
      <c r="N910" s="511"/>
      <c r="O910" s="511"/>
      <c r="P910" s="511"/>
      <c r="Q910" s="511"/>
      <c r="R910" s="511"/>
      <c r="S910" s="511"/>
      <c r="T910" s="511"/>
      <c r="U910" s="511"/>
      <c r="V910" s="511"/>
      <c r="W910" s="511"/>
      <c r="X910" s="511"/>
      <c r="Y910" s="511"/>
      <c r="Z910" s="511"/>
      <c r="AA910" s="511"/>
      <c r="AB910" s="511"/>
      <c r="AC910" s="511"/>
      <c r="AD910" s="511"/>
      <c r="AE910" s="511"/>
      <c r="AF910" s="511"/>
      <c r="AG910" s="511"/>
      <c r="AH910" s="511"/>
      <c r="AI910" s="511"/>
      <c r="AJ910" s="511"/>
      <c r="AK910" s="511"/>
      <c r="AL910" s="511"/>
      <c r="AM910" s="511"/>
      <c r="AN910" s="511"/>
      <c r="AO910" s="511"/>
      <c r="AP910" s="511"/>
      <c r="AQ910" s="511"/>
      <c r="AR910" s="511"/>
      <c r="AS910" s="511"/>
      <c r="AT910" s="511"/>
      <c r="AU910" s="511"/>
      <c r="AV910" s="511"/>
      <c r="AW910" s="511"/>
      <c r="AX910" s="511"/>
      <c r="AY910" s="511"/>
      <c r="AZ910" s="511"/>
      <c r="BA910" s="511"/>
      <c r="BB910" s="511"/>
      <c r="BC910" s="511"/>
      <c r="BD910" s="511"/>
      <c r="BE910" s="511"/>
    </row>
    <row r="911" ht="15.75" customHeight="1">
      <c r="A911" s="511"/>
      <c r="B911" s="511"/>
      <c r="C911" s="511"/>
      <c r="D911" s="511"/>
      <c r="E911" s="511"/>
      <c r="F911" s="511"/>
      <c r="G911" s="511"/>
      <c r="H911" s="511"/>
      <c r="I911" s="511"/>
      <c r="J911" s="511"/>
      <c r="K911" s="511"/>
      <c r="L911" s="511"/>
      <c r="M911" s="511"/>
      <c r="N911" s="511"/>
      <c r="O911" s="511"/>
      <c r="P911" s="511"/>
      <c r="Q911" s="511"/>
      <c r="R911" s="511"/>
      <c r="S911" s="511"/>
      <c r="T911" s="511"/>
      <c r="U911" s="511"/>
      <c r="V911" s="511"/>
      <c r="W911" s="511"/>
      <c r="X911" s="511"/>
      <c r="Y911" s="511"/>
      <c r="Z911" s="511"/>
      <c r="AA911" s="511"/>
      <c r="AB911" s="511"/>
      <c r="AC911" s="511"/>
      <c r="AD911" s="511"/>
      <c r="AE911" s="511"/>
      <c r="AF911" s="511"/>
      <c r="AG911" s="511"/>
      <c r="AH911" s="511"/>
      <c r="AI911" s="511"/>
      <c r="AJ911" s="511"/>
      <c r="AK911" s="511"/>
      <c r="AL911" s="511"/>
      <c r="AM911" s="511"/>
      <c r="AN911" s="511"/>
      <c r="AO911" s="511"/>
      <c r="AP911" s="511"/>
      <c r="AQ911" s="511"/>
      <c r="AR911" s="511"/>
      <c r="AS911" s="511"/>
      <c r="AT911" s="511"/>
      <c r="AU911" s="511"/>
      <c r="AV911" s="511"/>
      <c r="AW911" s="511"/>
      <c r="AX911" s="511"/>
      <c r="AY911" s="511"/>
      <c r="AZ911" s="511"/>
      <c r="BA911" s="511"/>
      <c r="BB911" s="511"/>
      <c r="BC911" s="511"/>
      <c r="BD911" s="511"/>
      <c r="BE911" s="511"/>
    </row>
    <row r="912" ht="15.75" customHeight="1">
      <c r="A912" s="511"/>
      <c r="B912" s="511"/>
      <c r="C912" s="511"/>
      <c r="D912" s="511"/>
      <c r="E912" s="511"/>
      <c r="F912" s="511"/>
      <c r="G912" s="511"/>
      <c r="H912" s="511"/>
      <c r="I912" s="511"/>
      <c r="J912" s="511"/>
      <c r="K912" s="511"/>
      <c r="L912" s="511"/>
      <c r="M912" s="511"/>
      <c r="N912" s="511"/>
      <c r="O912" s="511"/>
      <c r="P912" s="511"/>
      <c r="Q912" s="511"/>
      <c r="R912" s="511"/>
      <c r="S912" s="511"/>
      <c r="T912" s="511"/>
      <c r="U912" s="511"/>
      <c r="V912" s="511"/>
      <c r="W912" s="511"/>
      <c r="X912" s="511"/>
      <c r="Y912" s="511"/>
      <c r="Z912" s="511"/>
      <c r="AA912" s="511"/>
      <c r="AB912" s="511"/>
      <c r="AC912" s="511"/>
      <c r="AD912" s="511"/>
      <c r="AE912" s="511"/>
      <c r="AF912" s="511"/>
      <c r="AG912" s="511"/>
      <c r="AH912" s="511"/>
      <c r="AI912" s="511"/>
      <c r="AJ912" s="511"/>
      <c r="AK912" s="511"/>
      <c r="AL912" s="511"/>
      <c r="AM912" s="511"/>
      <c r="AN912" s="511"/>
      <c r="AO912" s="511"/>
      <c r="AP912" s="511"/>
      <c r="AQ912" s="511"/>
      <c r="AR912" s="511"/>
      <c r="AS912" s="511"/>
      <c r="AT912" s="511"/>
      <c r="AU912" s="511"/>
      <c r="AV912" s="511"/>
      <c r="AW912" s="511"/>
      <c r="AX912" s="511"/>
      <c r="AY912" s="511"/>
      <c r="AZ912" s="511"/>
      <c r="BA912" s="511"/>
      <c r="BB912" s="511"/>
      <c r="BC912" s="511"/>
      <c r="BD912" s="511"/>
      <c r="BE912" s="511"/>
    </row>
    <row r="913" ht="15.75" customHeight="1">
      <c r="A913" s="511"/>
      <c r="B913" s="511"/>
      <c r="C913" s="511"/>
      <c r="D913" s="511"/>
      <c r="E913" s="511"/>
      <c r="F913" s="511"/>
      <c r="G913" s="511"/>
      <c r="H913" s="511"/>
      <c r="I913" s="511"/>
      <c r="J913" s="511"/>
      <c r="K913" s="511"/>
      <c r="L913" s="511"/>
      <c r="M913" s="511"/>
      <c r="N913" s="511"/>
      <c r="O913" s="511"/>
      <c r="P913" s="511"/>
      <c r="Q913" s="511"/>
      <c r="R913" s="511"/>
      <c r="S913" s="511"/>
      <c r="T913" s="511"/>
      <c r="U913" s="511"/>
      <c r="V913" s="511"/>
      <c r="W913" s="511"/>
      <c r="X913" s="511"/>
      <c r="Y913" s="511"/>
      <c r="Z913" s="511"/>
      <c r="AA913" s="511"/>
      <c r="AB913" s="511"/>
      <c r="AC913" s="511"/>
      <c r="AD913" s="511"/>
      <c r="AE913" s="511"/>
      <c r="AF913" s="511"/>
      <c r="AG913" s="511"/>
      <c r="AH913" s="511"/>
      <c r="AI913" s="511"/>
      <c r="AJ913" s="511"/>
      <c r="AK913" s="511"/>
      <c r="AL913" s="511"/>
      <c r="AM913" s="511"/>
      <c r="AN913" s="511"/>
      <c r="AO913" s="511"/>
      <c r="AP913" s="511"/>
      <c r="AQ913" s="511"/>
      <c r="AR913" s="511"/>
      <c r="AS913" s="511"/>
      <c r="AT913" s="511"/>
      <c r="AU913" s="511"/>
      <c r="AV913" s="511"/>
      <c r="AW913" s="511"/>
      <c r="AX913" s="511"/>
      <c r="AY913" s="511"/>
      <c r="AZ913" s="511"/>
      <c r="BA913" s="511"/>
      <c r="BB913" s="511"/>
      <c r="BC913" s="511"/>
      <c r="BD913" s="511"/>
      <c r="BE913" s="511"/>
    </row>
    <row r="914" ht="15.75" customHeight="1">
      <c r="A914" s="511"/>
      <c r="B914" s="511"/>
      <c r="C914" s="511"/>
      <c r="D914" s="511"/>
      <c r="E914" s="511"/>
      <c r="F914" s="511"/>
      <c r="G914" s="511"/>
      <c r="H914" s="511"/>
      <c r="I914" s="511"/>
      <c r="J914" s="511"/>
      <c r="K914" s="511"/>
      <c r="L914" s="511"/>
      <c r="M914" s="511"/>
      <c r="N914" s="511"/>
      <c r="O914" s="511"/>
      <c r="P914" s="511"/>
      <c r="Q914" s="511"/>
      <c r="R914" s="511"/>
      <c r="S914" s="511"/>
      <c r="T914" s="511"/>
      <c r="U914" s="511"/>
      <c r="V914" s="511"/>
      <c r="W914" s="511"/>
      <c r="X914" s="511"/>
      <c r="Y914" s="511"/>
      <c r="Z914" s="511"/>
      <c r="AA914" s="511"/>
      <c r="AB914" s="511"/>
      <c r="AC914" s="511"/>
      <c r="AD914" s="511"/>
      <c r="AE914" s="511"/>
      <c r="AF914" s="511"/>
      <c r="AG914" s="511"/>
      <c r="AH914" s="511"/>
      <c r="AI914" s="511"/>
      <c r="AJ914" s="511"/>
      <c r="AK914" s="511"/>
      <c r="AL914" s="511"/>
      <c r="AM914" s="511"/>
      <c r="AN914" s="511"/>
      <c r="AO914" s="511"/>
      <c r="AP914" s="511"/>
      <c r="AQ914" s="511"/>
      <c r="AR914" s="511"/>
      <c r="AS914" s="511"/>
      <c r="AT914" s="511"/>
      <c r="AU914" s="511"/>
      <c r="AV914" s="511"/>
      <c r="AW914" s="511"/>
      <c r="AX914" s="511"/>
      <c r="AY914" s="511"/>
      <c r="AZ914" s="511"/>
      <c r="BA914" s="511"/>
      <c r="BB914" s="511"/>
      <c r="BC914" s="511"/>
      <c r="BD914" s="511"/>
      <c r="BE914" s="511"/>
    </row>
    <row r="915" ht="15.75" customHeight="1">
      <c r="A915" s="511"/>
      <c r="B915" s="511"/>
      <c r="C915" s="511"/>
      <c r="D915" s="511"/>
      <c r="E915" s="511"/>
      <c r="F915" s="511"/>
      <c r="G915" s="511"/>
      <c r="H915" s="511"/>
      <c r="I915" s="511"/>
      <c r="J915" s="511"/>
      <c r="K915" s="511"/>
      <c r="L915" s="511"/>
      <c r="M915" s="511"/>
      <c r="N915" s="511"/>
      <c r="O915" s="511"/>
      <c r="P915" s="511"/>
      <c r="Q915" s="511"/>
      <c r="R915" s="511"/>
      <c r="S915" s="511"/>
      <c r="T915" s="511"/>
      <c r="U915" s="511"/>
      <c r="V915" s="511"/>
      <c r="W915" s="511"/>
      <c r="X915" s="511"/>
      <c r="Y915" s="511"/>
      <c r="Z915" s="511"/>
      <c r="AA915" s="511"/>
      <c r="AB915" s="511"/>
      <c r="AC915" s="511"/>
      <c r="AD915" s="511"/>
      <c r="AE915" s="511"/>
      <c r="AF915" s="511"/>
      <c r="AG915" s="511"/>
      <c r="AH915" s="511"/>
      <c r="AI915" s="511"/>
      <c r="AJ915" s="511"/>
      <c r="AK915" s="511"/>
      <c r="AL915" s="511"/>
      <c r="AM915" s="511"/>
      <c r="AN915" s="511"/>
      <c r="AO915" s="511"/>
      <c r="AP915" s="511"/>
      <c r="AQ915" s="511"/>
      <c r="AR915" s="511"/>
      <c r="AS915" s="511"/>
      <c r="AT915" s="511"/>
      <c r="AU915" s="511"/>
      <c r="AV915" s="511"/>
      <c r="AW915" s="511"/>
      <c r="AX915" s="511"/>
      <c r="AY915" s="511"/>
      <c r="AZ915" s="511"/>
      <c r="BA915" s="511"/>
      <c r="BB915" s="511"/>
      <c r="BC915" s="511"/>
      <c r="BD915" s="511"/>
      <c r="BE915" s="511"/>
    </row>
    <row r="916" ht="15.75" customHeight="1">
      <c r="A916" s="511"/>
      <c r="B916" s="511"/>
      <c r="C916" s="511"/>
      <c r="D916" s="511"/>
      <c r="E916" s="511"/>
      <c r="F916" s="511"/>
      <c r="G916" s="511"/>
      <c r="H916" s="511"/>
      <c r="I916" s="511"/>
      <c r="J916" s="511"/>
      <c r="K916" s="511"/>
      <c r="L916" s="511"/>
      <c r="M916" s="511"/>
      <c r="N916" s="511"/>
      <c r="O916" s="511"/>
      <c r="P916" s="511"/>
      <c r="Q916" s="511"/>
      <c r="R916" s="511"/>
      <c r="S916" s="511"/>
      <c r="T916" s="511"/>
      <c r="U916" s="511"/>
      <c r="V916" s="511"/>
      <c r="W916" s="511"/>
      <c r="X916" s="511"/>
      <c r="Y916" s="511"/>
      <c r="Z916" s="511"/>
      <c r="AA916" s="511"/>
      <c r="AB916" s="511"/>
      <c r="AC916" s="511"/>
      <c r="AD916" s="511"/>
      <c r="AE916" s="511"/>
      <c r="AF916" s="511"/>
      <c r="AG916" s="511"/>
      <c r="AH916" s="511"/>
      <c r="AI916" s="511"/>
      <c r="AJ916" s="511"/>
      <c r="AK916" s="511"/>
      <c r="AL916" s="511"/>
      <c r="AM916" s="511"/>
      <c r="AN916" s="511"/>
      <c r="AO916" s="511"/>
      <c r="AP916" s="511"/>
      <c r="AQ916" s="511"/>
      <c r="AR916" s="511"/>
      <c r="AS916" s="511"/>
      <c r="AT916" s="511"/>
      <c r="AU916" s="511"/>
      <c r="AV916" s="511"/>
      <c r="AW916" s="511"/>
      <c r="AX916" s="511"/>
      <c r="AY916" s="511"/>
      <c r="AZ916" s="511"/>
      <c r="BA916" s="511"/>
      <c r="BB916" s="511"/>
      <c r="BC916" s="511"/>
      <c r="BD916" s="511"/>
      <c r="BE916" s="511"/>
    </row>
    <row r="917" ht="15.75" customHeight="1">
      <c r="A917" s="511"/>
      <c r="B917" s="511"/>
      <c r="C917" s="511"/>
      <c r="D917" s="511"/>
      <c r="E917" s="511"/>
      <c r="F917" s="511"/>
      <c r="G917" s="511"/>
      <c r="H917" s="511"/>
      <c r="I917" s="511"/>
      <c r="J917" s="511"/>
      <c r="K917" s="511"/>
      <c r="L917" s="511"/>
      <c r="M917" s="511"/>
      <c r="N917" s="511"/>
      <c r="O917" s="511"/>
      <c r="P917" s="511"/>
      <c r="Q917" s="511"/>
      <c r="R917" s="511"/>
      <c r="S917" s="511"/>
      <c r="T917" s="511"/>
      <c r="U917" s="511"/>
      <c r="V917" s="511"/>
      <c r="W917" s="511"/>
      <c r="X917" s="511"/>
      <c r="Y917" s="511"/>
      <c r="Z917" s="511"/>
      <c r="AA917" s="511"/>
      <c r="AB917" s="511"/>
      <c r="AC917" s="511"/>
      <c r="AD917" s="511"/>
      <c r="AE917" s="511"/>
      <c r="AF917" s="511"/>
      <c r="AG917" s="511"/>
      <c r="AH917" s="511"/>
      <c r="AI917" s="511"/>
      <c r="AJ917" s="511"/>
      <c r="AK917" s="511"/>
      <c r="AL917" s="511"/>
      <c r="AM917" s="511"/>
      <c r="AN917" s="511"/>
      <c r="AO917" s="511"/>
      <c r="AP917" s="511"/>
      <c r="AQ917" s="511"/>
      <c r="AR917" s="511"/>
      <c r="AS917" s="511"/>
      <c r="AT917" s="511"/>
      <c r="AU917" s="511"/>
      <c r="AV917" s="511"/>
      <c r="AW917" s="511"/>
      <c r="AX917" s="511"/>
      <c r="AY917" s="511"/>
      <c r="AZ917" s="511"/>
      <c r="BA917" s="511"/>
      <c r="BB917" s="511"/>
      <c r="BC917" s="511"/>
      <c r="BD917" s="511"/>
      <c r="BE917" s="511"/>
    </row>
    <row r="918" ht="15.75" customHeight="1">
      <c r="A918" s="511"/>
      <c r="B918" s="511"/>
      <c r="C918" s="511"/>
      <c r="D918" s="511"/>
      <c r="E918" s="511"/>
      <c r="F918" s="511"/>
      <c r="G918" s="511"/>
      <c r="H918" s="511"/>
      <c r="I918" s="511"/>
      <c r="J918" s="511"/>
      <c r="K918" s="511"/>
      <c r="L918" s="511"/>
      <c r="M918" s="511"/>
      <c r="N918" s="511"/>
      <c r="O918" s="511"/>
      <c r="P918" s="511"/>
      <c r="Q918" s="511"/>
      <c r="R918" s="511"/>
      <c r="S918" s="511"/>
      <c r="T918" s="511"/>
      <c r="U918" s="511"/>
      <c r="V918" s="511"/>
      <c r="W918" s="511"/>
      <c r="X918" s="511"/>
      <c r="Y918" s="511"/>
      <c r="Z918" s="511"/>
      <c r="AA918" s="511"/>
      <c r="AB918" s="511"/>
      <c r="AC918" s="511"/>
      <c r="AD918" s="511"/>
      <c r="AE918" s="511"/>
      <c r="AF918" s="511"/>
      <c r="AG918" s="511"/>
      <c r="AH918" s="511"/>
      <c r="AI918" s="511"/>
      <c r="AJ918" s="511"/>
      <c r="AK918" s="511"/>
      <c r="AL918" s="511"/>
      <c r="AM918" s="511"/>
      <c r="AN918" s="511"/>
      <c r="AO918" s="511"/>
      <c r="AP918" s="511"/>
      <c r="AQ918" s="511"/>
      <c r="AR918" s="511"/>
      <c r="AS918" s="511"/>
      <c r="AT918" s="511"/>
      <c r="AU918" s="511"/>
      <c r="AV918" s="511"/>
      <c r="AW918" s="511"/>
      <c r="AX918" s="511"/>
      <c r="AY918" s="511"/>
      <c r="AZ918" s="511"/>
      <c r="BA918" s="511"/>
      <c r="BB918" s="511"/>
      <c r="BC918" s="511"/>
      <c r="BD918" s="511"/>
      <c r="BE918" s="511"/>
    </row>
    <row r="919" ht="15.75" customHeight="1">
      <c r="A919" s="511"/>
      <c r="B919" s="511"/>
      <c r="C919" s="511"/>
      <c r="D919" s="511"/>
      <c r="E919" s="511"/>
      <c r="F919" s="511"/>
      <c r="G919" s="511"/>
      <c r="H919" s="511"/>
      <c r="I919" s="511"/>
      <c r="J919" s="511"/>
      <c r="K919" s="511"/>
      <c r="L919" s="511"/>
      <c r="M919" s="511"/>
      <c r="N919" s="511"/>
      <c r="O919" s="511"/>
      <c r="P919" s="511"/>
      <c r="Q919" s="511"/>
      <c r="R919" s="511"/>
      <c r="S919" s="511"/>
      <c r="T919" s="511"/>
      <c r="U919" s="511"/>
      <c r="V919" s="511"/>
      <c r="W919" s="511"/>
      <c r="X919" s="511"/>
      <c r="Y919" s="511"/>
      <c r="Z919" s="511"/>
      <c r="AA919" s="511"/>
      <c r="AB919" s="511"/>
      <c r="AC919" s="511"/>
      <c r="AD919" s="511"/>
      <c r="AE919" s="511"/>
      <c r="AF919" s="511"/>
      <c r="AG919" s="511"/>
      <c r="AH919" s="511"/>
      <c r="AI919" s="511"/>
      <c r="AJ919" s="511"/>
      <c r="AK919" s="511"/>
      <c r="AL919" s="511"/>
      <c r="AM919" s="511"/>
      <c r="AN919" s="511"/>
      <c r="AO919" s="511"/>
      <c r="AP919" s="511"/>
      <c r="AQ919" s="511"/>
      <c r="AR919" s="511"/>
      <c r="AS919" s="511"/>
      <c r="AT919" s="511"/>
      <c r="AU919" s="511"/>
      <c r="AV919" s="511"/>
      <c r="AW919" s="511"/>
      <c r="AX919" s="511"/>
      <c r="AY919" s="511"/>
      <c r="AZ919" s="511"/>
      <c r="BA919" s="511"/>
      <c r="BB919" s="511"/>
      <c r="BC919" s="511"/>
      <c r="BD919" s="511"/>
      <c r="BE919" s="511"/>
    </row>
    <row r="920" ht="15.75" customHeight="1">
      <c r="A920" s="511"/>
      <c r="B920" s="511"/>
      <c r="C920" s="511"/>
      <c r="D920" s="511"/>
      <c r="E920" s="511"/>
      <c r="F920" s="511"/>
      <c r="G920" s="511"/>
      <c r="H920" s="511"/>
      <c r="I920" s="511"/>
      <c r="J920" s="511"/>
      <c r="K920" s="511"/>
      <c r="L920" s="511"/>
      <c r="M920" s="511"/>
      <c r="N920" s="511"/>
      <c r="O920" s="511"/>
      <c r="P920" s="511"/>
      <c r="Q920" s="511"/>
      <c r="R920" s="511"/>
      <c r="S920" s="511"/>
      <c r="T920" s="511"/>
      <c r="U920" s="511"/>
      <c r="V920" s="511"/>
      <c r="W920" s="511"/>
      <c r="X920" s="511"/>
      <c r="Y920" s="511"/>
      <c r="Z920" s="511"/>
      <c r="AA920" s="511"/>
      <c r="AB920" s="511"/>
      <c r="AC920" s="511"/>
      <c r="AD920" s="511"/>
      <c r="AE920" s="511"/>
      <c r="AF920" s="511"/>
      <c r="AG920" s="511"/>
      <c r="AH920" s="511"/>
      <c r="AI920" s="511"/>
      <c r="AJ920" s="511"/>
      <c r="AK920" s="511"/>
      <c r="AL920" s="511"/>
      <c r="AM920" s="511"/>
      <c r="AN920" s="511"/>
      <c r="AO920" s="511"/>
      <c r="AP920" s="511"/>
      <c r="AQ920" s="511"/>
      <c r="AR920" s="511"/>
      <c r="AS920" s="511"/>
      <c r="AT920" s="511"/>
      <c r="AU920" s="511"/>
      <c r="AV920" s="511"/>
      <c r="AW920" s="511"/>
      <c r="AX920" s="511"/>
      <c r="AY920" s="511"/>
      <c r="AZ920" s="511"/>
      <c r="BA920" s="511"/>
      <c r="BB920" s="511"/>
      <c r="BC920" s="511"/>
      <c r="BD920" s="511"/>
      <c r="BE920" s="511"/>
    </row>
    <row r="921" ht="15.75" customHeight="1">
      <c r="A921" s="511"/>
      <c r="B921" s="511"/>
      <c r="C921" s="511"/>
      <c r="D921" s="511"/>
      <c r="E921" s="511"/>
      <c r="F921" s="511"/>
      <c r="G921" s="511"/>
      <c r="H921" s="511"/>
      <c r="I921" s="511"/>
      <c r="J921" s="511"/>
      <c r="K921" s="511"/>
      <c r="L921" s="511"/>
      <c r="M921" s="511"/>
      <c r="N921" s="511"/>
      <c r="O921" s="511"/>
      <c r="P921" s="511"/>
      <c r="Q921" s="511"/>
      <c r="R921" s="511"/>
      <c r="S921" s="511"/>
      <c r="T921" s="511"/>
      <c r="U921" s="511"/>
      <c r="V921" s="511"/>
      <c r="W921" s="511"/>
      <c r="X921" s="511"/>
      <c r="Y921" s="511"/>
      <c r="Z921" s="511"/>
      <c r="AA921" s="511"/>
      <c r="AB921" s="511"/>
      <c r="AC921" s="511"/>
      <c r="AD921" s="511"/>
      <c r="AE921" s="511"/>
      <c r="AF921" s="511"/>
      <c r="AG921" s="511"/>
      <c r="AH921" s="511"/>
      <c r="AI921" s="511"/>
      <c r="AJ921" s="511"/>
      <c r="AK921" s="511"/>
      <c r="AL921" s="511"/>
      <c r="AM921" s="511"/>
      <c r="AN921" s="511"/>
      <c r="AO921" s="511"/>
      <c r="AP921" s="511"/>
      <c r="AQ921" s="511"/>
      <c r="AR921" s="511"/>
      <c r="AS921" s="511"/>
      <c r="AT921" s="511"/>
      <c r="AU921" s="511"/>
      <c r="AV921" s="511"/>
      <c r="AW921" s="511"/>
      <c r="AX921" s="511"/>
      <c r="AY921" s="511"/>
      <c r="AZ921" s="511"/>
      <c r="BA921" s="511"/>
      <c r="BB921" s="511"/>
      <c r="BC921" s="511"/>
      <c r="BD921" s="511"/>
      <c r="BE921" s="511"/>
    </row>
    <row r="922" ht="15.75" customHeight="1">
      <c r="A922" s="511"/>
      <c r="B922" s="511"/>
      <c r="C922" s="511"/>
      <c r="D922" s="511"/>
      <c r="E922" s="511"/>
      <c r="F922" s="511"/>
      <c r="G922" s="511"/>
      <c r="H922" s="511"/>
      <c r="I922" s="511"/>
      <c r="J922" s="511"/>
      <c r="K922" s="511"/>
      <c r="L922" s="511"/>
      <c r="M922" s="511"/>
      <c r="N922" s="511"/>
      <c r="O922" s="511"/>
      <c r="P922" s="511"/>
      <c r="Q922" s="511"/>
      <c r="R922" s="511"/>
      <c r="S922" s="511"/>
      <c r="T922" s="511"/>
      <c r="U922" s="511"/>
      <c r="V922" s="511"/>
      <c r="W922" s="511"/>
      <c r="X922" s="511"/>
      <c r="Y922" s="511"/>
      <c r="Z922" s="511"/>
      <c r="AA922" s="511"/>
      <c r="AB922" s="511"/>
      <c r="AC922" s="511"/>
      <c r="AD922" s="511"/>
      <c r="AE922" s="511"/>
      <c r="AF922" s="511"/>
      <c r="AG922" s="511"/>
      <c r="AH922" s="511"/>
      <c r="AI922" s="511"/>
      <c r="AJ922" s="511"/>
      <c r="AK922" s="511"/>
      <c r="AL922" s="511"/>
      <c r="AM922" s="511"/>
      <c r="AN922" s="511"/>
      <c r="AO922" s="511"/>
      <c r="AP922" s="511"/>
      <c r="AQ922" s="511"/>
      <c r="AR922" s="511"/>
      <c r="AS922" s="511"/>
      <c r="AT922" s="511"/>
      <c r="AU922" s="511"/>
      <c r="AV922" s="511"/>
      <c r="AW922" s="511"/>
      <c r="AX922" s="511"/>
      <c r="AY922" s="511"/>
      <c r="AZ922" s="511"/>
      <c r="BA922" s="511"/>
      <c r="BB922" s="511"/>
      <c r="BC922" s="511"/>
      <c r="BD922" s="511"/>
      <c r="BE922" s="511"/>
    </row>
    <row r="923" ht="15.75" customHeight="1">
      <c r="A923" s="511"/>
      <c r="B923" s="511"/>
      <c r="C923" s="511"/>
      <c r="D923" s="511"/>
      <c r="E923" s="511"/>
      <c r="F923" s="511"/>
      <c r="G923" s="511"/>
      <c r="H923" s="511"/>
      <c r="I923" s="511"/>
      <c r="J923" s="511"/>
      <c r="K923" s="511"/>
      <c r="L923" s="511"/>
      <c r="M923" s="511"/>
      <c r="N923" s="511"/>
      <c r="O923" s="511"/>
      <c r="P923" s="511"/>
      <c r="Q923" s="511"/>
      <c r="R923" s="511"/>
      <c r="S923" s="511"/>
      <c r="T923" s="511"/>
      <c r="U923" s="511"/>
      <c r="V923" s="511"/>
      <c r="W923" s="511"/>
      <c r="X923" s="511"/>
      <c r="Y923" s="511"/>
      <c r="Z923" s="511"/>
      <c r="AA923" s="511"/>
      <c r="AB923" s="511"/>
      <c r="AC923" s="511"/>
      <c r="AD923" s="511"/>
      <c r="AE923" s="511"/>
      <c r="AF923" s="511"/>
      <c r="AG923" s="511"/>
      <c r="AH923" s="511"/>
      <c r="AI923" s="511"/>
      <c r="AJ923" s="511"/>
      <c r="AK923" s="511"/>
      <c r="AL923" s="511"/>
      <c r="AM923" s="511"/>
      <c r="AN923" s="511"/>
      <c r="AO923" s="511"/>
      <c r="AP923" s="511"/>
      <c r="AQ923" s="511"/>
      <c r="AR923" s="511"/>
      <c r="AS923" s="511"/>
      <c r="AT923" s="511"/>
      <c r="AU923" s="511"/>
      <c r="AV923" s="511"/>
      <c r="AW923" s="511"/>
      <c r="AX923" s="511"/>
      <c r="AY923" s="511"/>
      <c r="AZ923" s="511"/>
      <c r="BA923" s="511"/>
      <c r="BB923" s="511"/>
      <c r="BC923" s="511"/>
      <c r="BD923" s="511"/>
      <c r="BE923" s="511"/>
    </row>
    <row r="924" ht="15.75" customHeight="1">
      <c r="A924" s="511"/>
      <c r="B924" s="511"/>
      <c r="C924" s="511"/>
      <c r="D924" s="511"/>
      <c r="E924" s="511"/>
      <c r="F924" s="511"/>
      <c r="G924" s="511"/>
      <c r="H924" s="511"/>
      <c r="I924" s="511"/>
      <c r="J924" s="511"/>
      <c r="K924" s="511"/>
      <c r="L924" s="511"/>
      <c r="M924" s="511"/>
      <c r="N924" s="511"/>
      <c r="O924" s="511"/>
      <c r="P924" s="511"/>
      <c r="Q924" s="511"/>
      <c r="R924" s="511"/>
      <c r="S924" s="511"/>
      <c r="T924" s="511"/>
      <c r="U924" s="511"/>
      <c r="V924" s="511"/>
      <c r="W924" s="511"/>
      <c r="X924" s="511"/>
      <c r="Y924" s="511"/>
      <c r="Z924" s="511"/>
      <c r="AA924" s="511"/>
      <c r="AB924" s="511"/>
      <c r="AC924" s="511"/>
      <c r="AD924" s="511"/>
      <c r="AE924" s="511"/>
      <c r="AF924" s="511"/>
      <c r="AG924" s="511"/>
      <c r="AH924" s="511"/>
      <c r="AI924" s="511"/>
      <c r="AJ924" s="511"/>
      <c r="AK924" s="511"/>
      <c r="AL924" s="511"/>
      <c r="AM924" s="511"/>
      <c r="AN924" s="511"/>
      <c r="AO924" s="511"/>
      <c r="AP924" s="511"/>
      <c r="AQ924" s="511"/>
      <c r="AR924" s="511"/>
      <c r="AS924" s="511"/>
      <c r="AT924" s="511"/>
      <c r="AU924" s="511"/>
      <c r="AV924" s="511"/>
      <c r="AW924" s="511"/>
      <c r="AX924" s="511"/>
      <c r="AY924" s="511"/>
      <c r="AZ924" s="511"/>
      <c r="BA924" s="511"/>
      <c r="BB924" s="511"/>
      <c r="BC924" s="511"/>
      <c r="BD924" s="511"/>
      <c r="BE924" s="511"/>
    </row>
    <row r="925" ht="15.75" customHeight="1">
      <c r="A925" s="511"/>
      <c r="B925" s="511"/>
      <c r="C925" s="511"/>
      <c r="D925" s="511"/>
      <c r="E925" s="511"/>
      <c r="F925" s="511"/>
      <c r="G925" s="511"/>
      <c r="H925" s="511"/>
      <c r="I925" s="511"/>
      <c r="J925" s="511"/>
      <c r="K925" s="511"/>
      <c r="L925" s="511"/>
      <c r="M925" s="511"/>
      <c r="N925" s="511"/>
      <c r="O925" s="511"/>
      <c r="P925" s="511"/>
      <c r="Q925" s="511"/>
      <c r="R925" s="511"/>
      <c r="S925" s="511"/>
      <c r="T925" s="511"/>
      <c r="U925" s="511"/>
      <c r="V925" s="511"/>
      <c r="W925" s="511"/>
      <c r="X925" s="511"/>
      <c r="Y925" s="511"/>
      <c r="Z925" s="511"/>
      <c r="AA925" s="511"/>
      <c r="AB925" s="511"/>
      <c r="AC925" s="511"/>
      <c r="AD925" s="511"/>
      <c r="AE925" s="511"/>
      <c r="AF925" s="511"/>
      <c r="AG925" s="511"/>
      <c r="AH925" s="511"/>
      <c r="AI925" s="511"/>
      <c r="AJ925" s="511"/>
      <c r="AK925" s="511"/>
      <c r="AL925" s="511"/>
      <c r="AM925" s="511"/>
      <c r="AN925" s="511"/>
      <c r="AO925" s="511"/>
      <c r="AP925" s="511"/>
      <c r="AQ925" s="511"/>
      <c r="AR925" s="511"/>
      <c r="AS925" s="511"/>
      <c r="AT925" s="511"/>
      <c r="AU925" s="511"/>
      <c r="AV925" s="511"/>
      <c r="AW925" s="511"/>
      <c r="AX925" s="511"/>
      <c r="AY925" s="511"/>
      <c r="AZ925" s="511"/>
      <c r="BA925" s="511"/>
      <c r="BB925" s="511"/>
      <c r="BC925" s="511"/>
      <c r="BD925" s="511"/>
      <c r="BE925" s="511"/>
    </row>
    <row r="926" ht="15.75" customHeight="1">
      <c r="A926" s="511"/>
      <c r="B926" s="511"/>
      <c r="C926" s="511"/>
      <c r="D926" s="511"/>
      <c r="E926" s="511"/>
      <c r="F926" s="511"/>
      <c r="G926" s="511"/>
      <c r="H926" s="511"/>
      <c r="I926" s="511"/>
      <c r="J926" s="511"/>
      <c r="K926" s="511"/>
      <c r="L926" s="511"/>
      <c r="M926" s="511"/>
      <c r="N926" s="511"/>
      <c r="O926" s="511"/>
      <c r="P926" s="511"/>
      <c r="Q926" s="511"/>
      <c r="R926" s="511"/>
      <c r="S926" s="511"/>
      <c r="T926" s="511"/>
      <c r="U926" s="511"/>
      <c r="V926" s="511"/>
      <c r="W926" s="511"/>
      <c r="X926" s="511"/>
      <c r="Y926" s="511"/>
      <c r="Z926" s="511"/>
      <c r="AA926" s="511"/>
      <c r="AB926" s="511"/>
      <c r="AC926" s="511"/>
      <c r="AD926" s="511"/>
      <c r="AE926" s="511"/>
      <c r="AF926" s="511"/>
      <c r="AG926" s="511"/>
      <c r="AH926" s="511"/>
      <c r="AI926" s="511"/>
      <c r="AJ926" s="511"/>
      <c r="AK926" s="511"/>
      <c r="AL926" s="511"/>
      <c r="AM926" s="511"/>
      <c r="AN926" s="511"/>
      <c r="AO926" s="511"/>
      <c r="AP926" s="511"/>
      <c r="AQ926" s="511"/>
      <c r="AR926" s="511"/>
      <c r="AS926" s="511"/>
      <c r="AT926" s="511"/>
      <c r="AU926" s="511"/>
      <c r="AV926" s="511"/>
      <c r="AW926" s="511"/>
      <c r="AX926" s="511"/>
      <c r="AY926" s="511"/>
      <c r="AZ926" s="511"/>
      <c r="BA926" s="511"/>
      <c r="BB926" s="511"/>
      <c r="BC926" s="511"/>
      <c r="BD926" s="511"/>
      <c r="BE926" s="511"/>
    </row>
    <row r="927" ht="15.75" customHeight="1">
      <c r="A927" s="511"/>
      <c r="B927" s="511"/>
      <c r="C927" s="511"/>
      <c r="D927" s="511"/>
      <c r="E927" s="511"/>
      <c r="F927" s="511"/>
      <c r="G927" s="511"/>
      <c r="H927" s="511"/>
      <c r="I927" s="511"/>
      <c r="J927" s="511"/>
      <c r="K927" s="511"/>
      <c r="L927" s="511"/>
      <c r="M927" s="511"/>
      <c r="N927" s="511"/>
      <c r="O927" s="511"/>
      <c r="P927" s="511"/>
      <c r="Q927" s="511"/>
      <c r="R927" s="511"/>
      <c r="S927" s="511"/>
      <c r="T927" s="511"/>
      <c r="U927" s="511"/>
      <c r="V927" s="511"/>
      <c r="W927" s="511"/>
      <c r="X927" s="511"/>
      <c r="Y927" s="511"/>
      <c r="Z927" s="511"/>
      <c r="AA927" s="511"/>
      <c r="AB927" s="511"/>
      <c r="AC927" s="511"/>
      <c r="AD927" s="511"/>
      <c r="AE927" s="511"/>
      <c r="AF927" s="511"/>
      <c r="AG927" s="511"/>
      <c r="AH927" s="511"/>
      <c r="AI927" s="511"/>
      <c r="AJ927" s="511"/>
      <c r="AK927" s="511"/>
      <c r="AL927" s="511"/>
      <c r="AM927" s="511"/>
      <c r="AN927" s="511"/>
      <c r="AO927" s="511"/>
      <c r="AP927" s="511"/>
      <c r="AQ927" s="511"/>
      <c r="AR927" s="511"/>
      <c r="AS927" s="511"/>
      <c r="AT927" s="511"/>
      <c r="AU927" s="511"/>
      <c r="AV927" s="511"/>
      <c r="AW927" s="511"/>
      <c r="AX927" s="511"/>
      <c r="AY927" s="511"/>
      <c r="AZ927" s="511"/>
      <c r="BA927" s="511"/>
      <c r="BB927" s="511"/>
      <c r="BC927" s="511"/>
      <c r="BD927" s="511"/>
      <c r="BE927" s="511"/>
    </row>
    <row r="928" ht="15.75" customHeight="1">
      <c r="A928" s="511"/>
      <c r="B928" s="511"/>
      <c r="C928" s="511"/>
      <c r="D928" s="511"/>
      <c r="E928" s="511"/>
      <c r="F928" s="511"/>
      <c r="G928" s="511"/>
      <c r="H928" s="511"/>
      <c r="I928" s="511"/>
      <c r="J928" s="511"/>
      <c r="K928" s="511"/>
      <c r="L928" s="511"/>
      <c r="M928" s="511"/>
      <c r="N928" s="511"/>
      <c r="O928" s="511"/>
      <c r="P928" s="511"/>
      <c r="Q928" s="511"/>
      <c r="R928" s="511"/>
      <c r="S928" s="511"/>
      <c r="T928" s="511"/>
      <c r="U928" s="511"/>
      <c r="V928" s="511"/>
      <c r="W928" s="511"/>
      <c r="X928" s="511"/>
      <c r="Y928" s="511"/>
      <c r="Z928" s="511"/>
      <c r="AA928" s="511"/>
      <c r="AB928" s="511"/>
      <c r="AC928" s="511"/>
      <c r="AD928" s="511"/>
      <c r="AE928" s="511"/>
      <c r="AF928" s="511"/>
      <c r="AG928" s="511"/>
      <c r="AH928" s="511"/>
      <c r="AI928" s="511"/>
      <c r="AJ928" s="511"/>
      <c r="AK928" s="511"/>
      <c r="AL928" s="511"/>
      <c r="AM928" s="511"/>
      <c r="AN928" s="511"/>
      <c r="AO928" s="511"/>
      <c r="AP928" s="511"/>
      <c r="AQ928" s="511"/>
      <c r="AR928" s="511"/>
      <c r="AS928" s="511"/>
      <c r="AT928" s="511"/>
      <c r="AU928" s="511"/>
      <c r="AV928" s="511"/>
      <c r="AW928" s="511"/>
      <c r="AX928" s="511"/>
      <c r="AY928" s="511"/>
      <c r="AZ928" s="511"/>
      <c r="BA928" s="511"/>
      <c r="BB928" s="511"/>
      <c r="BC928" s="511"/>
      <c r="BD928" s="511"/>
      <c r="BE928" s="511"/>
    </row>
    <row r="929" ht="15.75" customHeight="1">
      <c r="A929" s="511"/>
      <c r="B929" s="511"/>
      <c r="C929" s="511"/>
      <c r="D929" s="511"/>
      <c r="E929" s="511"/>
      <c r="F929" s="511"/>
      <c r="G929" s="511"/>
      <c r="H929" s="511"/>
      <c r="I929" s="511"/>
      <c r="J929" s="511"/>
      <c r="K929" s="511"/>
      <c r="L929" s="511"/>
      <c r="M929" s="511"/>
      <c r="N929" s="511"/>
      <c r="O929" s="511"/>
      <c r="P929" s="511"/>
      <c r="Q929" s="511"/>
      <c r="R929" s="511"/>
      <c r="S929" s="511"/>
      <c r="T929" s="511"/>
      <c r="U929" s="511"/>
      <c r="V929" s="511"/>
      <c r="W929" s="511"/>
      <c r="X929" s="511"/>
      <c r="Y929" s="511"/>
      <c r="Z929" s="511"/>
      <c r="AA929" s="511"/>
      <c r="AB929" s="511"/>
      <c r="AC929" s="511"/>
      <c r="AD929" s="511"/>
      <c r="AE929" s="511"/>
      <c r="AF929" s="511"/>
      <c r="AG929" s="511"/>
      <c r="AH929" s="511"/>
      <c r="AI929" s="511"/>
      <c r="AJ929" s="511"/>
      <c r="AK929" s="511"/>
      <c r="AL929" s="511"/>
      <c r="AM929" s="511"/>
      <c r="AN929" s="511"/>
      <c r="AO929" s="511"/>
      <c r="AP929" s="511"/>
      <c r="AQ929" s="511"/>
      <c r="AR929" s="511"/>
      <c r="AS929" s="511"/>
      <c r="AT929" s="511"/>
      <c r="AU929" s="511"/>
      <c r="AV929" s="511"/>
      <c r="AW929" s="511"/>
      <c r="AX929" s="511"/>
      <c r="AY929" s="511"/>
      <c r="AZ929" s="511"/>
      <c r="BA929" s="511"/>
      <c r="BB929" s="511"/>
      <c r="BC929" s="511"/>
      <c r="BD929" s="511"/>
      <c r="BE929" s="511"/>
    </row>
    <row r="930" ht="15.75" customHeight="1">
      <c r="A930" s="511"/>
      <c r="B930" s="511"/>
      <c r="C930" s="511"/>
      <c r="D930" s="511"/>
      <c r="E930" s="511"/>
      <c r="F930" s="511"/>
      <c r="G930" s="511"/>
      <c r="H930" s="511"/>
      <c r="I930" s="511"/>
      <c r="J930" s="511"/>
      <c r="K930" s="511"/>
      <c r="L930" s="511"/>
      <c r="M930" s="511"/>
      <c r="N930" s="511"/>
      <c r="O930" s="511"/>
      <c r="P930" s="511"/>
      <c r="Q930" s="511"/>
      <c r="R930" s="511"/>
      <c r="S930" s="511"/>
      <c r="T930" s="511"/>
      <c r="U930" s="511"/>
      <c r="V930" s="511"/>
      <c r="W930" s="511"/>
      <c r="X930" s="511"/>
      <c r="Y930" s="511"/>
      <c r="Z930" s="511"/>
      <c r="AA930" s="511"/>
      <c r="AB930" s="511"/>
      <c r="AC930" s="511"/>
      <c r="AD930" s="511"/>
      <c r="AE930" s="511"/>
      <c r="AF930" s="511"/>
      <c r="AG930" s="511"/>
      <c r="AH930" s="511"/>
      <c r="AI930" s="511"/>
      <c r="AJ930" s="511"/>
      <c r="AK930" s="511"/>
      <c r="AL930" s="511"/>
      <c r="AM930" s="511"/>
      <c r="AN930" s="511"/>
      <c r="AO930" s="511"/>
      <c r="AP930" s="511"/>
      <c r="AQ930" s="511"/>
      <c r="AR930" s="511"/>
      <c r="AS930" s="511"/>
      <c r="AT930" s="511"/>
      <c r="AU930" s="511"/>
      <c r="AV930" s="511"/>
      <c r="AW930" s="511"/>
      <c r="AX930" s="511"/>
      <c r="AY930" s="511"/>
      <c r="AZ930" s="511"/>
      <c r="BA930" s="511"/>
      <c r="BB930" s="511"/>
      <c r="BC930" s="511"/>
      <c r="BD930" s="511"/>
      <c r="BE930" s="511"/>
    </row>
    <row r="931" ht="15.75" customHeight="1">
      <c r="A931" s="511"/>
      <c r="B931" s="511"/>
      <c r="C931" s="511"/>
      <c r="D931" s="511"/>
      <c r="E931" s="511"/>
      <c r="F931" s="511"/>
      <c r="G931" s="511"/>
      <c r="H931" s="511"/>
      <c r="I931" s="511"/>
      <c r="J931" s="511"/>
      <c r="K931" s="511"/>
      <c r="L931" s="511"/>
      <c r="M931" s="511"/>
      <c r="N931" s="511"/>
      <c r="O931" s="511"/>
      <c r="P931" s="511"/>
      <c r="Q931" s="511"/>
      <c r="R931" s="511"/>
      <c r="S931" s="511"/>
      <c r="T931" s="511"/>
      <c r="U931" s="511"/>
      <c r="V931" s="511"/>
      <c r="W931" s="511"/>
      <c r="X931" s="511"/>
      <c r="Y931" s="511"/>
      <c r="Z931" s="511"/>
      <c r="AA931" s="511"/>
      <c r="AB931" s="511"/>
      <c r="AC931" s="511"/>
      <c r="AD931" s="511"/>
      <c r="AE931" s="511"/>
      <c r="AF931" s="511"/>
      <c r="AG931" s="511"/>
      <c r="AH931" s="511"/>
      <c r="AI931" s="511"/>
      <c r="AJ931" s="511"/>
      <c r="AK931" s="511"/>
      <c r="AL931" s="511"/>
      <c r="AM931" s="511"/>
      <c r="AN931" s="511"/>
      <c r="AO931" s="511"/>
      <c r="AP931" s="511"/>
      <c r="AQ931" s="511"/>
      <c r="AR931" s="511"/>
      <c r="AS931" s="511"/>
      <c r="AT931" s="511"/>
      <c r="AU931" s="511"/>
      <c r="AV931" s="511"/>
      <c r="AW931" s="511"/>
      <c r="AX931" s="511"/>
      <c r="AY931" s="511"/>
      <c r="AZ931" s="511"/>
      <c r="BA931" s="511"/>
      <c r="BB931" s="511"/>
      <c r="BC931" s="511"/>
      <c r="BD931" s="511"/>
      <c r="BE931" s="511"/>
    </row>
    <row r="932" ht="15.75" customHeight="1">
      <c r="A932" s="511"/>
      <c r="B932" s="511"/>
      <c r="C932" s="511"/>
      <c r="D932" s="511"/>
      <c r="E932" s="511"/>
      <c r="F932" s="511"/>
      <c r="G932" s="511"/>
      <c r="H932" s="511"/>
      <c r="I932" s="511"/>
      <c r="J932" s="511"/>
      <c r="K932" s="511"/>
      <c r="L932" s="511"/>
      <c r="M932" s="511"/>
      <c r="N932" s="511"/>
      <c r="O932" s="511"/>
      <c r="P932" s="511"/>
      <c r="Q932" s="511"/>
      <c r="R932" s="511"/>
      <c r="S932" s="511"/>
      <c r="T932" s="511"/>
      <c r="U932" s="511"/>
      <c r="V932" s="511"/>
      <c r="W932" s="511"/>
      <c r="X932" s="511"/>
      <c r="Y932" s="511"/>
      <c r="Z932" s="511"/>
      <c r="AA932" s="511"/>
      <c r="AB932" s="511"/>
      <c r="AC932" s="511"/>
      <c r="AD932" s="511"/>
      <c r="AE932" s="511"/>
      <c r="AF932" s="511"/>
      <c r="AG932" s="511"/>
      <c r="AH932" s="511"/>
      <c r="AI932" s="511"/>
      <c r="AJ932" s="511"/>
      <c r="AK932" s="511"/>
      <c r="AL932" s="511"/>
      <c r="AM932" s="511"/>
      <c r="AN932" s="511"/>
      <c r="AO932" s="511"/>
      <c r="AP932" s="511"/>
      <c r="AQ932" s="511"/>
      <c r="AR932" s="511"/>
      <c r="AS932" s="511"/>
      <c r="AT932" s="511"/>
      <c r="AU932" s="511"/>
      <c r="AV932" s="511"/>
      <c r="AW932" s="511"/>
      <c r="AX932" s="511"/>
      <c r="AY932" s="511"/>
      <c r="AZ932" s="511"/>
      <c r="BA932" s="511"/>
      <c r="BB932" s="511"/>
      <c r="BC932" s="511"/>
      <c r="BD932" s="511"/>
      <c r="BE932" s="511"/>
    </row>
    <row r="933" ht="15.75" customHeight="1">
      <c r="A933" s="511"/>
      <c r="B933" s="511"/>
      <c r="C933" s="511"/>
      <c r="D933" s="511"/>
      <c r="E933" s="511"/>
      <c r="F933" s="511"/>
      <c r="G933" s="511"/>
      <c r="H933" s="511"/>
      <c r="I933" s="511"/>
      <c r="J933" s="511"/>
      <c r="K933" s="511"/>
      <c r="L933" s="511"/>
      <c r="M933" s="511"/>
      <c r="N933" s="511"/>
      <c r="O933" s="511"/>
      <c r="P933" s="511"/>
      <c r="Q933" s="511"/>
      <c r="R933" s="511"/>
      <c r="S933" s="511"/>
      <c r="T933" s="511"/>
      <c r="U933" s="511"/>
      <c r="V933" s="511"/>
      <c r="W933" s="511"/>
      <c r="X933" s="511"/>
      <c r="Y933" s="511"/>
      <c r="Z933" s="511"/>
      <c r="AA933" s="511"/>
      <c r="AB933" s="511"/>
      <c r="AC933" s="511"/>
      <c r="AD933" s="511"/>
      <c r="AE933" s="511"/>
      <c r="AF933" s="511"/>
      <c r="AG933" s="511"/>
      <c r="AH933" s="511"/>
      <c r="AI933" s="511"/>
      <c r="AJ933" s="511"/>
      <c r="AK933" s="511"/>
      <c r="AL933" s="511"/>
      <c r="AM933" s="511"/>
      <c r="AN933" s="511"/>
      <c r="AO933" s="511"/>
      <c r="AP933" s="511"/>
      <c r="AQ933" s="511"/>
      <c r="AR933" s="511"/>
      <c r="AS933" s="511"/>
      <c r="AT933" s="511"/>
      <c r="AU933" s="511"/>
      <c r="AV933" s="511"/>
      <c r="AW933" s="511"/>
      <c r="AX933" s="511"/>
      <c r="AY933" s="511"/>
      <c r="AZ933" s="511"/>
      <c r="BA933" s="511"/>
      <c r="BB933" s="511"/>
      <c r="BC933" s="511"/>
      <c r="BD933" s="511"/>
      <c r="BE933" s="511"/>
    </row>
    <row r="934" ht="15.75" customHeight="1">
      <c r="A934" s="511"/>
      <c r="B934" s="511"/>
      <c r="C934" s="511"/>
      <c r="D934" s="511"/>
      <c r="E934" s="511"/>
      <c r="F934" s="511"/>
      <c r="G934" s="511"/>
      <c r="H934" s="511"/>
      <c r="I934" s="511"/>
      <c r="J934" s="511"/>
      <c r="K934" s="511"/>
      <c r="L934" s="511"/>
      <c r="M934" s="511"/>
      <c r="N934" s="511"/>
      <c r="O934" s="511"/>
      <c r="P934" s="511"/>
      <c r="Q934" s="511"/>
      <c r="R934" s="511"/>
      <c r="S934" s="511"/>
      <c r="T934" s="511"/>
      <c r="U934" s="511"/>
      <c r="V934" s="511"/>
      <c r="W934" s="511"/>
      <c r="X934" s="511"/>
      <c r="Y934" s="511"/>
      <c r="Z934" s="511"/>
      <c r="AA934" s="511"/>
      <c r="AB934" s="511"/>
      <c r="AC934" s="511"/>
      <c r="AD934" s="511"/>
      <c r="AE934" s="511"/>
      <c r="AF934" s="511"/>
      <c r="AG934" s="511"/>
      <c r="AH934" s="511"/>
      <c r="AI934" s="511"/>
      <c r="AJ934" s="511"/>
      <c r="AK934" s="511"/>
      <c r="AL934" s="511"/>
      <c r="AM934" s="511"/>
      <c r="AN934" s="511"/>
      <c r="AO934" s="511"/>
      <c r="AP934" s="511"/>
      <c r="AQ934" s="511"/>
      <c r="AR934" s="511"/>
      <c r="AS934" s="511"/>
      <c r="AT934" s="511"/>
      <c r="AU934" s="511"/>
      <c r="AV934" s="511"/>
      <c r="AW934" s="511"/>
      <c r="AX934" s="511"/>
      <c r="AY934" s="511"/>
      <c r="AZ934" s="511"/>
      <c r="BA934" s="511"/>
      <c r="BB934" s="511"/>
      <c r="BC934" s="511"/>
      <c r="BD934" s="511"/>
      <c r="BE934" s="511"/>
    </row>
    <row r="935" ht="15.75" customHeight="1">
      <c r="A935" s="511"/>
      <c r="B935" s="511"/>
      <c r="C935" s="511"/>
      <c r="D935" s="511"/>
      <c r="E935" s="511"/>
      <c r="F935" s="511"/>
      <c r="G935" s="511"/>
      <c r="H935" s="511"/>
      <c r="I935" s="511"/>
      <c r="J935" s="511"/>
      <c r="K935" s="511"/>
      <c r="L935" s="511"/>
      <c r="M935" s="511"/>
      <c r="N935" s="511"/>
      <c r="O935" s="511"/>
      <c r="P935" s="511"/>
      <c r="Q935" s="511"/>
      <c r="R935" s="511"/>
      <c r="S935" s="511"/>
      <c r="T935" s="511"/>
      <c r="U935" s="511"/>
      <c r="V935" s="511"/>
      <c r="W935" s="511"/>
      <c r="X935" s="511"/>
      <c r="Y935" s="511"/>
      <c r="Z935" s="511"/>
      <c r="AA935" s="511"/>
      <c r="AB935" s="511"/>
      <c r="AC935" s="511"/>
      <c r="AD935" s="511"/>
      <c r="AE935" s="511"/>
      <c r="AF935" s="511"/>
      <c r="AG935" s="511"/>
      <c r="AH935" s="511"/>
      <c r="AI935" s="511"/>
      <c r="AJ935" s="511"/>
      <c r="AK935" s="511"/>
      <c r="AL935" s="511"/>
      <c r="AM935" s="511"/>
      <c r="AN935" s="511"/>
      <c r="AO935" s="511"/>
      <c r="AP935" s="511"/>
      <c r="AQ935" s="511"/>
      <c r="AR935" s="511"/>
      <c r="AS935" s="511"/>
      <c r="AT935" s="511"/>
      <c r="AU935" s="511"/>
      <c r="AV935" s="511"/>
      <c r="AW935" s="511"/>
      <c r="AX935" s="511"/>
      <c r="AY935" s="511"/>
      <c r="AZ935" s="511"/>
      <c r="BA935" s="511"/>
      <c r="BB935" s="511"/>
      <c r="BC935" s="511"/>
      <c r="BD935" s="511"/>
      <c r="BE935" s="511"/>
    </row>
    <row r="936" ht="15.75" customHeight="1">
      <c r="A936" s="511"/>
      <c r="B936" s="511"/>
      <c r="C936" s="511"/>
      <c r="D936" s="511"/>
      <c r="E936" s="511"/>
      <c r="F936" s="511"/>
      <c r="G936" s="511"/>
      <c r="H936" s="511"/>
      <c r="I936" s="511"/>
      <c r="J936" s="511"/>
      <c r="K936" s="511"/>
      <c r="L936" s="511"/>
      <c r="M936" s="511"/>
      <c r="N936" s="511"/>
      <c r="O936" s="511"/>
      <c r="P936" s="511"/>
      <c r="Q936" s="511"/>
      <c r="R936" s="511"/>
      <c r="S936" s="511"/>
      <c r="T936" s="511"/>
      <c r="U936" s="511"/>
      <c r="V936" s="511"/>
      <c r="W936" s="511"/>
      <c r="X936" s="511"/>
      <c r="Y936" s="511"/>
      <c r="Z936" s="511"/>
      <c r="AA936" s="511"/>
      <c r="AB936" s="511"/>
      <c r="AC936" s="511"/>
      <c r="AD936" s="511"/>
      <c r="AE936" s="511"/>
      <c r="AF936" s="511"/>
      <c r="AG936" s="511"/>
      <c r="AH936" s="511"/>
      <c r="AI936" s="511"/>
      <c r="AJ936" s="511"/>
      <c r="AK936" s="511"/>
      <c r="AL936" s="511"/>
      <c r="AM936" s="511"/>
      <c r="AN936" s="511"/>
      <c r="AO936" s="511"/>
      <c r="AP936" s="511"/>
      <c r="AQ936" s="511"/>
      <c r="AR936" s="511"/>
      <c r="AS936" s="511"/>
      <c r="AT936" s="511"/>
      <c r="AU936" s="511"/>
      <c r="AV936" s="511"/>
      <c r="AW936" s="511"/>
      <c r="AX936" s="511"/>
      <c r="AY936" s="511"/>
      <c r="AZ936" s="511"/>
      <c r="BA936" s="511"/>
      <c r="BB936" s="511"/>
      <c r="BC936" s="511"/>
      <c r="BD936" s="511"/>
      <c r="BE936" s="511"/>
    </row>
    <row r="937" ht="15.75" customHeight="1">
      <c r="A937" s="511"/>
      <c r="B937" s="511"/>
      <c r="C937" s="511"/>
      <c r="D937" s="511"/>
      <c r="E937" s="511"/>
      <c r="F937" s="511"/>
      <c r="G937" s="511"/>
      <c r="H937" s="511"/>
      <c r="I937" s="511"/>
      <c r="J937" s="511"/>
      <c r="K937" s="511"/>
      <c r="L937" s="511"/>
      <c r="M937" s="511"/>
      <c r="N937" s="511"/>
      <c r="O937" s="511"/>
      <c r="P937" s="511"/>
      <c r="Q937" s="511"/>
      <c r="R937" s="511"/>
      <c r="S937" s="511"/>
      <c r="T937" s="511"/>
      <c r="U937" s="511"/>
      <c r="V937" s="511"/>
      <c r="W937" s="511"/>
      <c r="X937" s="511"/>
      <c r="Y937" s="511"/>
      <c r="Z937" s="511"/>
      <c r="AA937" s="511"/>
      <c r="AB937" s="511"/>
      <c r="AC937" s="511"/>
      <c r="AD937" s="511"/>
      <c r="AE937" s="511"/>
      <c r="AF937" s="511"/>
      <c r="AG937" s="511"/>
      <c r="AH937" s="511"/>
      <c r="AI937" s="511"/>
      <c r="AJ937" s="511"/>
      <c r="AK937" s="511"/>
      <c r="AL937" s="511"/>
      <c r="AM937" s="511"/>
      <c r="AN937" s="511"/>
      <c r="AO937" s="511"/>
      <c r="AP937" s="511"/>
      <c r="AQ937" s="511"/>
      <c r="AR937" s="511"/>
      <c r="AS937" s="511"/>
      <c r="AT937" s="511"/>
      <c r="AU937" s="511"/>
      <c r="AV937" s="511"/>
      <c r="AW937" s="511"/>
      <c r="AX937" s="511"/>
      <c r="AY937" s="511"/>
      <c r="AZ937" s="511"/>
      <c r="BA937" s="511"/>
      <c r="BB937" s="511"/>
      <c r="BC937" s="511"/>
      <c r="BD937" s="511"/>
      <c r="BE937" s="511"/>
    </row>
    <row r="938" ht="15.75" customHeight="1">
      <c r="A938" s="511"/>
      <c r="B938" s="511"/>
      <c r="C938" s="511"/>
      <c r="D938" s="511"/>
      <c r="E938" s="511"/>
      <c r="F938" s="511"/>
      <c r="G938" s="511"/>
      <c r="H938" s="511"/>
      <c r="I938" s="511"/>
      <c r="J938" s="511"/>
      <c r="K938" s="511"/>
      <c r="L938" s="511"/>
      <c r="M938" s="511"/>
      <c r="N938" s="511"/>
      <c r="O938" s="511"/>
      <c r="P938" s="511"/>
      <c r="Q938" s="511"/>
      <c r="R938" s="511"/>
      <c r="S938" s="511"/>
      <c r="T938" s="511"/>
      <c r="U938" s="511"/>
      <c r="V938" s="511"/>
      <c r="W938" s="511"/>
      <c r="X938" s="511"/>
      <c r="Y938" s="511"/>
      <c r="Z938" s="511"/>
      <c r="AA938" s="511"/>
      <c r="AB938" s="511"/>
      <c r="AC938" s="511"/>
      <c r="AD938" s="511"/>
      <c r="AE938" s="511"/>
      <c r="AF938" s="511"/>
      <c r="AG938" s="511"/>
      <c r="AH938" s="511"/>
      <c r="AI938" s="511"/>
      <c r="AJ938" s="511"/>
      <c r="AK938" s="511"/>
      <c r="AL938" s="511"/>
      <c r="AM938" s="511"/>
      <c r="AN938" s="511"/>
      <c r="AO938" s="511"/>
      <c r="AP938" s="511"/>
      <c r="AQ938" s="511"/>
      <c r="AR938" s="511"/>
      <c r="AS938" s="511"/>
      <c r="AT938" s="511"/>
      <c r="AU938" s="511"/>
      <c r="AV938" s="511"/>
      <c r="AW938" s="511"/>
      <c r="AX938" s="511"/>
      <c r="AY938" s="511"/>
      <c r="AZ938" s="511"/>
      <c r="BA938" s="511"/>
      <c r="BB938" s="511"/>
      <c r="BC938" s="511"/>
      <c r="BD938" s="511"/>
      <c r="BE938" s="511"/>
    </row>
    <row r="939" ht="15.75" customHeight="1">
      <c r="A939" s="511"/>
      <c r="B939" s="511"/>
      <c r="C939" s="511"/>
      <c r="D939" s="511"/>
      <c r="E939" s="511"/>
      <c r="F939" s="511"/>
      <c r="G939" s="511"/>
      <c r="H939" s="511"/>
      <c r="I939" s="511"/>
      <c r="J939" s="511"/>
      <c r="K939" s="511"/>
      <c r="L939" s="511"/>
      <c r="M939" s="511"/>
      <c r="N939" s="511"/>
      <c r="O939" s="511"/>
      <c r="P939" s="511"/>
      <c r="Q939" s="511"/>
      <c r="R939" s="511"/>
      <c r="S939" s="511"/>
      <c r="T939" s="511"/>
      <c r="U939" s="511"/>
      <c r="V939" s="511"/>
      <c r="W939" s="511"/>
      <c r="X939" s="511"/>
      <c r="Y939" s="511"/>
      <c r="Z939" s="511"/>
      <c r="AA939" s="511"/>
      <c r="AB939" s="511"/>
      <c r="AC939" s="511"/>
      <c r="AD939" s="511"/>
      <c r="AE939" s="511"/>
      <c r="AF939" s="511"/>
      <c r="AG939" s="511"/>
      <c r="AH939" s="511"/>
      <c r="AI939" s="511"/>
      <c r="AJ939" s="511"/>
      <c r="AK939" s="511"/>
      <c r="AL939" s="511"/>
      <c r="AM939" s="511"/>
      <c r="AN939" s="511"/>
      <c r="AO939" s="511"/>
      <c r="AP939" s="511"/>
      <c r="AQ939" s="511"/>
      <c r="AR939" s="511"/>
      <c r="AS939" s="511"/>
      <c r="AT939" s="511"/>
      <c r="AU939" s="511"/>
      <c r="AV939" s="511"/>
      <c r="AW939" s="511"/>
      <c r="AX939" s="511"/>
      <c r="AY939" s="511"/>
      <c r="AZ939" s="511"/>
      <c r="BA939" s="511"/>
      <c r="BB939" s="511"/>
      <c r="BC939" s="511"/>
      <c r="BD939" s="511"/>
      <c r="BE939" s="511"/>
    </row>
    <row r="940" ht="15.75" customHeight="1">
      <c r="A940" s="511"/>
      <c r="B940" s="511"/>
      <c r="C940" s="511"/>
      <c r="D940" s="511"/>
      <c r="E940" s="511"/>
      <c r="F940" s="511"/>
      <c r="G940" s="511"/>
      <c r="H940" s="511"/>
      <c r="I940" s="511"/>
      <c r="J940" s="511"/>
      <c r="K940" s="511"/>
      <c r="L940" s="511"/>
      <c r="M940" s="511"/>
      <c r="N940" s="511"/>
      <c r="O940" s="511"/>
      <c r="P940" s="511"/>
      <c r="Q940" s="511"/>
      <c r="R940" s="511"/>
      <c r="S940" s="511"/>
      <c r="T940" s="511"/>
      <c r="U940" s="511"/>
      <c r="V940" s="511"/>
      <c r="W940" s="511"/>
      <c r="X940" s="511"/>
      <c r="Y940" s="511"/>
      <c r="Z940" s="511"/>
      <c r="AA940" s="511"/>
      <c r="AB940" s="511"/>
      <c r="AC940" s="511"/>
      <c r="AD940" s="511"/>
      <c r="AE940" s="511"/>
      <c r="AF940" s="511"/>
      <c r="AG940" s="511"/>
      <c r="AH940" s="511"/>
      <c r="AI940" s="511"/>
      <c r="AJ940" s="511"/>
      <c r="AK940" s="511"/>
      <c r="AL940" s="511"/>
      <c r="AM940" s="511"/>
      <c r="AN940" s="511"/>
      <c r="AO940" s="511"/>
      <c r="AP940" s="511"/>
      <c r="AQ940" s="511"/>
      <c r="AR940" s="511"/>
      <c r="AS940" s="511"/>
      <c r="AT940" s="511"/>
      <c r="AU940" s="511"/>
      <c r="AV940" s="511"/>
      <c r="AW940" s="511"/>
      <c r="AX940" s="511"/>
      <c r="AY940" s="511"/>
      <c r="AZ940" s="511"/>
      <c r="BA940" s="511"/>
      <c r="BB940" s="511"/>
      <c r="BC940" s="511"/>
      <c r="BD940" s="511"/>
      <c r="BE940" s="511"/>
    </row>
    <row r="941" ht="15.75" customHeight="1">
      <c r="A941" s="511"/>
      <c r="B941" s="511"/>
      <c r="C941" s="511"/>
      <c r="D941" s="511"/>
      <c r="E941" s="511"/>
      <c r="F941" s="511"/>
      <c r="G941" s="511"/>
      <c r="H941" s="511"/>
      <c r="I941" s="511"/>
      <c r="J941" s="511"/>
      <c r="K941" s="511"/>
      <c r="L941" s="511"/>
      <c r="M941" s="511"/>
      <c r="N941" s="511"/>
      <c r="O941" s="511"/>
      <c r="P941" s="511"/>
      <c r="Q941" s="511"/>
      <c r="R941" s="511"/>
      <c r="S941" s="511"/>
      <c r="T941" s="511"/>
      <c r="U941" s="511"/>
      <c r="V941" s="511"/>
      <c r="W941" s="511"/>
      <c r="X941" s="511"/>
      <c r="Y941" s="511"/>
      <c r="Z941" s="511"/>
      <c r="AA941" s="511"/>
      <c r="AB941" s="511"/>
      <c r="AC941" s="511"/>
      <c r="AD941" s="511"/>
      <c r="AE941" s="511"/>
      <c r="AF941" s="511"/>
      <c r="AG941" s="511"/>
      <c r="AH941" s="511"/>
      <c r="AI941" s="511"/>
      <c r="AJ941" s="511"/>
      <c r="AK941" s="511"/>
      <c r="AL941" s="511"/>
      <c r="AM941" s="511"/>
      <c r="AN941" s="511"/>
      <c r="AO941" s="511"/>
      <c r="AP941" s="511"/>
      <c r="AQ941" s="511"/>
      <c r="AR941" s="511"/>
      <c r="AS941" s="511"/>
      <c r="AT941" s="511"/>
      <c r="AU941" s="511"/>
      <c r="AV941" s="511"/>
      <c r="AW941" s="511"/>
      <c r="AX941" s="511"/>
      <c r="AY941" s="511"/>
      <c r="AZ941" s="511"/>
      <c r="BA941" s="511"/>
      <c r="BB941" s="511"/>
      <c r="BC941" s="511"/>
      <c r="BD941" s="511"/>
      <c r="BE941" s="511"/>
    </row>
    <row r="942" ht="15.75" customHeight="1">
      <c r="A942" s="511"/>
      <c r="B942" s="511"/>
      <c r="C942" s="511"/>
      <c r="D942" s="511"/>
      <c r="E942" s="511"/>
      <c r="F942" s="511"/>
      <c r="G942" s="511"/>
      <c r="H942" s="511"/>
      <c r="I942" s="511"/>
      <c r="J942" s="511"/>
      <c r="K942" s="511"/>
      <c r="L942" s="511"/>
      <c r="M942" s="511"/>
      <c r="N942" s="511"/>
      <c r="O942" s="511"/>
      <c r="P942" s="511"/>
      <c r="Q942" s="511"/>
      <c r="R942" s="511"/>
      <c r="S942" s="511"/>
      <c r="T942" s="511"/>
      <c r="U942" s="511"/>
      <c r="V942" s="511"/>
      <c r="W942" s="511"/>
      <c r="X942" s="511"/>
      <c r="Y942" s="511"/>
      <c r="Z942" s="511"/>
      <c r="AA942" s="511"/>
      <c r="AB942" s="511"/>
      <c r="AC942" s="511"/>
      <c r="AD942" s="511"/>
      <c r="AE942" s="511"/>
      <c r="AF942" s="511"/>
      <c r="AG942" s="511"/>
      <c r="AH942" s="511"/>
      <c r="AI942" s="511"/>
      <c r="AJ942" s="511"/>
      <c r="AK942" s="511"/>
      <c r="AL942" s="511"/>
      <c r="AM942" s="511"/>
      <c r="AN942" s="511"/>
      <c r="AO942" s="511"/>
      <c r="AP942" s="511"/>
      <c r="AQ942" s="511"/>
      <c r="AR942" s="511"/>
      <c r="AS942" s="511"/>
      <c r="AT942" s="511"/>
      <c r="AU942" s="511"/>
      <c r="AV942" s="511"/>
      <c r="AW942" s="511"/>
      <c r="AX942" s="511"/>
      <c r="AY942" s="511"/>
      <c r="AZ942" s="511"/>
      <c r="BA942" s="511"/>
      <c r="BB942" s="511"/>
      <c r="BC942" s="511"/>
      <c r="BD942" s="511"/>
      <c r="BE942" s="511"/>
    </row>
    <row r="943" ht="15.75" customHeight="1">
      <c r="A943" s="511"/>
      <c r="B943" s="511"/>
      <c r="C943" s="511"/>
      <c r="D943" s="511"/>
      <c r="E943" s="511"/>
      <c r="F943" s="511"/>
      <c r="G943" s="511"/>
      <c r="H943" s="511"/>
      <c r="I943" s="511"/>
      <c r="J943" s="511"/>
      <c r="K943" s="511"/>
      <c r="L943" s="511"/>
      <c r="M943" s="511"/>
      <c r="N943" s="511"/>
      <c r="O943" s="511"/>
      <c r="P943" s="511"/>
      <c r="Q943" s="511"/>
      <c r="R943" s="511"/>
      <c r="S943" s="511"/>
      <c r="T943" s="511"/>
      <c r="U943" s="511"/>
      <c r="V943" s="511"/>
      <c r="W943" s="511"/>
      <c r="X943" s="511"/>
      <c r="Y943" s="511"/>
      <c r="Z943" s="511"/>
      <c r="AA943" s="511"/>
      <c r="AB943" s="511"/>
      <c r="AC943" s="511"/>
      <c r="AD943" s="511"/>
      <c r="AE943" s="511"/>
      <c r="AF943" s="511"/>
      <c r="AG943" s="511"/>
      <c r="AH943" s="511"/>
      <c r="AI943" s="511"/>
      <c r="AJ943" s="511"/>
      <c r="AK943" s="511"/>
      <c r="AL943" s="511"/>
      <c r="AM943" s="511"/>
      <c r="AN943" s="511"/>
      <c r="AO943" s="511"/>
      <c r="AP943" s="511"/>
      <c r="AQ943" s="511"/>
      <c r="AR943" s="511"/>
      <c r="AS943" s="511"/>
      <c r="AT943" s="511"/>
      <c r="AU943" s="511"/>
      <c r="AV943" s="511"/>
      <c r="AW943" s="511"/>
      <c r="AX943" s="511"/>
      <c r="AY943" s="511"/>
      <c r="AZ943" s="511"/>
      <c r="BA943" s="511"/>
      <c r="BB943" s="511"/>
      <c r="BC943" s="511"/>
      <c r="BD943" s="511"/>
      <c r="BE943" s="511"/>
    </row>
    <row r="944" ht="15.75" customHeight="1">
      <c r="A944" s="511"/>
      <c r="B944" s="511"/>
      <c r="C944" s="511"/>
      <c r="D944" s="511"/>
      <c r="E944" s="511"/>
      <c r="F944" s="511"/>
      <c r="G944" s="511"/>
      <c r="H944" s="511"/>
      <c r="I944" s="511"/>
      <c r="J944" s="511"/>
      <c r="K944" s="511"/>
      <c r="L944" s="511"/>
      <c r="M944" s="511"/>
      <c r="N944" s="511"/>
      <c r="O944" s="511"/>
      <c r="P944" s="511"/>
      <c r="Q944" s="511"/>
      <c r="R944" s="511"/>
      <c r="S944" s="511"/>
      <c r="T944" s="511"/>
      <c r="U944" s="511"/>
      <c r="V944" s="511"/>
      <c r="W944" s="511"/>
      <c r="X944" s="511"/>
      <c r="Y944" s="511"/>
      <c r="Z944" s="511"/>
      <c r="AA944" s="511"/>
      <c r="AB944" s="511"/>
      <c r="AC944" s="511"/>
      <c r="AD944" s="511"/>
      <c r="AE944" s="511"/>
      <c r="AF944" s="511"/>
      <c r="AG944" s="511"/>
      <c r="AH944" s="511"/>
      <c r="AI944" s="511"/>
      <c r="AJ944" s="511"/>
      <c r="AK944" s="511"/>
      <c r="AL944" s="511"/>
      <c r="AM944" s="511"/>
      <c r="AN944" s="511"/>
      <c r="AO944" s="511"/>
      <c r="AP944" s="511"/>
      <c r="AQ944" s="511"/>
      <c r="AR944" s="511"/>
      <c r="AS944" s="511"/>
      <c r="AT944" s="511"/>
      <c r="AU944" s="511"/>
      <c r="AV944" s="511"/>
      <c r="AW944" s="511"/>
      <c r="AX944" s="511"/>
      <c r="AY944" s="511"/>
      <c r="AZ944" s="511"/>
      <c r="BA944" s="511"/>
      <c r="BB944" s="511"/>
      <c r="BC944" s="511"/>
      <c r="BD944" s="511"/>
      <c r="BE944" s="511"/>
    </row>
    <row r="945" ht="15.75" customHeight="1">
      <c r="A945" s="511"/>
      <c r="B945" s="511"/>
      <c r="C945" s="511"/>
      <c r="D945" s="511"/>
      <c r="E945" s="511"/>
      <c r="F945" s="511"/>
      <c r="G945" s="511"/>
      <c r="H945" s="511"/>
      <c r="I945" s="511"/>
      <c r="J945" s="511"/>
      <c r="K945" s="511"/>
      <c r="L945" s="511"/>
      <c r="M945" s="511"/>
      <c r="N945" s="511"/>
      <c r="O945" s="511"/>
      <c r="P945" s="511"/>
      <c r="Q945" s="511"/>
      <c r="R945" s="511"/>
      <c r="S945" s="511"/>
      <c r="T945" s="511"/>
      <c r="U945" s="511"/>
      <c r="V945" s="511"/>
      <c r="W945" s="511"/>
      <c r="X945" s="511"/>
      <c r="Y945" s="511"/>
      <c r="Z945" s="511"/>
      <c r="AA945" s="511"/>
      <c r="AB945" s="511"/>
      <c r="AC945" s="511"/>
      <c r="AD945" s="511"/>
      <c r="AE945" s="511"/>
      <c r="AF945" s="511"/>
      <c r="AG945" s="511"/>
      <c r="AH945" s="511"/>
      <c r="AI945" s="511"/>
      <c r="AJ945" s="511"/>
      <c r="AK945" s="511"/>
      <c r="AL945" s="511"/>
      <c r="AM945" s="511"/>
      <c r="AN945" s="511"/>
      <c r="AO945" s="511"/>
      <c r="AP945" s="511"/>
      <c r="AQ945" s="511"/>
      <c r="AR945" s="511"/>
      <c r="AS945" s="511"/>
      <c r="AT945" s="511"/>
      <c r="AU945" s="511"/>
      <c r="AV945" s="511"/>
      <c r="AW945" s="511"/>
      <c r="AX945" s="511"/>
      <c r="AY945" s="511"/>
      <c r="AZ945" s="511"/>
      <c r="BA945" s="511"/>
      <c r="BB945" s="511"/>
      <c r="BC945" s="511"/>
      <c r="BD945" s="511"/>
      <c r="BE945" s="511"/>
    </row>
    <row r="946" ht="15.75" customHeight="1">
      <c r="A946" s="511"/>
      <c r="B946" s="511"/>
      <c r="C946" s="511"/>
      <c r="D946" s="511"/>
      <c r="E946" s="511"/>
      <c r="F946" s="511"/>
      <c r="G946" s="511"/>
      <c r="H946" s="511"/>
      <c r="I946" s="511"/>
      <c r="J946" s="511"/>
      <c r="K946" s="511"/>
      <c r="L946" s="511"/>
      <c r="M946" s="511"/>
      <c r="N946" s="511"/>
      <c r="O946" s="511"/>
      <c r="P946" s="511"/>
      <c r="Q946" s="511"/>
      <c r="R946" s="511"/>
      <c r="S946" s="511"/>
      <c r="T946" s="511"/>
      <c r="U946" s="511"/>
      <c r="V946" s="511"/>
      <c r="W946" s="511"/>
      <c r="X946" s="511"/>
      <c r="Y946" s="511"/>
      <c r="Z946" s="511"/>
      <c r="AA946" s="511"/>
      <c r="AB946" s="511"/>
      <c r="AC946" s="511"/>
      <c r="AD946" s="511"/>
      <c r="AE946" s="511"/>
      <c r="AF946" s="511"/>
      <c r="AG946" s="511"/>
      <c r="AH946" s="511"/>
      <c r="AI946" s="511"/>
      <c r="AJ946" s="511"/>
      <c r="AK946" s="511"/>
      <c r="AL946" s="511"/>
      <c r="AM946" s="511"/>
      <c r="AN946" s="511"/>
      <c r="AO946" s="511"/>
      <c r="AP946" s="511"/>
      <c r="AQ946" s="511"/>
      <c r="AR946" s="511"/>
      <c r="AS946" s="511"/>
      <c r="AT946" s="511"/>
      <c r="AU946" s="511"/>
      <c r="AV946" s="511"/>
      <c r="AW946" s="511"/>
      <c r="AX946" s="511"/>
      <c r="AY946" s="511"/>
      <c r="AZ946" s="511"/>
      <c r="BA946" s="511"/>
      <c r="BB946" s="511"/>
      <c r="BC946" s="511"/>
      <c r="BD946" s="511"/>
      <c r="BE946" s="511"/>
    </row>
    <row r="947" ht="15.75" customHeight="1">
      <c r="A947" s="511"/>
      <c r="B947" s="511"/>
      <c r="C947" s="511"/>
      <c r="D947" s="511"/>
      <c r="E947" s="511"/>
      <c r="F947" s="511"/>
      <c r="G947" s="511"/>
      <c r="H947" s="511"/>
      <c r="I947" s="511"/>
      <c r="J947" s="511"/>
      <c r="K947" s="511"/>
      <c r="L947" s="511"/>
      <c r="M947" s="511"/>
      <c r="N947" s="511"/>
      <c r="O947" s="511"/>
      <c r="P947" s="511"/>
      <c r="Q947" s="511"/>
      <c r="R947" s="511"/>
      <c r="S947" s="511"/>
      <c r="T947" s="511"/>
      <c r="U947" s="511"/>
      <c r="V947" s="511"/>
      <c r="W947" s="511"/>
      <c r="X947" s="511"/>
      <c r="Y947" s="511"/>
      <c r="Z947" s="511"/>
      <c r="AA947" s="511"/>
      <c r="AB947" s="511"/>
      <c r="AC947" s="511"/>
      <c r="AD947" s="511"/>
      <c r="AE947" s="511"/>
      <c r="AF947" s="511"/>
      <c r="AG947" s="511"/>
      <c r="AH947" s="511"/>
      <c r="AI947" s="511"/>
      <c r="AJ947" s="511"/>
      <c r="AK947" s="511"/>
      <c r="AL947" s="511"/>
      <c r="AM947" s="511"/>
      <c r="AN947" s="511"/>
      <c r="AO947" s="511"/>
      <c r="AP947" s="511"/>
      <c r="AQ947" s="511"/>
      <c r="AR947" s="511"/>
      <c r="AS947" s="511"/>
      <c r="AT947" s="511"/>
      <c r="AU947" s="511"/>
      <c r="AV947" s="511"/>
      <c r="AW947" s="511"/>
      <c r="AX947" s="511"/>
      <c r="AY947" s="511"/>
      <c r="AZ947" s="511"/>
      <c r="BA947" s="511"/>
      <c r="BB947" s="511"/>
      <c r="BC947" s="511"/>
      <c r="BD947" s="511"/>
      <c r="BE947" s="511"/>
    </row>
    <row r="948" ht="15.75" customHeight="1">
      <c r="A948" s="511"/>
      <c r="B948" s="511"/>
      <c r="C948" s="511"/>
      <c r="D948" s="511"/>
      <c r="E948" s="511"/>
      <c r="F948" s="511"/>
      <c r="G948" s="511"/>
      <c r="H948" s="511"/>
      <c r="I948" s="511"/>
      <c r="J948" s="511"/>
      <c r="K948" s="511"/>
      <c r="L948" s="511"/>
      <c r="M948" s="511"/>
      <c r="N948" s="511"/>
      <c r="O948" s="511"/>
      <c r="P948" s="511"/>
      <c r="Q948" s="511"/>
      <c r="R948" s="511"/>
      <c r="S948" s="511"/>
      <c r="T948" s="511"/>
      <c r="U948" s="511"/>
      <c r="V948" s="511"/>
      <c r="W948" s="511"/>
      <c r="X948" s="511"/>
      <c r="Y948" s="511"/>
      <c r="Z948" s="511"/>
      <c r="AA948" s="511"/>
      <c r="AB948" s="511"/>
      <c r="AC948" s="511"/>
      <c r="AD948" s="511"/>
      <c r="AE948" s="511"/>
      <c r="AF948" s="511"/>
      <c r="AG948" s="511"/>
      <c r="AH948" s="511"/>
      <c r="AI948" s="511"/>
      <c r="AJ948" s="511"/>
      <c r="AK948" s="511"/>
      <c r="AL948" s="511"/>
      <c r="AM948" s="511"/>
      <c r="AN948" s="511"/>
      <c r="AO948" s="511"/>
      <c r="AP948" s="511"/>
      <c r="AQ948" s="511"/>
      <c r="AR948" s="511"/>
      <c r="AS948" s="511"/>
      <c r="AT948" s="511"/>
      <c r="AU948" s="511"/>
      <c r="AV948" s="511"/>
      <c r="AW948" s="511"/>
      <c r="AX948" s="511"/>
      <c r="AY948" s="511"/>
      <c r="AZ948" s="511"/>
      <c r="BA948" s="511"/>
      <c r="BB948" s="511"/>
      <c r="BC948" s="511"/>
      <c r="BD948" s="511"/>
      <c r="BE948" s="511"/>
    </row>
    <row r="949" ht="15.75" customHeight="1">
      <c r="A949" s="511"/>
      <c r="B949" s="511"/>
      <c r="C949" s="511"/>
      <c r="D949" s="511"/>
      <c r="E949" s="511"/>
      <c r="F949" s="511"/>
      <c r="G949" s="511"/>
      <c r="H949" s="511"/>
      <c r="I949" s="511"/>
      <c r="J949" s="511"/>
      <c r="K949" s="511"/>
      <c r="L949" s="511"/>
      <c r="M949" s="511"/>
      <c r="N949" s="511"/>
      <c r="O949" s="511"/>
      <c r="P949" s="511"/>
      <c r="Q949" s="511"/>
      <c r="R949" s="511"/>
      <c r="S949" s="511"/>
      <c r="T949" s="511"/>
      <c r="U949" s="511"/>
      <c r="V949" s="511"/>
      <c r="W949" s="511"/>
      <c r="X949" s="511"/>
      <c r="Y949" s="511"/>
      <c r="Z949" s="511"/>
      <c r="AA949" s="511"/>
      <c r="AB949" s="511"/>
      <c r="AC949" s="511"/>
      <c r="AD949" s="511"/>
      <c r="AE949" s="511"/>
      <c r="AF949" s="511"/>
      <c r="AG949" s="511"/>
      <c r="AH949" s="511"/>
      <c r="AI949" s="511"/>
      <c r="AJ949" s="511"/>
      <c r="AK949" s="511"/>
      <c r="AL949" s="511"/>
      <c r="AM949" s="511"/>
      <c r="AN949" s="511"/>
      <c r="AO949" s="511"/>
      <c r="AP949" s="511"/>
      <c r="AQ949" s="511"/>
      <c r="AR949" s="511"/>
      <c r="AS949" s="511"/>
      <c r="AT949" s="511"/>
      <c r="AU949" s="511"/>
      <c r="AV949" s="511"/>
      <c r="AW949" s="511"/>
      <c r="AX949" s="511"/>
      <c r="AY949" s="511"/>
      <c r="AZ949" s="511"/>
      <c r="BA949" s="511"/>
      <c r="BB949" s="511"/>
      <c r="BC949" s="511"/>
      <c r="BD949" s="511"/>
      <c r="BE949" s="511"/>
    </row>
    <row r="950" ht="15.75" customHeight="1">
      <c r="A950" s="511"/>
      <c r="B950" s="511"/>
      <c r="C950" s="511"/>
      <c r="D950" s="511"/>
      <c r="E950" s="511"/>
      <c r="F950" s="511"/>
      <c r="G950" s="511"/>
      <c r="H950" s="511"/>
      <c r="I950" s="511"/>
      <c r="J950" s="511"/>
      <c r="K950" s="511"/>
      <c r="L950" s="511"/>
      <c r="M950" s="511"/>
      <c r="N950" s="511"/>
      <c r="O950" s="511"/>
      <c r="P950" s="511"/>
      <c r="Q950" s="511"/>
      <c r="R950" s="511"/>
      <c r="S950" s="511"/>
      <c r="T950" s="511"/>
      <c r="U950" s="511"/>
      <c r="V950" s="511"/>
      <c r="W950" s="511"/>
      <c r="X950" s="511"/>
      <c r="Y950" s="511"/>
      <c r="Z950" s="511"/>
      <c r="AA950" s="511"/>
      <c r="AB950" s="511"/>
      <c r="AC950" s="511"/>
      <c r="AD950" s="511"/>
      <c r="AE950" s="511"/>
      <c r="AF950" s="511"/>
      <c r="AG950" s="511"/>
      <c r="AH950" s="511"/>
      <c r="AI950" s="511"/>
      <c r="AJ950" s="511"/>
      <c r="AK950" s="511"/>
      <c r="AL950" s="511"/>
      <c r="AM950" s="511"/>
      <c r="AN950" s="511"/>
      <c r="AO950" s="511"/>
      <c r="AP950" s="511"/>
      <c r="AQ950" s="511"/>
      <c r="AR950" s="511"/>
      <c r="AS950" s="511"/>
      <c r="AT950" s="511"/>
      <c r="AU950" s="511"/>
      <c r="AV950" s="511"/>
      <c r="AW950" s="511"/>
      <c r="AX950" s="511"/>
      <c r="AY950" s="511"/>
      <c r="AZ950" s="511"/>
      <c r="BA950" s="511"/>
      <c r="BB950" s="511"/>
      <c r="BC950" s="511"/>
      <c r="BD950" s="511"/>
      <c r="BE950" s="511"/>
    </row>
    <row r="951" ht="15.75" customHeight="1">
      <c r="A951" s="511"/>
      <c r="B951" s="511"/>
      <c r="C951" s="511"/>
      <c r="D951" s="511"/>
      <c r="E951" s="511"/>
      <c r="F951" s="511"/>
      <c r="G951" s="511"/>
      <c r="H951" s="511"/>
      <c r="I951" s="511"/>
      <c r="J951" s="511"/>
      <c r="K951" s="511"/>
      <c r="L951" s="511"/>
      <c r="M951" s="511"/>
      <c r="N951" s="511"/>
      <c r="O951" s="511"/>
      <c r="P951" s="511"/>
      <c r="Q951" s="511"/>
      <c r="R951" s="511"/>
      <c r="S951" s="511"/>
      <c r="T951" s="511"/>
      <c r="U951" s="511"/>
      <c r="V951" s="511"/>
      <c r="W951" s="511"/>
      <c r="X951" s="511"/>
      <c r="Y951" s="511"/>
      <c r="Z951" s="511"/>
      <c r="AA951" s="511"/>
      <c r="AB951" s="511"/>
      <c r="AC951" s="511"/>
      <c r="AD951" s="511"/>
      <c r="AE951" s="511"/>
      <c r="AF951" s="511"/>
      <c r="AG951" s="511"/>
      <c r="AH951" s="511"/>
      <c r="AI951" s="511"/>
      <c r="AJ951" s="511"/>
      <c r="AK951" s="511"/>
      <c r="AL951" s="511"/>
      <c r="AM951" s="511"/>
      <c r="AN951" s="511"/>
      <c r="AO951" s="511"/>
      <c r="AP951" s="511"/>
      <c r="AQ951" s="511"/>
      <c r="AR951" s="511"/>
      <c r="AS951" s="511"/>
      <c r="AT951" s="511"/>
      <c r="AU951" s="511"/>
      <c r="AV951" s="511"/>
      <c r="AW951" s="511"/>
      <c r="AX951" s="511"/>
      <c r="AY951" s="511"/>
      <c r="AZ951" s="511"/>
      <c r="BA951" s="511"/>
      <c r="BB951" s="511"/>
      <c r="BC951" s="511"/>
      <c r="BD951" s="511"/>
      <c r="BE951" s="511"/>
    </row>
    <row r="952" ht="15.75" customHeight="1">
      <c r="A952" s="511"/>
      <c r="B952" s="511"/>
      <c r="C952" s="511"/>
      <c r="D952" s="511"/>
      <c r="E952" s="511"/>
      <c r="F952" s="511"/>
      <c r="G952" s="511"/>
      <c r="H952" s="511"/>
      <c r="I952" s="511"/>
      <c r="J952" s="511"/>
      <c r="K952" s="511"/>
      <c r="L952" s="511"/>
      <c r="M952" s="511"/>
      <c r="N952" s="511"/>
      <c r="O952" s="511"/>
      <c r="P952" s="511"/>
      <c r="Q952" s="511"/>
      <c r="R952" s="511"/>
      <c r="S952" s="511"/>
      <c r="T952" s="511"/>
      <c r="U952" s="511"/>
      <c r="V952" s="511"/>
      <c r="W952" s="511"/>
      <c r="X952" s="511"/>
      <c r="Y952" s="511"/>
      <c r="Z952" s="511"/>
      <c r="AA952" s="511"/>
      <c r="AB952" s="511"/>
      <c r="AC952" s="511"/>
      <c r="AD952" s="511"/>
      <c r="AE952" s="511"/>
      <c r="AF952" s="511"/>
      <c r="AG952" s="511"/>
      <c r="AH952" s="511"/>
      <c r="AI952" s="511"/>
      <c r="AJ952" s="511"/>
      <c r="AK952" s="511"/>
      <c r="AL952" s="511"/>
      <c r="AM952" s="511"/>
      <c r="AN952" s="511"/>
      <c r="AO952" s="511"/>
      <c r="AP952" s="511"/>
      <c r="AQ952" s="511"/>
      <c r="AR952" s="511"/>
      <c r="AS952" s="511"/>
      <c r="AT952" s="511"/>
      <c r="AU952" s="511"/>
      <c r="AV952" s="511"/>
      <c r="AW952" s="511"/>
      <c r="AX952" s="511"/>
      <c r="AY952" s="511"/>
      <c r="AZ952" s="511"/>
      <c r="BA952" s="511"/>
      <c r="BB952" s="511"/>
      <c r="BC952" s="511"/>
      <c r="BD952" s="511"/>
      <c r="BE952" s="511"/>
    </row>
    <row r="953" ht="15.75" customHeight="1">
      <c r="A953" s="511"/>
      <c r="B953" s="511"/>
      <c r="C953" s="511"/>
      <c r="D953" s="511"/>
      <c r="E953" s="511"/>
      <c r="F953" s="511"/>
      <c r="G953" s="511"/>
      <c r="H953" s="511"/>
      <c r="I953" s="511"/>
      <c r="J953" s="511"/>
      <c r="K953" s="511"/>
      <c r="L953" s="511"/>
      <c r="M953" s="511"/>
      <c r="N953" s="511"/>
      <c r="O953" s="511"/>
      <c r="P953" s="511"/>
      <c r="Q953" s="511"/>
      <c r="R953" s="511"/>
      <c r="S953" s="511"/>
      <c r="T953" s="511"/>
      <c r="U953" s="511"/>
      <c r="V953" s="511"/>
      <c r="W953" s="511"/>
      <c r="X953" s="511"/>
      <c r="Y953" s="511"/>
      <c r="Z953" s="511"/>
      <c r="AA953" s="511"/>
      <c r="AB953" s="511"/>
      <c r="AC953" s="511"/>
      <c r="AD953" s="511"/>
      <c r="AE953" s="511"/>
      <c r="AF953" s="511"/>
      <c r="AG953" s="511"/>
      <c r="AH953" s="511"/>
      <c r="AI953" s="511"/>
      <c r="AJ953" s="511"/>
      <c r="AK953" s="511"/>
      <c r="AL953" s="511"/>
      <c r="AM953" s="511"/>
      <c r="AN953" s="511"/>
      <c r="AO953" s="511"/>
      <c r="AP953" s="511"/>
      <c r="AQ953" s="511"/>
      <c r="AR953" s="511"/>
      <c r="AS953" s="511"/>
      <c r="AT953" s="511"/>
      <c r="AU953" s="511"/>
      <c r="AV953" s="511"/>
      <c r="AW953" s="511"/>
      <c r="AX953" s="511"/>
      <c r="AY953" s="511"/>
      <c r="AZ953" s="511"/>
      <c r="BA953" s="511"/>
      <c r="BB953" s="511"/>
      <c r="BC953" s="511"/>
      <c r="BD953" s="511"/>
      <c r="BE953" s="511"/>
    </row>
    <row r="954" ht="15.75" customHeight="1">
      <c r="A954" s="511"/>
      <c r="B954" s="511"/>
      <c r="C954" s="511"/>
      <c r="D954" s="511"/>
      <c r="E954" s="511"/>
      <c r="F954" s="511"/>
      <c r="G954" s="511"/>
      <c r="H954" s="511"/>
      <c r="I954" s="511"/>
      <c r="J954" s="511"/>
      <c r="K954" s="511"/>
      <c r="L954" s="511"/>
      <c r="M954" s="511"/>
      <c r="N954" s="511"/>
      <c r="O954" s="511"/>
      <c r="P954" s="511"/>
      <c r="Q954" s="511"/>
      <c r="R954" s="511"/>
      <c r="S954" s="511"/>
      <c r="T954" s="511"/>
      <c r="U954" s="511"/>
      <c r="V954" s="511"/>
      <c r="W954" s="511"/>
      <c r="X954" s="511"/>
      <c r="Y954" s="511"/>
      <c r="Z954" s="511"/>
      <c r="AA954" s="511"/>
      <c r="AB954" s="511"/>
      <c r="AC954" s="511"/>
      <c r="AD954" s="511"/>
      <c r="AE954" s="511"/>
      <c r="AF954" s="511"/>
      <c r="AG954" s="511"/>
      <c r="AH954" s="511"/>
      <c r="AI954" s="511"/>
      <c r="AJ954" s="511"/>
      <c r="AK954" s="511"/>
      <c r="AL954" s="511"/>
      <c r="AM954" s="511"/>
      <c r="AN954" s="511"/>
      <c r="AO954" s="511"/>
      <c r="AP954" s="511"/>
      <c r="AQ954" s="511"/>
      <c r="AR954" s="511"/>
      <c r="AS954" s="511"/>
      <c r="AT954" s="511"/>
      <c r="AU954" s="511"/>
      <c r="AV954" s="511"/>
      <c r="AW954" s="511"/>
      <c r="AX954" s="511"/>
      <c r="AY954" s="511"/>
      <c r="AZ954" s="511"/>
      <c r="BA954" s="511"/>
      <c r="BB954" s="511"/>
      <c r="BC954" s="511"/>
      <c r="BD954" s="511"/>
      <c r="BE954" s="511"/>
    </row>
    <row r="955" ht="15.75" customHeight="1">
      <c r="A955" s="511"/>
      <c r="B955" s="511"/>
      <c r="C955" s="511"/>
      <c r="D955" s="511"/>
      <c r="E955" s="511"/>
      <c r="F955" s="511"/>
      <c r="G955" s="511"/>
      <c r="H955" s="511"/>
      <c r="I955" s="511"/>
      <c r="J955" s="511"/>
      <c r="K955" s="511"/>
      <c r="L955" s="511"/>
      <c r="M955" s="511"/>
      <c r="N955" s="511"/>
      <c r="O955" s="511"/>
      <c r="P955" s="511"/>
      <c r="Q955" s="511"/>
      <c r="R955" s="511"/>
      <c r="S955" s="511"/>
      <c r="T955" s="511"/>
      <c r="U955" s="511"/>
      <c r="V955" s="511"/>
      <c r="W955" s="511"/>
      <c r="X955" s="511"/>
      <c r="Y955" s="511"/>
      <c r="Z955" s="511"/>
      <c r="AA955" s="511"/>
      <c r="AB955" s="511"/>
      <c r="AC955" s="511"/>
      <c r="AD955" s="511"/>
      <c r="AE955" s="511"/>
      <c r="AF955" s="511"/>
      <c r="AG955" s="511"/>
      <c r="AH955" s="511"/>
      <c r="AI955" s="511"/>
      <c r="AJ955" s="511"/>
      <c r="AK955" s="511"/>
      <c r="AL955" s="511"/>
      <c r="AM955" s="511"/>
      <c r="AN955" s="511"/>
      <c r="AO955" s="511"/>
      <c r="AP955" s="511"/>
      <c r="AQ955" s="511"/>
      <c r="AR955" s="511"/>
      <c r="AS955" s="511"/>
      <c r="AT955" s="511"/>
      <c r="AU955" s="511"/>
      <c r="AV955" s="511"/>
      <c r="AW955" s="511"/>
      <c r="AX955" s="511"/>
      <c r="AY955" s="511"/>
      <c r="AZ955" s="511"/>
      <c r="BA955" s="511"/>
      <c r="BB955" s="511"/>
      <c r="BC955" s="511"/>
      <c r="BD955" s="511"/>
      <c r="BE955" s="511"/>
    </row>
    <row r="956" ht="15.75" customHeight="1">
      <c r="A956" s="511"/>
      <c r="B956" s="511"/>
      <c r="C956" s="511"/>
      <c r="D956" s="511"/>
      <c r="E956" s="511"/>
      <c r="F956" s="511"/>
      <c r="G956" s="511"/>
      <c r="H956" s="511"/>
      <c r="I956" s="511"/>
      <c r="J956" s="511"/>
      <c r="K956" s="511"/>
      <c r="L956" s="511"/>
      <c r="M956" s="511"/>
      <c r="N956" s="511"/>
      <c r="O956" s="511"/>
      <c r="P956" s="511"/>
      <c r="Q956" s="511"/>
      <c r="R956" s="511"/>
      <c r="S956" s="511"/>
      <c r="T956" s="511"/>
      <c r="U956" s="511"/>
      <c r="V956" s="511"/>
      <c r="W956" s="511"/>
      <c r="X956" s="511"/>
      <c r="Y956" s="511"/>
      <c r="Z956" s="511"/>
      <c r="AA956" s="511"/>
      <c r="AB956" s="511"/>
      <c r="AC956" s="511"/>
      <c r="AD956" s="511"/>
      <c r="AE956" s="511"/>
      <c r="AF956" s="511"/>
      <c r="AG956" s="511"/>
      <c r="AH956" s="511"/>
      <c r="AI956" s="511"/>
      <c r="AJ956" s="511"/>
      <c r="AK956" s="511"/>
      <c r="AL956" s="511"/>
      <c r="AM956" s="511"/>
      <c r="AN956" s="511"/>
      <c r="AO956" s="511"/>
      <c r="AP956" s="511"/>
      <c r="AQ956" s="511"/>
      <c r="AR956" s="511"/>
      <c r="AS956" s="511"/>
      <c r="AT956" s="511"/>
      <c r="AU956" s="511"/>
      <c r="AV956" s="511"/>
      <c r="AW956" s="511"/>
      <c r="AX956" s="511"/>
      <c r="AY956" s="511"/>
      <c r="AZ956" s="511"/>
      <c r="BA956" s="511"/>
      <c r="BB956" s="511"/>
      <c r="BC956" s="511"/>
      <c r="BD956" s="511"/>
      <c r="BE956" s="511"/>
    </row>
    <row r="957" ht="15.75" customHeight="1">
      <c r="A957" s="511"/>
      <c r="B957" s="511"/>
      <c r="C957" s="511"/>
      <c r="D957" s="511"/>
      <c r="E957" s="511"/>
      <c r="F957" s="511"/>
      <c r="G957" s="511"/>
      <c r="H957" s="511"/>
      <c r="I957" s="511"/>
      <c r="J957" s="511"/>
      <c r="K957" s="511"/>
      <c r="L957" s="511"/>
      <c r="M957" s="511"/>
      <c r="N957" s="511"/>
      <c r="O957" s="511"/>
      <c r="P957" s="511"/>
      <c r="Q957" s="511"/>
      <c r="R957" s="511"/>
      <c r="S957" s="511"/>
      <c r="T957" s="511"/>
      <c r="U957" s="511"/>
      <c r="V957" s="511"/>
      <c r="W957" s="511"/>
      <c r="X957" s="511"/>
      <c r="Y957" s="511"/>
      <c r="Z957" s="511"/>
      <c r="AA957" s="511"/>
      <c r="AB957" s="511"/>
      <c r="AC957" s="511"/>
      <c r="AD957" s="511"/>
      <c r="AE957" s="511"/>
      <c r="AF957" s="511"/>
      <c r="AG957" s="511"/>
      <c r="AH957" s="511"/>
      <c r="AI957" s="511"/>
      <c r="AJ957" s="511"/>
      <c r="AK957" s="511"/>
      <c r="AL957" s="511"/>
      <c r="AM957" s="511"/>
      <c r="AN957" s="511"/>
      <c r="AO957" s="511"/>
      <c r="AP957" s="511"/>
      <c r="AQ957" s="511"/>
      <c r="AR957" s="511"/>
      <c r="AS957" s="511"/>
      <c r="AT957" s="511"/>
      <c r="AU957" s="511"/>
      <c r="AV957" s="511"/>
      <c r="AW957" s="511"/>
      <c r="AX957" s="511"/>
      <c r="AY957" s="511"/>
      <c r="AZ957" s="511"/>
      <c r="BA957" s="511"/>
      <c r="BB957" s="511"/>
      <c r="BC957" s="511"/>
      <c r="BD957" s="511"/>
      <c r="BE957" s="511"/>
    </row>
    <row r="958" ht="15.75" customHeight="1">
      <c r="A958" s="511"/>
      <c r="B958" s="511"/>
      <c r="C958" s="511"/>
      <c r="D958" s="511"/>
      <c r="E958" s="511"/>
      <c r="F958" s="511"/>
      <c r="G958" s="511"/>
      <c r="H958" s="511"/>
      <c r="I958" s="511"/>
      <c r="J958" s="511"/>
      <c r="K958" s="511"/>
      <c r="L958" s="511"/>
      <c r="M958" s="511"/>
      <c r="N958" s="511"/>
      <c r="O958" s="511"/>
      <c r="P958" s="511"/>
      <c r="Q958" s="511"/>
      <c r="R958" s="511"/>
      <c r="S958" s="511"/>
      <c r="T958" s="511"/>
      <c r="U958" s="511"/>
      <c r="V958" s="511"/>
      <c r="W958" s="511"/>
      <c r="X958" s="511"/>
      <c r="Y958" s="511"/>
      <c r="Z958" s="511"/>
      <c r="AA958" s="511"/>
      <c r="AB958" s="511"/>
      <c r="AC958" s="511"/>
      <c r="AD958" s="511"/>
      <c r="AE958" s="511"/>
      <c r="AF958" s="511"/>
      <c r="AG958" s="511"/>
      <c r="AH958" s="511"/>
      <c r="AI958" s="511"/>
      <c r="AJ958" s="511"/>
      <c r="AK958" s="511"/>
      <c r="AL958" s="511"/>
      <c r="AM958" s="511"/>
      <c r="AN958" s="511"/>
      <c r="AO958" s="511"/>
      <c r="AP958" s="511"/>
      <c r="AQ958" s="511"/>
      <c r="AR958" s="511"/>
      <c r="AS958" s="511"/>
      <c r="AT958" s="511"/>
      <c r="AU958" s="511"/>
      <c r="AV958" s="511"/>
      <c r="AW958" s="511"/>
      <c r="AX958" s="511"/>
      <c r="AY958" s="511"/>
      <c r="AZ958" s="511"/>
      <c r="BA958" s="511"/>
      <c r="BB958" s="511"/>
      <c r="BC958" s="511"/>
      <c r="BD958" s="511"/>
      <c r="BE958" s="511"/>
    </row>
    <row r="959" ht="15.75" customHeight="1">
      <c r="A959" s="511"/>
      <c r="B959" s="511"/>
      <c r="C959" s="511"/>
      <c r="D959" s="511"/>
      <c r="E959" s="511"/>
      <c r="F959" s="511"/>
      <c r="G959" s="511"/>
      <c r="H959" s="511"/>
      <c r="I959" s="511"/>
      <c r="J959" s="511"/>
      <c r="K959" s="511"/>
      <c r="L959" s="511"/>
      <c r="M959" s="511"/>
      <c r="N959" s="511"/>
      <c r="O959" s="511"/>
      <c r="P959" s="511"/>
      <c r="Q959" s="511"/>
      <c r="R959" s="511"/>
      <c r="S959" s="511"/>
      <c r="T959" s="511"/>
      <c r="U959" s="511"/>
      <c r="V959" s="511"/>
      <c r="W959" s="511"/>
      <c r="X959" s="511"/>
      <c r="Y959" s="511"/>
      <c r="Z959" s="511"/>
      <c r="AA959" s="511"/>
      <c r="AB959" s="511"/>
      <c r="AC959" s="511"/>
      <c r="AD959" s="511"/>
      <c r="AE959" s="511"/>
      <c r="AF959" s="511"/>
      <c r="AG959" s="511"/>
      <c r="AH959" s="511"/>
      <c r="AI959" s="511"/>
      <c r="AJ959" s="511"/>
      <c r="AK959" s="511"/>
      <c r="AL959" s="511"/>
      <c r="AM959" s="511"/>
      <c r="AN959" s="511"/>
      <c r="AO959" s="511"/>
      <c r="AP959" s="511"/>
      <c r="AQ959" s="511"/>
      <c r="AR959" s="511"/>
      <c r="AS959" s="511"/>
      <c r="AT959" s="511"/>
      <c r="AU959" s="511"/>
      <c r="AV959" s="511"/>
      <c r="AW959" s="511"/>
      <c r="AX959" s="511"/>
      <c r="AY959" s="511"/>
      <c r="AZ959" s="511"/>
      <c r="BA959" s="511"/>
      <c r="BB959" s="511"/>
      <c r="BC959" s="511"/>
      <c r="BD959" s="511"/>
      <c r="BE959" s="511"/>
    </row>
    <row r="960" ht="15.75" customHeight="1">
      <c r="A960" s="511"/>
      <c r="B960" s="511"/>
      <c r="C960" s="511"/>
      <c r="D960" s="511"/>
      <c r="E960" s="511"/>
      <c r="F960" s="511"/>
      <c r="G960" s="511"/>
      <c r="H960" s="511"/>
      <c r="I960" s="511"/>
      <c r="J960" s="511"/>
      <c r="K960" s="511"/>
      <c r="L960" s="511"/>
      <c r="M960" s="511"/>
      <c r="N960" s="511"/>
      <c r="O960" s="511"/>
      <c r="P960" s="511"/>
      <c r="Q960" s="511"/>
      <c r="R960" s="511"/>
      <c r="S960" s="511"/>
      <c r="T960" s="511"/>
      <c r="U960" s="511"/>
      <c r="V960" s="511"/>
      <c r="W960" s="511"/>
      <c r="X960" s="511"/>
      <c r="Y960" s="511"/>
      <c r="Z960" s="511"/>
      <c r="AA960" s="511"/>
      <c r="AB960" s="511"/>
      <c r="AC960" s="511"/>
      <c r="AD960" s="511"/>
      <c r="AE960" s="511"/>
      <c r="AF960" s="511"/>
      <c r="AG960" s="511"/>
      <c r="AH960" s="511"/>
      <c r="AI960" s="511"/>
      <c r="AJ960" s="511"/>
      <c r="AK960" s="511"/>
      <c r="AL960" s="511"/>
      <c r="AM960" s="511"/>
      <c r="AN960" s="511"/>
      <c r="AO960" s="511"/>
      <c r="AP960" s="511"/>
      <c r="AQ960" s="511"/>
      <c r="AR960" s="511"/>
      <c r="AS960" s="511"/>
      <c r="AT960" s="511"/>
      <c r="AU960" s="511"/>
      <c r="AV960" s="511"/>
      <c r="AW960" s="511"/>
      <c r="AX960" s="511"/>
      <c r="AY960" s="511"/>
      <c r="AZ960" s="511"/>
      <c r="BA960" s="511"/>
      <c r="BB960" s="511"/>
      <c r="BC960" s="511"/>
      <c r="BD960" s="511"/>
      <c r="BE960" s="511"/>
    </row>
    <row r="961" ht="15.75" customHeight="1">
      <c r="A961" s="511"/>
      <c r="B961" s="511"/>
      <c r="C961" s="511"/>
      <c r="D961" s="511"/>
      <c r="E961" s="511"/>
      <c r="F961" s="511"/>
      <c r="G961" s="511"/>
      <c r="H961" s="511"/>
      <c r="I961" s="511"/>
      <c r="J961" s="511"/>
      <c r="K961" s="511"/>
      <c r="L961" s="511"/>
      <c r="M961" s="511"/>
      <c r="N961" s="511"/>
      <c r="O961" s="511"/>
      <c r="P961" s="511"/>
      <c r="Q961" s="511"/>
      <c r="R961" s="511"/>
      <c r="S961" s="511"/>
      <c r="T961" s="511"/>
      <c r="U961" s="511"/>
      <c r="V961" s="511"/>
      <c r="W961" s="511"/>
      <c r="X961" s="511"/>
      <c r="Y961" s="511"/>
      <c r="Z961" s="511"/>
      <c r="AA961" s="511"/>
      <c r="AB961" s="511"/>
      <c r="AC961" s="511"/>
      <c r="AD961" s="511"/>
      <c r="AE961" s="511"/>
      <c r="AF961" s="511"/>
      <c r="AG961" s="511"/>
      <c r="AH961" s="511"/>
      <c r="AI961" s="511"/>
      <c r="AJ961" s="511"/>
      <c r="AK961" s="511"/>
      <c r="AL961" s="511"/>
      <c r="AM961" s="511"/>
      <c r="AN961" s="511"/>
      <c r="AO961" s="511"/>
      <c r="AP961" s="511"/>
      <c r="AQ961" s="511"/>
      <c r="AR961" s="511"/>
      <c r="AS961" s="511"/>
      <c r="AT961" s="511"/>
      <c r="AU961" s="511"/>
      <c r="AV961" s="511"/>
      <c r="AW961" s="511"/>
      <c r="AX961" s="511"/>
      <c r="AY961" s="511"/>
      <c r="AZ961" s="511"/>
      <c r="BA961" s="511"/>
      <c r="BB961" s="511"/>
      <c r="BC961" s="511"/>
      <c r="BD961" s="511"/>
      <c r="BE961" s="511"/>
    </row>
    <row r="962" ht="15.75" customHeight="1">
      <c r="A962" s="511"/>
      <c r="B962" s="511"/>
      <c r="C962" s="511"/>
      <c r="D962" s="511"/>
      <c r="E962" s="511"/>
      <c r="F962" s="511"/>
      <c r="G962" s="511"/>
      <c r="H962" s="511"/>
      <c r="I962" s="511"/>
      <c r="J962" s="511"/>
      <c r="K962" s="511"/>
      <c r="L962" s="511"/>
      <c r="M962" s="511"/>
      <c r="N962" s="511"/>
      <c r="O962" s="511"/>
      <c r="P962" s="511"/>
      <c r="Q962" s="511"/>
      <c r="R962" s="511"/>
      <c r="S962" s="511"/>
      <c r="T962" s="511"/>
      <c r="U962" s="511"/>
      <c r="V962" s="511"/>
      <c r="W962" s="511"/>
      <c r="X962" s="511"/>
      <c r="Y962" s="511"/>
      <c r="Z962" s="511"/>
      <c r="AA962" s="511"/>
      <c r="AB962" s="511"/>
      <c r="AC962" s="511"/>
      <c r="AD962" s="511"/>
      <c r="AE962" s="511"/>
      <c r="AF962" s="511"/>
      <c r="AG962" s="511"/>
      <c r="AH962" s="511"/>
      <c r="AI962" s="511"/>
      <c r="AJ962" s="511"/>
      <c r="AK962" s="511"/>
      <c r="AL962" s="511"/>
      <c r="AM962" s="511"/>
      <c r="AN962" s="511"/>
      <c r="AO962" s="511"/>
      <c r="AP962" s="511"/>
      <c r="AQ962" s="511"/>
      <c r="AR962" s="511"/>
      <c r="AS962" s="511"/>
      <c r="AT962" s="511"/>
      <c r="AU962" s="511"/>
      <c r="AV962" s="511"/>
      <c r="AW962" s="511"/>
      <c r="AX962" s="511"/>
      <c r="AY962" s="511"/>
      <c r="AZ962" s="511"/>
      <c r="BA962" s="511"/>
      <c r="BB962" s="511"/>
      <c r="BC962" s="511"/>
      <c r="BD962" s="511"/>
      <c r="BE962" s="511"/>
    </row>
    <row r="963" ht="15.75" customHeight="1">
      <c r="A963" s="511"/>
      <c r="B963" s="511"/>
      <c r="C963" s="511"/>
      <c r="D963" s="511"/>
      <c r="E963" s="511"/>
      <c r="F963" s="511"/>
      <c r="G963" s="511"/>
      <c r="H963" s="511"/>
      <c r="I963" s="511"/>
      <c r="J963" s="511"/>
      <c r="K963" s="511"/>
      <c r="L963" s="511"/>
      <c r="M963" s="511"/>
      <c r="N963" s="511"/>
      <c r="O963" s="511"/>
      <c r="P963" s="511"/>
      <c r="Q963" s="511"/>
      <c r="R963" s="511"/>
      <c r="S963" s="511"/>
      <c r="T963" s="511"/>
      <c r="U963" s="511"/>
      <c r="V963" s="511"/>
      <c r="W963" s="511"/>
      <c r="X963" s="511"/>
      <c r="Y963" s="511"/>
      <c r="Z963" s="511"/>
      <c r="AA963" s="511"/>
      <c r="AB963" s="511"/>
      <c r="AC963" s="511"/>
      <c r="AD963" s="511"/>
      <c r="AE963" s="511"/>
      <c r="AF963" s="511"/>
      <c r="AG963" s="511"/>
      <c r="AH963" s="511"/>
      <c r="AI963" s="511"/>
      <c r="AJ963" s="511"/>
      <c r="AK963" s="511"/>
      <c r="AL963" s="511"/>
      <c r="AM963" s="511"/>
      <c r="AN963" s="511"/>
      <c r="AO963" s="511"/>
      <c r="AP963" s="511"/>
      <c r="AQ963" s="511"/>
      <c r="AR963" s="511"/>
      <c r="AS963" s="511"/>
      <c r="AT963" s="511"/>
      <c r="AU963" s="511"/>
      <c r="AV963" s="511"/>
      <c r="AW963" s="511"/>
      <c r="AX963" s="511"/>
      <c r="AY963" s="511"/>
      <c r="AZ963" s="511"/>
      <c r="BA963" s="511"/>
      <c r="BB963" s="511"/>
      <c r="BC963" s="511"/>
      <c r="BD963" s="511"/>
      <c r="BE963" s="511"/>
    </row>
    <row r="964" ht="15.75" customHeight="1">
      <c r="A964" s="511"/>
      <c r="B964" s="511"/>
      <c r="C964" s="511"/>
      <c r="D964" s="511"/>
      <c r="E964" s="511"/>
      <c r="F964" s="511"/>
      <c r="G964" s="511"/>
      <c r="H964" s="511"/>
      <c r="I964" s="511"/>
      <c r="J964" s="511"/>
      <c r="K964" s="511"/>
      <c r="L964" s="511"/>
      <c r="M964" s="511"/>
      <c r="N964" s="511"/>
      <c r="O964" s="511"/>
      <c r="P964" s="511"/>
      <c r="Q964" s="511"/>
      <c r="R964" s="511"/>
      <c r="S964" s="511"/>
      <c r="T964" s="511"/>
      <c r="U964" s="511"/>
      <c r="V964" s="511"/>
      <c r="W964" s="511"/>
      <c r="X964" s="511"/>
      <c r="Y964" s="511"/>
      <c r="Z964" s="511"/>
      <c r="AA964" s="511"/>
      <c r="AB964" s="511"/>
      <c r="AC964" s="511"/>
      <c r="AD964" s="511"/>
      <c r="AE964" s="511"/>
      <c r="AF964" s="511"/>
      <c r="AG964" s="511"/>
      <c r="AH964" s="511"/>
      <c r="AI964" s="511"/>
      <c r="AJ964" s="511"/>
      <c r="AK964" s="511"/>
      <c r="AL964" s="511"/>
      <c r="AM964" s="511"/>
      <c r="AN964" s="511"/>
      <c r="AO964" s="511"/>
      <c r="AP964" s="511"/>
      <c r="AQ964" s="511"/>
      <c r="AR964" s="511"/>
      <c r="AS964" s="511"/>
      <c r="AT964" s="511"/>
      <c r="AU964" s="511"/>
      <c r="AV964" s="511"/>
      <c r="AW964" s="511"/>
      <c r="AX964" s="511"/>
      <c r="AY964" s="511"/>
      <c r="AZ964" s="511"/>
      <c r="BA964" s="511"/>
      <c r="BB964" s="511"/>
      <c r="BC964" s="511"/>
      <c r="BD964" s="511"/>
      <c r="BE964" s="511"/>
    </row>
    <row r="965" ht="15.75" customHeight="1">
      <c r="A965" s="511"/>
      <c r="B965" s="511"/>
      <c r="C965" s="511"/>
      <c r="D965" s="511"/>
      <c r="E965" s="511"/>
      <c r="F965" s="511"/>
      <c r="G965" s="511"/>
      <c r="H965" s="511"/>
      <c r="I965" s="511"/>
      <c r="J965" s="511"/>
      <c r="K965" s="511"/>
      <c r="L965" s="511"/>
      <c r="M965" s="511"/>
      <c r="N965" s="511"/>
      <c r="O965" s="511"/>
      <c r="P965" s="511"/>
      <c r="Q965" s="511"/>
      <c r="R965" s="511"/>
      <c r="S965" s="511"/>
      <c r="T965" s="511"/>
      <c r="U965" s="511"/>
      <c r="V965" s="511"/>
      <c r="W965" s="511"/>
      <c r="X965" s="511"/>
      <c r="Y965" s="511"/>
      <c r="Z965" s="511"/>
      <c r="AA965" s="511"/>
      <c r="AB965" s="511"/>
      <c r="AC965" s="511"/>
      <c r="AD965" s="511"/>
      <c r="AE965" s="511"/>
      <c r="AF965" s="511"/>
      <c r="AG965" s="511"/>
      <c r="AH965" s="511"/>
      <c r="AI965" s="511"/>
      <c r="AJ965" s="511"/>
      <c r="AK965" s="511"/>
      <c r="AL965" s="511"/>
      <c r="AM965" s="511"/>
      <c r="AN965" s="511"/>
      <c r="AO965" s="511"/>
      <c r="AP965" s="511"/>
      <c r="AQ965" s="511"/>
      <c r="AR965" s="511"/>
      <c r="AS965" s="511"/>
      <c r="AT965" s="511"/>
      <c r="AU965" s="511"/>
      <c r="AV965" s="511"/>
      <c r="AW965" s="511"/>
      <c r="AX965" s="511"/>
      <c r="AY965" s="511"/>
      <c r="AZ965" s="511"/>
      <c r="BA965" s="511"/>
      <c r="BB965" s="511"/>
      <c r="BC965" s="511"/>
      <c r="BD965" s="511"/>
      <c r="BE965" s="511"/>
    </row>
    <row r="966" ht="15.75" customHeight="1">
      <c r="A966" s="511"/>
      <c r="B966" s="511"/>
      <c r="C966" s="511"/>
      <c r="D966" s="511"/>
      <c r="E966" s="511"/>
      <c r="F966" s="511"/>
      <c r="G966" s="511"/>
      <c r="H966" s="511"/>
      <c r="I966" s="511"/>
      <c r="J966" s="511"/>
      <c r="K966" s="511"/>
      <c r="L966" s="511"/>
      <c r="M966" s="511"/>
      <c r="N966" s="511"/>
      <c r="O966" s="511"/>
      <c r="P966" s="511"/>
      <c r="Q966" s="511"/>
      <c r="R966" s="511"/>
      <c r="S966" s="511"/>
      <c r="T966" s="511"/>
      <c r="U966" s="511"/>
      <c r="V966" s="511"/>
      <c r="W966" s="511"/>
      <c r="X966" s="511"/>
      <c r="Y966" s="511"/>
      <c r="Z966" s="511"/>
      <c r="AA966" s="511"/>
      <c r="AB966" s="511"/>
      <c r="AC966" s="511"/>
      <c r="AD966" s="511"/>
      <c r="AE966" s="511"/>
      <c r="AF966" s="511"/>
      <c r="AG966" s="511"/>
      <c r="AH966" s="511"/>
      <c r="AI966" s="511"/>
      <c r="AJ966" s="511"/>
      <c r="AK966" s="511"/>
      <c r="AL966" s="511"/>
      <c r="AM966" s="511"/>
      <c r="AN966" s="511"/>
      <c r="AO966" s="511"/>
      <c r="AP966" s="511"/>
      <c r="AQ966" s="511"/>
      <c r="AR966" s="511"/>
      <c r="AS966" s="511"/>
      <c r="AT966" s="511"/>
      <c r="AU966" s="511"/>
      <c r="AV966" s="511"/>
      <c r="AW966" s="511"/>
      <c r="AX966" s="511"/>
      <c r="AY966" s="511"/>
      <c r="AZ966" s="511"/>
      <c r="BA966" s="511"/>
      <c r="BB966" s="511"/>
      <c r="BC966" s="511"/>
      <c r="BD966" s="511"/>
      <c r="BE966" s="511"/>
    </row>
    <row r="967" ht="15.75" customHeight="1">
      <c r="A967" s="511"/>
      <c r="B967" s="511"/>
      <c r="C967" s="511"/>
      <c r="D967" s="511"/>
      <c r="E967" s="511"/>
      <c r="F967" s="511"/>
      <c r="G967" s="511"/>
      <c r="H967" s="511"/>
      <c r="I967" s="511"/>
      <c r="J967" s="511"/>
      <c r="K967" s="511"/>
      <c r="L967" s="511"/>
      <c r="M967" s="511"/>
      <c r="N967" s="511"/>
      <c r="O967" s="511"/>
      <c r="P967" s="511"/>
      <c r="Q967" s="511"/>
      <c r="R967" s="511"/>
      <c r="S967" s="511"/>
      <c r="T967" s="511"/>
      <c r="U967" s="511"/>
      <c r="V967" s="511"/>
      <c r="W967" s="511"/>
      <c r="X967" s="511"/>
      <c r="Y967" s="511"/>
      <c r="Z967" s="511"/>
      <c r="AA967" s="511"/>
      <c r="AB967" s="511"/>
      <c r="AC967" s="511"/>
      <c r="AD967" s="511"/>
      <c r="AE967" s="511"/>
      <c r="AF967" s="511"/>
      <c r="AG967" s="511"/>
      <c r="AH967" s="511"/>
      <c r="AI967" s="511"/>
      <c r="AJ967" s="511"/>
      <c r="AK967" s="511"/>
      <c r="AL967" s="511"/>
      <c r="AM967" s="511"/>
      <c r="AN967" s="511"/>
      <c r="AO967" s="511"/>
      <c r="AP967" s="511"/>
      <c r="AQ967" s="511"/>
      <c r="AR967" s="511"/>
      <c r="AS967" s="511"/>
      <c r="AT967" s="511"/>
      <c r="AU967" s="511"/>
      <c r="AV967" s="511"/>
      <c r="AW967" s="511"/>
      <c r="AX967" s="511"/>
      <c r="AY967" s="511"/>
      <c r="AZ967" s="511"/>
      <c r="BA967" s="511"/>
      <c r="BB967" s="511"/>
      <c r="BC967" s="511"/>
      <c r="BD967" s="511"/>
      <c r="BE967" s="511"/>
    </row>
    <row r="968" ht="15.75" customHeight="1">
      <c r="A968" s="511"/>
      <c r="B968" s="511"/>
      <c r="C968" s="511"/>
      <c r="D968" s="511"/>
      <c r="E968" s="511"/>
      <c r="F968" s="511"/>
      <c r="G968" s="511"/>
      <c r="H968" s="511"/>
      <c r="I968" s="511"/>
      <c r="J968" s="511"/>
      <c r="K968" s="511"/>
      <c r="L968" s="511"/>
      <c r="M968" s="511"/>
      <c r="N968" s="511"/>
      <c r="O968" s="511"/>
      <c r="P968" s="511"/>
      <c r="Q968" s="511"/>
      <c r="R968" s="511"/>
      <c r="S968" s="511"/>
      <c r="T968" s="511"/>
      <c r="U968" s="511"/>
      <c r="V968" s="511"/>
      <c r="W968" s="511"/>
      <c r="X968" s="511"/>
      <c r="Y968" s="511"/>
      <c r="Z968" s="511"/>
      <c r="AA968" s="511"/>
      <c r="AB968" s="511"/>
      <c r="AC968" s="511"/>
      <c r="AD968" s="511"/>
      <c r="AE968" s="511"/>
      <c r="AF968" s="511"/>
      <c r="AG968" s="511"/>
      <c r="AH968" s="511"/>
      <c r="AI968" s="511"/>
      <c r="AJ968" s="511"/>
      <c r="AK968" s="511"/>
      <c r="AL968" s="511"/>
      <c r="AM968" s="511"/>
      <c r="AN968" s="511"/>
      <c r="AO968" s="511"/>
      <c r="AP968" s="511"/>
      <c r="AQ968" s="511"/>
      <c r="AR968" s="511"/>
      <c r="AS968" s="511"/>
      <c r="AT968" s="511"/>
      <c r="AU968" s="511"/>
      <c r="AV968" s="511"/>
      <c r="AW968" s="511"/>
      <c r="AX968" s="511"/>
      <c r="AY968" s="511"/>
      <c r="AZ968" s="511"/>
      <c r="BA968" s="511"/>
      <c r="BB968" s="511"/>
      <c r="BC968" s="511"/>
      <c r="BD968" s="511"/>
      <c r="BE968" s="511"/>
    </row>
    <row r="969" ht="15.75" customHeight="1">
      <c r="A969" s="511"/>
      <c r="B969" s="511"/>
      <c r="C969" s="511"/>
      <c r="D969" s="511"/>
      <c r="E969" s="511"/>
      <c r="F969" s="511"/>
      <c r="G969" s="511"/>
      <c r="H969" s="511"/>
      <c r="I969" s="511"/>
      <c r="J969" s="511"/>
      <c r="K969" s="511"/>
      <c r="L969" s="511"/>
      <c r="M969" s="511"/>
      <c r="N969" s="511"/>
      <c r="O969" s="511"/>
      <c r="P969" s="511"/>
      <c r="Q969" s="511"/>
      <c r="R969" s="511"/>
      <c r="S969" s="511"/>
      <c r="T969" s="511"/>
      <c r="U969" s="511"/>
      <c r="V969" s="511"/>
      <c r="W969" s="511"/>
      <c r="X969" s="511"/>
      <c r="Y969" s="511"/>
      <c r="Z969" s="511"/>
      <c r="AA969" s="511"/>
      <c r="AB969" s="511"/>
      <c r="AC969" s="511"/>
      <c r="AD969" s="511"/>
      <c r="AE969" s="511"/>
      <c r="AF969" s="511"/>
      <c r="AG969" s="511"/>
      <c r="AH969" s="511"/>
      <c r="AI969" s="511"/>
      <c r="AJ969" s="511"/>
      <c r="AK969" s="511"/>
      <c r="AL969" s="511"/>
      <c r="AM969" s="511"/>
      <c r="AN969" s="511"/>
      <c r="AO969" s="511"/>
      <c r="AP969" s="511"/>
      <c r="AQ969" s="511"/>
      <c r="AR969" s="511"/>
      <c r="AS969" s="511"/>
      <c r="AT969" s="511"/>
      <c r="AU969" s="511"/>
      <c r="AV969" s="511"/>
      <c r="AW969" s="511"/>
      <c r="AX969" s="511"/>
      <c r="AY969" s="511"/>
      <c r="AZ969" s="511"/>
      <c r="BA969" s="511"/>
      <c r="BB969" s="511"/>
      <c r="BC969" s="511"/>
      <c r="BD969" s="511"/>
      <c r="BE969" s="511"/>
    </row>
    <row r="970" ht="15.75" customHeight="1">
      <c r="A970" s="511"/>
      <c r="B970" s="511"/>
      <c r="C970" s="511"/>
      <c r="D970" s="511"/>
      <c r="E970" s="511"/>
      <c r="F970" s="511"/>
      <c r="G970" s="511"/>
      <c r="H970" s="511"/>
      <c r="I970" s="511"/>
      <c r="J970" s="511"/>
      <c r="K970" s="511"/>
      <c r="L970" s="511"/>
      <c r="M970" s="511"/>
      <c r="N970" s="511"/>
      <c r="O970" s="511"/>
      <c r="P970" s="511"/>
      <c r="Q970" s="511"/>
      <c r="R970" s="511"/>
      <c r="S970" s="511"/>
      <c r="T970" s="511"/>
      <c r="U970" s="511"/>
      <c r="V970" s="511"/>
      <c r="W970" s="511"/>
      <c r="X970" s="511"/>
      <c r="Y970" s="511"/>
      <c r="Z970" s="511"/>
      <c r="AA970" s="511"/>
      <c r="AB970" s="511"/>
      <c r="AC970" s="511"/>
      <c r="AD970" s="511"/>
      <c r="AE970" s="511"/>
      <c r="AF970" s="511"/>
      <c r="AG970" s="511"/>
      <c r="AH970" s="511"/>
      <c r="AI970" s="511"/>
      <c r="AJ970" s="511"/>
      <c r="AK970" s="511"/>
      <c r="AL970" s="511"/>
      <c r="AM970" s="511"/>
      <c r="AN970" s="511"/>
      <c r="AO970" s="511"/>
      <c r="AP970" s="511"/>
      <c r="AQ970" s="511"/>
      <c r="AR970" s="511"/>
      <c r="AS970" s="511"/>
      <c r="AT970" s="511"/>
      <c r="AU970" s="511"/>
      <c r="AV970" s="511"/>
      <c r="AW970" s="511"/>
      <c r="AX970" s="511"/>
      <c r="AY970" s="511"/>
      <c r="AZ970" s="511"/>
      <c r="BA970" s="511"/>
      <c r="BB970" s="511"/>
      <c r="BC970" s="511"/>
      <c r="BD970" s="511"/>
      <c r="BE970" s="511"/>
    </row>
    <row r="971" ht="15.75" customHeight="1">
      <c r="A971" s="511"/>
      <c r="B971" s="511"/>
      <c r="C971" s="511"/>
      <c r="D971" s="511"/>
      <c r="E971" s="511"/>
      <c r="F971" s="511"/>
      <c r="G971" s="511"/>
      <c r="H971" s="511"/>
      <c r="I971" s="511"/>
      <c r="J971" s="511"/>
      <c r="K971" s="511"/>
      <c r="L971" s="511"/>
      <c r="M971" s="511"/>
      <c r="N971" s="511"/>
      <c r="O971" s="511"/>
      <c r="P971" s="511"/>
      <c r="Q971" s="511"/>
      <c r="R971" s="511"/>
      <c r="S971" s="511"/>
      <c r="T971" s="511"/>
      <c r="U971" s="511"/>
      <c r="V971" s="511"/>
      <c r="W971" s="511"/>
      <c r="X971" s="511"/>
      <c r="Y971" s="511"/>
      <c r="Z971" s="511"/>
      <c r="AA971" s="511"/>
      <c r="AB971" s="511"/>
      <c r="AC971" s="511"/>
      <c r="AD971" s="511"/>
      <c r="AE971" s="511"/>
      <c r="AF971" s="511"/>
      <c r="AG971" s="511"/>
      <c r="AH971" s="511"/>
      <c r="AI971" s="511"/>
      <c r="AJ971" s="511"/>
      <c r="AK971" s="511"/>
      <c r="AL971" s="511"/>
      <c r="AM971" s="511"/>
      <c r="AN971" s="511"/>
      <c r="AO971" s="511"/>
      <c r="AP971" s="511"/>
      <c r="AQ971" s="511"/>
      <c r="AR971" s="511"/>
      <c r="AS971" s="511"/>
      <c r="AT971" s="511"/>
      <c r="AU971" s="511"/>
      <c r="AV971" s="511"/>
      <c r="AW971" s="511"/>
      <c r="AX971" s="511"/>
      <c r="AY971" s="511"/>
      <c r="AZ971" s="511"/>
      <c r="BA971" s="511"/>
      <c r="BB971" s="511"/>
      <c r="BC971" s="511"/>
      <c r="BD971" s="511"/>
      <c r="BE971" s="511"/>
    </row>
    <row r="972" ht="15.75" customHeight="1">
      <c r="A972" s="511"/>
      <c r="B972" s="511"/>
      <c r="C972" s="511"/>
      <c r="D972" s="511"/>
      <c r="E972" s="511"/>
      <c r="F972" s="511"/>
      <c r="G972" s="511"/>
      <c r="H972" s="511"/>
      <c r="I972" s="511"/>
      <c r="J972" s="511"/>
      <c r="K972" s="511"/>
      <c r="L972" s="511"/>
      <c r="M972" s="511"/>
      <c r="N972" s="511"/>
      <c r="O972" s="511"/>
      <c r="P972" s="511"/>
      <c r="Q972" s="511"/>
      <c r="R972" s="511"/>
      <c r="S972" s="511"/>
      <c r="T972" s="511"/>
      <c r="U972" s="511"/>
      <c r="V972" s="511"/>
      <c r="W972" s="511"/>
      <c r="X972" s="511"/>
      <c r="Y972" s="511"/>
      <c r="Z972" s="511"/>
      <c r="AA972" s="511"/>
      <c r="AB972" s="511"/>
      <c r="AC972" s="511"/>
      <c r="AD972" s="511"/>
      <c r="AE972" s="511"/>
      <c r="AF972" s="511"/>
      <c r="AG972" s="511"/>
      <c r="AH972" s="511"/>
      <c r="AI972" s="511"/>
      <c r="AJ972" s="511"/>
      <c r="AK972" s="511"/>
      <c r="AL972" s="511"/>
      <c r="AM972" s="511"/>
      <c r="AN972" s="511"/>
      <c r="AO972" s="511"/>
      <c r="AP972" s="511"/>
      <c r="AQ972" s="511"/>
      <c r="AR972" s="511"/>
      <c r="AS972" s="511"/>
      <c r="AT972" s="511"/>
      <c r="AU972" s="511"/>
      <c r="AV972" s="511"/>
      <c r="AW972" s="511"/>
      <c r="AX972" s="511"/>
      <c r="AY972" s="511"/>
      <c r="AZ972" s="511"/>
      <c r="BA972" s="511"/>
      <c r="BB972" s="511"/>
      <c r="BC972" s="511"/>
      <c r="BD972" s="511"/>
      <c r="BE972" s="511"/>
    </row>
    <row r="973" ht="15.75" customHeight="1">
      <c r="A973" s="511"/>
      <c r="B973" s="511"/>
      <c r="C973" s="511"/>
      <c r="D973" s="511"/>
      <c r="E973" s="511"/>
      <c r="F973" s="511"/>
      <c r="G973" s="511"/>
      <c r="H973" s="511"/>
      <c r="I973" s="511"/>
      <c r="J973" s="511"/>
      <c r="K973" s="511"/>
      <c r="L973" s="511"/>
      <c r="M973" s="511"/>
      <c r="N973" s="511"/>
      <c r="O973" s="511"/>
      <c r="P973" s="511"/>
      <c r="Q973" s="511"/>
      <c r="R973" s="511"/>
      <c r="S973" s="511"/>
      <c r="T973" s="511"/>
      <c r="U973" s="511"/>
      <c r="V973" s="511"/>
      <c r="W973" s="511"/>
      <c r="X973" s="511"/>
      <c r="Y973" s="511"/>
      <c r="Z973" s="511"/>
      <c r="AA973" s="511"/>
      <c r="AB973" s="511"/>
      <c r="AC973" s="511"/>
      <c r="AD973" s="511"/>
      <c r="AE973" s="511"/>
      <c r="AF973" s="511"/>
      <c r="AG973" s="511"/>
      <c r="AH973" s="511"/>
      <c r="AI973" s="511"/>
      <c r="AJ973" s="511"/>
      <c r="AK973" s="511"/>
      <c r="AL973" s="511"/>
      <c r="AM973" s="511"/>
      <c r="AN973" s="511"/>
      <c r="AO973" s="511"/>
      <c r="AP973" s="511"/>
      <c r="AQ973" s="511"/>
      <c r="AR973" s="511"/>
      <c r="AS973" s="511"/>
      <c r="AT973" s="511"/>
      <c r="AU973" s="511"/>
      <c r="AV973" s="511"/>
      <c r="AW973" s="511"/>
      <c r="AX973" s="511"/>
      <c r="AY973" s="511"/>
      <c r="AZ973" s="511"/>
      <c r="BA973" s="511"/>
      <c r="BB973" s="511"/>
      <c r="BC973" s="511"/>
      <c r="BD973" s="511"/>
      <c r="BE973" s="511"/>
    </row>
    <row r="974" ht="15.75" customHeight="1">
      <c r="A974" s="511"/>
      <c r="B974" s="511"/>
      <c r="C974" s="511"/>
      <c r="D974" s="511"/>
      <c r="E974" s="511"/>
      <c r="F974" s="511"/>
      <c r="G974" s="511"/>
      <c r="H974" s="511"/>
      <c r="I974" s="511"/>
      <c r="J974" s="511"/>
      <c r="K974" s="511"/>
      <c r="L974" s="511"/>
      <c r="M974" s="511"/>
      <c r="N974" s="511"/>
      <c r="O974" s="511"/>
      <c r="P974" s="511"/>
      <c r="Q974" s="511"/>
      <c r="R974" s="511"/>
      <c r="S974" s="511"/>
      <c r="T974" s="511"/>
      <c r="U974" s="511"/>
      <c r="V974" s="511"/>
      <c r="W974" s="511"/>
      <c r="X974" s="511"/>
      <c r="Y974" s="511"/>
      <c r="Z974" s="511"/>
      <c r="AA974" s="511"/>
      <c r="AB974" s="511"/>
      <c r="AC974" s="511"/>
      <c r="AD974" s="511"/>
      <c r="AE974" s="511"/>
      <c r="AF974" s="511"/>
      <c r="AG974" s="511"/>
      <c r="AH974" s="511"/>
      <c r="AI974" s="511"/>
      <c r="AJ974" s="511"/>
      <c r="AK974" s="511"/>
      <c r="AL974" s="511"/>
      <c r="AM974" s="511"/>
      <c r="AN974" s="511"/>
      <c r="AO974" s="511"/>
      <c r="AP974" s="511"/>
      <c r="AQ974" s="511"/>
      <c r="AR974" s="511"/>
      <c r="AS974" s="511"/>
      <c r="AT974" s="511"/>
      <c r="AU974" s="511"/>
      <c r="AV974" s="511"/>
      <c r="AW974" s="511"/>
      <c r="AX974" s="511"/>
      <c r="AY974" s="511"/>
      <c r="AZ974" s="511"/>
      <c r="BA974" s="511"/>
      <c r="BB974" s="511"/>
      <c r="BC974" s="511"/>
      <c r="BD974" s="511"/>
      <c r="BE974" s="511"/>
    </row>
    <row r="975" ht="15.75" customHeight="1">
      <c r="A975" s="511"/>
      <c r="B975" s="511"/>
      <c r="C975" s="511"/>
      <c r="D975" s="511"/>
      <c r="E975" s="511"/>
      <c r="F975" s="511"/>
      <c r="G975" s="511"/>
      <c r="H975" s="511"/>
      <c r="I975" s="511"/>
      <c r="J975" s="511"/>
      <c r="K975" s="511"/>
      <c r="L975" s="511"/>
      <c r="M975" s="511"/>
      <c r="N975" s="511"/>
      <c r="O975" s="511"/>
      <c r="P975" s="511"/>
      <c r="Q975" s="511"/>
      <c r="R975" s="511"/>
      <c r="S975" s="511"/>
      <c r="T975" s="511"/>
      <c r="U975" s="511"/>
      <c r="V975" s="511"/>
      <c r="W975" s="511"/>
      <c r="X975" s="511"/>
      <c r="Y975" s="511"/>
      <c r="Z975" s="511"/>
      <c r="AA975" s="511"/>
      <c r="AB975" s="511"/>
      <c r="AC975" s="511"/>
      <c r="AD975" s="511"/>
      <c r="AE975" s="511"/>
      <c r="AF975" s="511"/>
      <c r="AG975" s="511"/>
      <c r="AH975" s="511"/>
      <c r="AI975" s="511"/>
      <c r="AJ975" s="511"/>
      <c r="AK975" s="511"/>
      <c r="AL975" s="511"/>
      <c r="AM975" s="511"/>
      <c r="AN975" s="511"/>
      <c r="AO975" s="511"/>
      <c r="AP975" s="511"/>
      <c r="AQ975" s="511"/>
      <c r="AR975" s="511"/>
      <c r="AS975" s="511"/>
      <c r="AT975" s="511"/>
      <c r="AU975" s="511"/>
      <c r="AV975" s="511"/>
      <c r="AW975" s="511"/>
      <c r="AX975" s="511"/>
      <c r="AY975" s="511"/>
      <c r="AZ975" s="511"/>
      <c r="BA975" s="511"/>
      <c r="BB975" s="511"/>
      <c r="BC975" s="511"/>
      <c r="BD975" s="511"/>
      <c r="BE975" s="511"/>
    </row>
    <row r="976" ht="15.75" customHeight="1">
      <c r="A976" s="511"/>
      <c r="B976" s="511"/>
      <c r="C976" s="511"/>
      <c r="D976" s="511"/>
      <c r="E976" s="511"/>
      <c r="F976" s="511"/>
      <c r="G976" s="511"/>
      <c r="H976" s="511"/>
      <c r="I976" s="511"/>
      <c r="J976" s="511"/>
      <c r="K976" s="511"/>
      <c r="L976" s="511"/>
      <c r="M976" s="511"/>
      <c r="N976" s="511"/>
      <c r="O976" s="511"/>
      <c r="P976" s="511"/>
      <c r="Q976" s="511"/>
      <c r="R976" s="511"/>
      <c r="S976" s="511"/>
      <c r="T976" s="511"/>
      <c r="U976" s="511"/>
      <c r="V976" s="511"/>
      <c r="W976" s="511"/>
      <c r="X976" s="511"/>
      <c r="Y976" s="511"/>
      <c r="Z976" s="511"/>
      <c r="AA976" s="511"/>
      <c r="AB976" s="511"/>
      <c r="AC976" s="511"/>
      <c r="AD976" s="511"/>
      <c r="AE976" s="511"/>
      <c r="AF976" s="511"/>
      <c r="AG976" s="511"/>
      <c r="AH976" s="511"/>
      <c r="AI976" s="511"/>
      <c r="AJ976" s="511"/>
      <c r="AK976" s="511"/>
      <c r="AL976" s="511"/>
      <c r="AM976" s="511"/>
      <c r="AN976" s="511"/>
      <c r="AO976" s="511"/>
      <c r="AP976" s="511"/>
      <c r="AQ976" s="511"/>
      <c r="AR976" s="511"/>
      <c r="AS976" s="511"/>
      <c r="AT976" s="511"/>
      <c r="AU976" s="511"/>
      <c r="AV976" s="511"/>
      <c r="AW976" s="511"/>
      <c r="AX976" s="511"/>
      <c r="AY976" s="511"/>
      <c r="AZ976" s="511"/>
      <c r="BA976" s="511"/>
      <c r="BB976" s="511"/>
      <c r="BC976" s="511"/>
      <c r="BD976" s="511"/>
      <c r="BE976" s="511"/>
    </row>
    <row r="977" ht="15.75" customHeight="1">
      <c r="A977" s="511"/>
      <c r="B977" s="511"/>
      <c r="C977" s="511"/>
      <c r="D977" s="511"/>
      <c r="E977" s="511"/>
      <c r="F977" s="511"/>
      <c r="G977" s="511"/>
      <c r="H977" s="511"/>
      <c r="I977" s="511"/>
      <c r="J977" s="511"/>
      <c r="K977" s="511"/>
      <c r="L977" s="511"/>
      <c r="M977" s="511"/>
      <c r="N977" s="511"/>
      <c r="O977" s="511"/>
      <c r="P977" s="511"/>
      <c r="Q977" s="511"/>
      <c r="R977" s="511"/>
      <c r="S977" s="511"/>
      <c r="T977" s="511"/>
      <c r="U977" s="511"/>
      <c r="V977" s="511"/>
      <c r="W977" s="511"/>
      <c r="X977" s="511"/>
      <c r="Y977" s="511"/>
      <c r="Z977" s="511"/>
      <c r="AA977" s="511"/>
      <c r="AB977" s="511"/>
      <c r="AC977" s="511"/>
      <c r="AD977" s="511"/>
      <c r="AE977" s="511"/>
      <c r="AF977" s="511"/>
      <c r="AG977" s="511"/>
      <c r="AH977" s="511"/>
      <c r="AI977" s="511"/>
      <c r="AJ977" s="511"/>
      <c r="AK977" s="511"/>
      <c r="AL977" s="511"/>
      <c r="AM977" s="511"/>
      <c r="AN977" s="511"/>
      <c r="AO977" s="511"/>
      <c r="AP977" s="511"/>
      <c r="AQ977" s="511"/>
      <c r="AR977" s="511"/>
      <c r="AS977" s="511"/>
      <c r="AT977" s="511"/>
      <c r="AU977" s="511"/>
      <c r="AV977" s="511"/>
      <c r="AW977" s="511"/>
      <c r="AX977" s="511"/>
      <c r="AY977" s="511"/>
      <c r="AZ977" s="511"/>
      <c r="BA977" s="511"/>
      <c r="BB977" s="511"/>
      <c r="BC977" s="511"/>
      <c r="BD977" s="511"/>
      <c r="BE977" s="511"/>
    </row>
    <row r="978" ht="15.75" customHeight="1">
      <c r="A978" s="511"/>
      <c r="B978" s="511"/>
      <c r="C978" s="511"/>
      <c r="D978" s="511"/>
      <c r="E978" s="511"/>
      <c r="F978" s="511"/>
      <c r="G978" s="511"/>
      <c r="H978" s="511"/>
      <c r="I978" s="511"/>
      <c r="J978" s="511"/>
      <c r="K978" s="511"/>
      <c r="L978" s="511"/>
      <c r="M978" s="511"/>
      <c r="N978" s="511"/>
      <c r="O978" s="511"/>
      <c r="P978" s="511"/>
      <c r="Q978" s="511"/>
      <c r="R978" s="511"/>
      <c r="S978" s="511"/>
      <c r="T978" s="511"/>
      <c r="U978" s="511"/>
      <c r="V978" s="511"/>
      <c r="W978" s="511"/>
      <c r="X978" s="511"/>
      <c r="Y978" s="511"/>
      <c r="Z978" s="511"/>
      <c r="AA978" s="511"/>
      <c r="AB978" s="511"/>
      <c r="AC978" s="511"/>
      <c r="AD978" s="511"/>
      <c r="AE978" s="511"/>
      <c r="AF978" s="511"/>
      <c r="AG978" s="511"/>
      <c r="AH978" s="511"/>
      <c r="AI978" s="511"/>
      <c r="AJ978" s="511"/>
      <c r="AK978" s="511"/>
      <c r="AL978" s="511"/>
      <c r="AM978" s="511"/>
      <c r="AN978" s="511"/>
      <c r="AO978" s="511"/>
      <c r="AP978" s="511"/>
      <c r="AQ978" s="511"/>
      <c r="AR978" s="511"/>
      <c r="AS978" s="511"/>
      <c r="AT978" s="511"/>
      <c r="AU978" s="511"/>
      <c r="AV978" s="511"/>
      <c r="AW978" s="511"/>
      <c r="AX978" s="511"/>
      <c r="AY978" s="511"/>
      <c r="AZ978" s="511"/>
      <c r="BA978" s="511"/>
      <c r="BB978" s="511"/>
      <c r="BC978" s="511"/>
      <c r="BD978" s="511"/>
      <c r="BE978" s="511"/>
    </row>
    <row r="979" ht="15.75" customHeight="1">
      <c r="A979" s="511"/>
      <c r="B979" s="511"/>
      <c r="C979" s="511"/>
      <c r="D979" s="511"/>
      <c r="E979" s="511"/>
      <c r="F979" s="511"/>
      <c r="G979" s="511"/>
      <c r="H979" s="511"/>
      <c r="I979" s="511"/>
      <c r="J979" s="511"/>
      <c r="K979" s="511"/>
      <c r="L979" s="511"/>
      <c r="M979" s="511"/>
      <c r="N979" s="511"/>
      <c r="O979" s="511"/>
      <c r="P979" s="511"/>
      <c r="Q979" s="511"/>
      <c r="R979" s="511"/>
      <c r="S979" s="511"/>
      <c r="T979" s="511"/>
      <c r="U979" s="511"/>
      <c r="V979" s="511"/>
      <c r="W979" s="511"/>
      <c r="X979" s="511"/>
      <c r="Y979" s="511"/>
      <c r="Z979" s="511"/>
      <c r="AA979" s="511"/>
      <c r="AB979" s="511"/>
      <c r="AC979" s="511"/>
      <c r="AD979" s="511"/>
      <c r="AE979" s="511"/>
      <c r="AF979" s="511"/>
      <c r="AG979" s="511"/>
      <c r="AH979" s="511"/>
      <c r="AI979" s="511"/>
      <c r="AJ979" s="511"/>
      <c r="AK979" s="511"/>
      <c r="AL979" s="511"/>
      <c r="AM979" s="511"/>
      <c r="AN979" s="511"/>
      <c r="AO979" s="511"/>
      <c r="AP979" s="511"/>
      <c r="AQ979" s="511"/>
      <c r="AR979" s="511"/>
      <c r="AS979" s="511"/>
      <c r="AT979" s="511"/>
      <c r="AU979" s="511"/>
      <c r="AV979" s="511"/>
      <c r="AW979" s="511"/>
      <c r="AX979" s="511"/>
      <c r="AY979" s="511"/>
      <c r="AZ979" s="511"/>
      <c r="BA979" s="511"/>
      <c r="BB979" s="511"/>
      <c r="BC979" s="511"/>
      <c r="BD979" s="511"/>
      <c r="BE979" s="511"/>
    </row>
    <row r="980" ht="15.75" customHeight="1">
      <c r="A980" s="511"/>
      <c r="B980" s="511"/>
      <c r="C980" s="511"/>
      <c r="D980" s="511"/>
      <c r="E980" s="511"/>
      <c r="F980" s="511"/>
      <c r="G980" s="511"/>
      <c r="H980" s="511"/>
      <c r="I980" s="511"/>
      <c r="J980" s="511"/>
      <c r="K980" s="511"/>
      <c r="L980" s="511"/>
      <c r="M980" s="511"/>
      <c r="N980" s="511"/>
      <c r="O980" s="511"/>
      <c r="P980" s="511"/>
      <c r="Q980" s="511"/>
      <c r="R980" s="511"/>
      <c r="S980" s="511"/>
      <c r="T980" s="511"/>
      <c r="U980" s="511"/>
      <c r="V980" s="511"/>
      <c r="W980" s="511"/>
      <c r="X980" s="511"/>
      <c r="Y980" s="511"/>
      <c r="Z980" s="511"/>
      <c r="AA980" s="511"/>
      <c r="AB980" s="511"/>
      <c r="AC980" s="511"/>
      <c r="AD980" s="511"/>
      <c r="AE980" s="511"/>
      <c r="AF980" s="511"/>
      <c r="AG980" s="511"/>
      <c r="AH980" s="511"/>
      <c r="AI980" s="511"/>
      <c r="AJ980" s="511"/>
      <c r="AK980" s="511"/>
      <c r="AL980" s="511"/>
      <c r="AM980" s="511"/>
      <c r="AN980" s="511"/>
      <c r="AO980" s="511"/>
      <c r="AP980" s="511"/>
      <c r="AQ980" s="511"/>
      <c r="AR980" s="511"/>
      <c r="AS980" s="511"/>
      <c r="AT980" s="511"/>
      <c r="AU980" s="511"/>
      <c r="AV980" s="511"/>
      <c r="AW980" s="511"/>
      <c r="AX980" s="511"/>
      <c r="AY980" s="511"/>
      <c r="AZ980" s="511"/>
      <c r="BA980" s="511"/>
      <c r="BB980" s="511"/>
      <c r="BC980" s="511"/>
      <c r="BD980" s="511"/>
      <c r="BE980" s="511"/>
    </row>
    <row r="981" ht="15.75" customHeight="1">
      <c r="A981" s="511"/>
      <c r="B981" s="511"/>
      <c r="C981" s="511"/>
      <c r="D981" s="511"/>
      <c r="E981" s="511"/>
      <c r="F981" s="511"/>
      <c r="G981" s="511"/>
      <c r="H981" s="511"/>
      <c r="I981" s="511"/>
      <c r="J981" s="511"/>
      <c r="K981" s="511"/>
      <c r="L981" s="511"/>
      <c r="M981" s="511"/>
      <c r="N981" s="511"/>
      <c r="O981" s="511"/>
      <c r="P981" s="511"/>
      <c r="Q981" s="511"/>
      <c r="R981" s="511"/>
      <c r="S981" s="511"/>
      <c r="T981" s="511"/>
      <c r="U981" s="511"/>
      <c r="V981" s="511"/>
      <c r="W981" s="511"/>
      <c r="X981" s="511"/>
      <c r="Y981" s="511"/>
      <c r="Z981" s="511"/>
      <c r="AA981" s="511"/>
      <c r="AB981" s="511"/>
      <c r="AC981" s="511"/>
      <c r="AD981" s="511"/>
      <c r="AE981" s="511"/>
      <c r="AF981" s="511"/>
      <c r="AG981" s="511"/>
      <c r="AH981" s="511"/>
      <c r="AI981" s="511"/>
      <c r="AJ981" s="511"/>
      <c r="AK981" s="511"/>
      <c r="AL981" s="511"/>
      <c r="AM981" s="511"/>
      <c r="AN981" s="511"/>
      <c r="AO981" s="511"/>
      <c r="AP981" s="511"/>
      <c r="AQ981" s="511"/>
      <c r="AR981" s="511"/>
      <c r="AS981" s="511"/>
      <c r="AT981" s="511"/>
      <c r="AU981" s="511"/>
      <c r="AV981" s="511"/>
      <c r="AW981" s="511"/>
      <c r="AX981" s="511"/>
      <c r="AY981" s="511"/>
      <c r="AZ981" s="511"/>
      <c r="BA981" s="511"/>
      <c r="BB981" s="511"/>
      <c r="BC981" s="511"/>
      <c r="BD981" s="511"/>
      <c r="BE981" s="511"/>
    </row>
    <row r="982" ht="15.75" customHeight="1">
      <c r="A982" s="511"/>
      <c r="B982" s="511"/>
      <c r="C982" s="511"/>
      <c r="D982" s="511"/>
      <c r="E982" s="511"/>
      <c r="F982" s="511"/>
      <c r="G982" s="511"/>
      <c r="H982" s="511"/>
      <c r="I982" s="511"/>
      <c r="J982" s="511"/>
      <c r="K982" s="511"/>
      <c r="L982" s="511"/>
      <c r="M982" s="511"/>
      <c r="N982" s="511"/>
      <c r="O982" s="511"/>
      <c r="P982" s="511"/>
      <c r="Q982" s="511"/>
      <c r="R982" s="511"/>
      <c r="S982" s="511"/>
      <c r="T982" s="511"/>
      <c r="U982" s="511"/>
      <c r="V982" s="511"/>
      <c r="W982" s="511"/>
      <c r="X982" s="511"/>
      <c r="Y982" s="511"/>
      <c r="Z982" s="511"/>
      <c r="AA982" s="511"/>
      <c r="AB982" s="511"/>
      <c r="AC982" s="511"/>
      <c r="AD982" s="511"/>
      <c r="AE982" s="511"/>
      <c r="AF982" s="511"/>
      <c r="AG982" s="511"/>
      <c r="AH982" s="511"/>
      <c r="AI982" s="511"/>
      <c r="AJ982" s="511"/>
      <c r="AK982" s="511"/>
      <c r="AL982" s="511"/>
      <c r="AM982" s="511"/>
      <c r="AN982" s="511"/>
      <c r="AO982" s="511"/>
      <c r="AP982" s="511"/>
      <c r="AQ982" s="511"/>
      <c r="AR982" s="511"/>
      <c r="AS982" s="511"/>
      <c r="AT982" s="511"/>
      <c r="AU982" s="511"/>
      <c r="AV982" s="511"/>
      <c r="AW982" s="511"/>
      <c r="AX982" s="511"/>
      <c r="AY982" s="511"/>
      <c r="AZ982" s="511"/>
      <c r="BA982" s="511"/>
      <c r="BB982" s="511"/>
      <c r="BC982" s="511"/>
      <c r="BD982" s="511"/>
      <c r="BE982" s="511"/>
    </row>
    <row r="983" ht="15.75" customHeight="1">
      <c r="A983" s="511"/>
      <c r="B983" s="511"/>
      <c r="C983" s="511"/>
      <c r="D983" s="511"/>
      <c r="E983" s="511"/>
      <c r="F983" s="511"/>
      <c r="G983" s="511"/>
      <c r="H983" s="511"/>
      <c r="I983" s="511"/>
      <c r="J983" s="511"/>
      <c r="K983" s="511"/>
      <c r="L983" s="511"/>
      <c r="M983" s="511"/>
      <c r="N983" s="511"/>
      <c r="O983" s="511"/>
      <c r="P983" s="511"/>
      <c r="Q983" s="511"/>
      <c r="R983" s="511"/>
      <c r="S983" s="511"/>
      <c r="T983" s="511"/>
      <c r="U983" s="511"/>
      <c r="V983" s="511"/>
      <c r="W983" s="511"/>
      <c r="X983" s="511"/>
      <c r="Y983" s="511"/>
      <c r="Z983" s="511"/>
      <c r="AA983" s="511"/>
      <c r="AB983" s="511"/>
      <c r="AC983" s="511"/>
      <c r="AD983" s="511"/>
      <c r="AE983" s="511"/>
      <c r="AF983" s="511"/>
      <c r="AG983" s="511"/>
      <c r="AH983" s="511"/>
      <c r="AI983" s="511"/>
      <c r="AJ983" s="511"/>
      <c r="AK983" s="511"/>
      <c r="AL983" s="511"/>
      <c r="AM983" s="511"/>
      <c r="AN983" s="511"/>
      <c r="AO983" s="511"/>
      <c r="AP983" s="511"/>
      <c r="AQ983" s="511"/>
      <c r="AR983" s="511"/>
      <c r="AS983" s="511"/>
      <c r="AT983" s="511"/>
      <c r="AU983" s="511"/>
      <c r="AV983" s="511"/>
      <c r="AW983" s="511"/>
      <c r="AX983" s="511"/>
      <c r="AY983" s="511"/>
      <c r="AZ983" s="511"/>
      <c r="BA983" s="511"/>
      <c r="BB983" s="511"/>
      <c r="BC983" s="511"/>
      <c r="BD983" s="511"/>
      <c r="BE983" s="511"/>
    </row>
    <row r="984" ht="15.75" customHeight="1">
      <c r="A984" s="511"/>
      <c r="B984" s="511"/>
      <c r="C984" s="511"/>
      <c r="D984" s="511"/>
      <c r="E984" s="511"/>
      <c r="F984" s="511"/>
      <c r="G984" s="511"/>
      <c r="H984" s="511"/>
      <c r="I984" s="511"/>
      <c r="J984" s="511"/>
      <c r="K984" s="511"/>
      <c r="L984" s="511"/>
      <c r="M984" s="511"/>
      <c r="N984" s="511"/>
      <c r="O984" s="511"/>
      <c r="P984" s="511"/>
      <c r="Q984" s="511"/>
      <c r="R984" s="511"/>
      <c r="S984" s="511"/>
      <c r="T984" s="511"/>
      <c r="U984" s="511"/>
      <c r="V984" s="511"/>
      <c r="W984" s="511"/>
      <c r="X984" s="511"/>
      <c r="Y984" s="511"/>
      <c r="Z984" s="511"/>
      <c r="AA984" s="511"/>
      <c r="AB984" s="511"/>
      <c r="AC984" s="511"/>
      <c r="AD984" s="511"/>
      <c r="AE984" s="511"/>
      <c r="AF984" s="511"/>
      <c r="AG984" s="511"/>
      <c r="AH984" s="511"/>
      <c r="AI984" s="511"/>
      <c r="AJ984" s="511"/>
      <c r="AK984" s="511"/>
      <c r="AL984" s="511"/>
      <c r="AM984" s="511"/>
      <c r="AN984" s="511"/>
      <c r="AO984" s="511"/>
      <c r="AP984" s="511"/>
      <c r="AQ984" s="511"/>
      <c r="AR984" s="511"/>
      <c r="AS984" s="511"/>
      <c r="AT984" s="511"/>
      <c r="AU984" s="511"/>
      <c r="AV984" s="511"/>
      <c r="AW984" s="511"/>
      <c r="AX984" s="511"/>
      <c r="AY984" s="511"/>
      <c r="AZ984" s="511"/>
      <c r="BA984" s="511"/>
      <c r="BB984" s="511"/>
      <c r="BC984" s="511"/>
      <c r="BD984" s="511"/>
      <c r="BE984" s="511"/>
    </row>
    <row r="985" ht="15.75" customHeight="1">
      <c r="A985" s="511"/>
      <c r="B985" s="511"/>
      <c r="C985" s="511"/>
      <c r="D985" s="511"/>
      <c r="E985" s="511"/>
      <c r="F985" s="511"/>
      <c r="G985" s="511"/>
      <c r="H985" s="511"/>
      <c r="I985" s="511"/>
      <c r="J985" s="511"/>
      <c r="K985" s="511"/>
      <c r="L985" s="511"/>
      <c r="M985" s="511"/>
      <c r="N985" s="511"/>
      <c r="O985" s="511"/>
      <c r="P985" s="511"/>
      <c r="Q985" s="511"/>
      <c r="R985" s="511"/>
      <c r="S985" s="511"/>
      <c r="T985" s="511"/>
      <c r="U985" s="511"/>
      <c r="V985" s="511"/>
      <c r="W985" s="511"/>
      <c r="X985" s="511"/>
      <c r="Y985" s="511"/>
      <c r="Z985" s="511"/>
      <c r="AA985" s="511"/>
      <c r="AB985" s="511"/>
      <c r="AC985" s="511"/>
      <c r="AD985" s="511"/>
      <c r="AE985" s="511"/>
      <c r="AF985" s="511"/>
      <c r="AG985" s="511"/>
      <c r="AH985" s="511"/>
      <c r="AI985" s="511"/>
      <c r="AJ985" s="511"/>
      <c r="AK985" s="511"/>
      <c r="AL985" s="511"/>
      <c r="AM985" s="511"/>
      <c r="AN985" s="511"/>
      <c r="AO985" s="511"/>
      <c r="AP985" s="511"/>
      <c r="AQ985" s="511"/>
      <c r="AR985" s="511"/>
      <c r="AS985" s="511"/>
      <c r="AT985" s="511"/>
      <c r="AU985" s="511"/>
      <c r="AV985" s="511"/>
      <c r="AW985" s="511"/>
      <c r="AX985" s="511"/>
      <c r="AY985" s="511"/>
      <c r="AZ985" s="511"/>
      <c r="BA985" s="511"/>
      <c r="BB985" s="511"/>
      <c r="BC985" s="511"/>
      <c r="BD985" s="511"/>
      <c r="BE985" s="511"/>
    </row>
    <row r="986" ht="15.75" customHeight="1">
      <c r="A986" s="511"/>
      <c r="B986" s="511"/>
      <c r="C986" s="511"/>
      <c r="D986" s="511"/>
      <c r="E986" s="511"/>
      <c r="F986" s="511"/>
      <c r="G986" s="511"/>
      <c r="H986" s="511"/>
      <c r="I986" s="511"/>
      <c r="J986" s="511"/>
      <c r="K986" s="511"/>
      <c r="L986" s="511"/>
      <c r="M986" s="511"/>
      <c r="N986" s="511"/>
      <c r="O986" s="511"/>
      <c r="P986" s="511"/>
      <c r="Q986" s="511"/>
      <c r="R986" s="511"/>
      <c r="S986" s="511"/>
      <c r="T986" s="511"/>
      <c r="U986" s="511"/>
      <c r="V986" s="511"/>
      <c r="W986" s="511"/>
      <c r="X986" s="511"/>
      <c r="Y986" s="511"/>
      <c r="Z986" s="511"/>
      <c r="AA986" s="511"/>
      <c r="AB986" s="511"/>
      <c r="AC986" s="511"/>
      <c r="AD986" s="511"/>
      <c r="AE986" s="511"/>
      <c r="AF986" s="511"/>
      <c r="AG986" s="511"/>
      <c r="AH986" s="511"/>
      <c r="AI986" s="511"/>
      <c r="AJ986" s="511"/>
      <c r="AK986" s="511"/>
      <c r="AL986" s="511"/>
      <c r="AM986" s="511"/>
      <c r="AN986" s="511"/>
      <c r="AO986" s="511"/>
      <c r="AP986" s="511"/>
      <c r="AQ986" s="511"/>
      <c r="AR986" s="511"/>
      <c r="AS986" s="511"/>
      <c r="AT986" s="511"/>
      <c r="AU986" s="511"/>
      <c r="AV986" s="511"/>
      <c r="AW986" s="511"/>
      <c r="AX986" s="511"/>
      <c r="AY986" s="511"/>
      <c r="AZ986" s="511"/>
      <c r="BA986" s="511"/>
      <c r="BB986" s="511"/>
      <c r="BC986" s="511"/>
      <c r="BD986" s="511"/>
      <c r="BE986" s="511"/>
    </row>
    <row r="987" ht="15.75" customHeight="1">
      <c r="A987" s="511"/>
      <c r="B987" s="511"/>
      <c r="C987" s="511"/>
      <c r="D987" s="511"/>
      <c r="E987" s="511"/>
      <c r="F987" s="511"/>
      <c r="G987" s="511"/>
      <c r="H987" s="511"/>
      <c r="I987" s="511"/>
      <c r="J987" s="511"/>
      <c r="K987" s="511"/>
      <c r="L987" s="511"/>
      <c r="M987" s="511"/>
      <c r="N987" s="511"/>
      <c r="O987" s="511"/>
      <c r="P987" s="511"/>
      <c r="Q987" s="511"/>
      <c r="R987" s="511"/>
      <c r="S987" s="511"/>
      <c r="T987" s="511"/>
      <c r="U987" s="511"/>
      <c r="V987" s="511"/>
      <c r="W987" s="511"/>
      <c r="X987" s="511"/>
      <c r="Y987" s="511"/>
      <c r="Z987" s="511"/>
      <c r="AA987" s="511"/>
      <c r="AB987" s="511"/>
      <c r="AC987" s="511"/>
      <c r="AD987" s="511"/>
      <c r="AE987" s="511"/>
      <c r="AF987" s="511"/>
      <c r="AG987" s="511"/>
      <c r="AH987" s="511"/>
      <c r="AI987" s="511"/>
      <c r="AJ987" s="511"/>
      <c r="AK987" s="511"/>
      <c r="AL987" s="511"/>
      <c r="AM987" s="511"/>
      <c r="AN987" s="511"/>
      <c r="AO987" s="511"/>
      <c r="AP987" s="511"/>
      <c r="AQ987" s="511"/>
      <c r="AR987" s="511"/>
      <c r="AS987" s="511"/>
      <c r="AT987" s="511"/>
      <c r="AU987" s="511"/>
      <c r="AV987" s="511"/>
      <c r="AW987" s="511"/>
      <c r="AX987" s="511"/>
      <c r="AY987" s="511"/>
      <c r="AZ987" s="511"/>
      <c r="BA987" s="511"/>
      <c r="BB987" s="511"/>
      <c r="BC987" s="511"/>
      <c r="BD987" s="511"/>
      <c r="BE987" s="511"/>
    </row>
    <row r="988" ht="15.75" customHeight="1">
      <c r="A988" s="511"/>
      <c r="B988" s="511"/>
      <c r="C988" s="511"/>
      <c r="D988" s="511"/>
      <c r="E988" s="511"/>
      <c r="F988" s="511"/>
      <c r="G988" s="511"/>
      <c r="H988" s="511"/>
      <c r="I988" s="511"/>
      <c r="J988" s="511"/>
      <c r="K988" s="511"/>
      <c r="L988" s="511"/>
      <c r="M988" s="511"/>
      <c r="N988" s="511"/>
      <c r="O988" s="511"/>
      <c r="P988" s="511"/>
      <c r="Q988" s="511"/>
      <c r="R988" s="511"/>
      <c r="S988" s="511"/>
      <c r="T988" s="511"/>
      <c r="U988" s="511"/>
      <c r="V988" s="511"/>
      <c r="W988" s="511"/>
      <c r="X988" s="511"/>
      <c r="Y988" s="511"/>
      <c r="Z988" s="511"/>
      <c r="AA988" s="511"/>
      <c r="AB988" s="511"/>
      <c r="AC988" s="511"/>
      <c r="AD988" s="511"/>
      <c r="AE988" s="511"/>
      <c r="AF988" s="511"/>
      <c r="AG988" s="511"/>
      <c r="AH988" s="511"/>
      <c r="AI988" s="511"/>
      <c r="AJ988" s="511"/>
      <c r="AK988" s="511"/>
      <c r="AL988" s="511"/>
      <c r="AM988" s="511"/>
      <c r="AN988" s="511"/>
      <c r="AO988" s="511"/>
      <c r="AP988" s="511"/>
      <c r="AQ988" s="511"/>
      <c r="AR988" s="511"/>
      <c r="AS988" s="511"/>
      <c r="AT988" s="511"/>
      <c r="AU988" s="511"/>
      <c r="AV988" s="511"/>
      <c r="AW988" s="511"/>
      <c r="AX988" s="511"/>
      <c r="AY988" s="511"/>
      <c r="AZ988" s="511"/>
      <c r="BA988" s="511"/>
      <c r="BB988" s="511"/>
      <c r="BC988" s="511"/>
      <c r="BD988" s="511"/>
      <c r="BE988" s="511"/>
    </row>
    <row r="989" ht="15.75" customHeight="1">
      <c r="A989" s="511"/>
      <c r="B989" s="511"/>
      <c r="C989" s="511"/>
      <c r="D989" s="511"/>
      <c r="E989" s="511"/>
      <c r="F989" s="511"/>
      <c r="G989" s="511"/>
      <c r="H989" s="511"/>
      <c r="I989" s="511"/>
      <c r="J989" s="511"/>
      <c r="K989" s="511"/>
      <c r="L989" s="511"/>
      <c r="M989" s="511"/>
      <c r="N989" s="511"/>
      <c r="O989" s="511"/>
      <c r="P989" s="511"/>
      <c r="Q989" s="511"/>
      <c r="R989" s="511"/>
      <c r="S989" s="511"/>
      <c r="T989" s="511"/>
      <c r="U989" s="511"/>
      <c r="V989" s="511"/>
      <c r="W989" s="511"/>
      <c r="X989" s="511"/>
      <c r="Y989" s="511"/>
      <c r="Z989" s="511"/>
      <c r="AA989" s="511"/>
      <c r="AB989" s="511"/>
      <c r="AC989" s="511"/>
      <c r="AD989" s="511"/>
      <c r="AE989" s="511"/>
      <c r="AF989" s="511"/>
      <c r="AG989" s="511"/>
      <c r="AH989" s="511"/>
      <c r="AI989" s="511"/>
      <c r="AJ989" s="511"/>
      <c r="AK989" s="511"/>
      <c r="AL989" s="511"/>
      <c r="AM989" s="511"/>
      <c r="AN989" s="511"/>
      <c r="AO989" s="511"/>
      <c r="AP989" s="511"/>
      <c r="AQ989" s="511"/>
      <c r="AR989" s="511"/>
      <c r="AS989" s="511"/>
      <c r="AT989" s="511"/>
      <c r="AU989" s="511"/>
      <c r="AV989" s="511"/>
      <c r="AW989" s="511"/>
      <c r="AX989" s="511"/>
      <c r="AY989" s="511"/>
      <c r="AZ989" s="511"/>
      <c r="BA989" s="511"/>
      <c r="BB989" s="511"/>
      <c r="BC989" s="511"/>
      <c r="BD989" s="511"/>
      <c r="BE989" s="511"/>
    </row>
    <row r="990" ht="15.75" customHeight="1">
      <c r="A990" s="511"/>
      <c r="B990" s="511"/>
      <c r="C990" s="511"/>
      <c r="D990" s="511"/>
      <c r="E990" s="511"/>
      <c r="F990" s="511"/>
      <c r="G990" s="511"/>
      <c r="H990" s="511"/>
      <c r="I990" s="511"/>
      <c r="J990" s="511"/>
      <c r="K990" s="511"/>
      <c r="L990" s="511"/>
      <c r="M990" s="511"/>
      <c r="N990" s="511"/>
      <c r="O990" s="511"/>
      <c r="P990" s="511"/>
      <c r="Q990" s="511"/>
      <c r="R990" s="511"/>
      <c r="S990" s="511"/>
      <c r="T990" s="511"/>
      <c r="U990" s="511"/>
      <c r="V990" s="511"/>
      <c r="W990" s="511"/>
      <c r="X990" s="511"/>
      <c r="Y990" s="511"/>
      <c r="Z990" s="511"/>
      <c r="AA990" s="511"/>
      <c r="AB990" s="511"/>
      <c r="AC990" s="511"/>
      <c r="AD990" s="511"/>
      <c r="AE990" s="511"/>
      <c r="AF990" s="511"/>
      <c r="AG990" s="511"/>
      <c r="AH990" s="511"/>
      <c r="AI990" s="511"/>
      <c r="AJ990" s="511"/>
      <c r="AK990" s="511"/>
      <c r="AL990" s="511"/>
      <c r="AM990" s="511"/>
      <c r="AN990" s="511"/>
      <c r="AO990" s="511"/>
      <c r="AP990" s="511"/>
      <c r="AQ990" s="511"/>
      <c r="AR990" s="511"/>
      <c r="AS990" s="511"/>
      <c r="AT990" s="511"/>
      <c r="AU990" s="511"/>
      <c r="AV990" s="511"/>
      <c r="AW990" s="511"/>
      <c r="AX990" s="511"/>
      <c r="AY990" s="511"/>
      <c r="AZ990" s="511"/>
      <c r="BA990" s="511"/>
      <c r="BB990" s="511"/>
      <c r="BC990" s="511"/>
      <c r="BD990" s="511"/>
      <c r="BE990" s="511"/>
    </row>
    <row r="991" ht="15.75" customHeight="1">
      <c r="A991" s="511"/>
      <c r="B991" s="511"/>
      <c r="C991" s="511"/>
      <c r="D991" s="511"/>
      <c r="E991" s="511"/>
      <c r="F991" s="511"/>
      <c r="G991" s="511"/>
      <c r="H991" s="511"/>
      <c r="I991" s="511"/>
      <c r="J991" s="511"/>
      <c r="K991" s="511"/>
      <c r="L991" s="511"/>
      <c r="M991" s="511"/>
      <c r="N991" s="511"/>
      <c r="O991" s="511"/>
      <c r="P991" s="511"/>
      <c r="Q991" s="511"/>
      <c r="R991" s="511"/>
      <c r="S991" s="511"/>
      <c r="T991" s="511"/>
      <c r="U991" s="511"/>
      <c r="V991" s="511"/>
      <c r="W991" s="511"/>
      <c r="X991" s="511"/>
      <c r="Y991" s="511"/>
      <c r="Z991" s="511"/>
      <c r="AA991" s="511"/>
      <c r="AB991" s="511"/>
      <c r="AC991" s="511"/>
      <c r="AD991" s="511"/>
      <c r="AE991" s="511"/>
      <c r="AF991" s="511"/>
      <c r="AG991" s="511"/>
      <c r="AH991" s="511"/>
      <c r="AI991" s="511"/>
      <c r="AJ991" s="511"/>
      <c r="AK991" s="511"/>
      <c r="AL991" s="511"/>
      <c r="AM991" s="511"/>
      <c r="AN991" s="511"/>
      <c r="AO991" s="511"/>
      <c r="AP991" s="511"/>
      <c r="AQ991" s="511"/>
      <c r="AR991" s="511"/>
      <c r="AS991" s="511"/>
      <c r="AT991" s="511"/>
      <c r="AU991" s="511"/>
      <c r="AV991" s="511"/>
      <c r="AW991" s="511"/>
      <c r="AX991" s="511"/>
      <c r="AY991" s="511"/>
      <c r="AZ991" s="511"/>
      <c r="BA991" s="511"/>
      <c r="BB991" s="511"/>
      <c r="BC991" s="511"/>
      <c r="BD991" s="511"/>
      <c r="BE991" s="511"/>
    </row>
    <row r="992" ht="15.75" customHeight="1">
      <c r="A992" s="511"/>
      <c r="B992" s="511"/>
      <c r="C992" s="511"/>
      <c r="D992" s="511"/>
      <c r="E992" s="511"/>
      <c r="F992" s="511"/>
      <c r="G992" s="511"/>
      <c r="H992" s="511"/>
      <c r="I992" s="511"/>
      <c r="J992" s="511"/>
      <c r="K992" s="511"/>
      <c r="L992" s="511"/>
      <c r="M992" s="511"/>
      <c r="N992" s="511"/>
      <c r="O992" s="511"/>
      <c r="P992" s="511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  <c r="AA992" s="511"/>
      <c r="AB992" s="511"/>
      <c r="AC992" s="511"/>
      <c r="AD992" s="511"/>
      <c r="AE992" s="511"/>
      <c r="AF992" s="511"/>
      <c r="AG992" s="511"/>
      <c r="AH992" s="511"/>
      <c r="AI992" s="511"/>
      <c r="AJ992" s="511"/>
      <c r="AK992" s="511"/>
      <c r="AL992" s="511"/>
      <c r="AM992" s="511"/>
      <c r="AN992" s="511"/>
      <c r="AO992" s="511"/>
      <c r="AP992" s="511"/>
      <c r="AQ992" s="511"/>
      <c r="AR992" s="511"/>
      <c r="AS992" s="511"/>
      <c r="AT992" s="511"/>
      <c r="AU992" s="511"/>
      <c r="AV992" s="511"/>
      <c r="AW992" s="511"/>
      <c r="AX992" s="511"/>
      <c r="AY992" s="511"/>
      <c r="AZ992" s="511"/>
      <c r="BA992" s="511"/>
      <c r="BB992" s="511"/>
      <c r="BC992" s="511"/>
      <c r="BD992" s="511"/>
      <c r="BE992" s="511"/>
    </row>
    <row r="993" ht="15.75" customHeight="1">
      <c r="A993" s="511"/>
      <c r="B993" s="511"/>
      <c r="C993" s="511"/>
      <c r="D993" s="511"/>
      <c r="E993" s="511"/>
      <c r="F993" s="511"/>
      <c r="G993" s="511"/>
      <c r="H993" s="511"/>
      <c r="I993" s="511"/>
      <c r="J993" s="511"/>
      <c r="K993" s="511"/>
      <c r="L993" s="511"/>
      <c r="M993" s="511"/>
      <c r="N993" s="511"/>
      <c r="O993" s="511"/>
      <c r="P993" s="511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  <c r="AA993" s="511"/>
      <c r="AB993" s="511"/>
      <c r="AC993" s="511"/>
      <c r="AD993" s="511"/>
      <c r="AE993" s="511"/>
      <c r="AF993" s="511"/>
      <c r="AG993" s="511"/>
      <c r="AH993" s="511"/>
      <c r="AI993" s="511"/>
      <c r="AJ993" s="511"/>
      <c r="AK993" s="511"/>
      <c r="AL993" s="511"/>
      <c r="AM993" s="511"/>
      <c r="AN993" s="511"/>
      <c r="AO993" s="511"/>
      <c r="AP993" s="511"/>
      <c r="AQ993" s="511"/>
      <c r="AR993" s="511"/>
      <c r="AS993" s="511"/>
      <c r="AT993" s="511"/>
      <c r="AU993" s="511"/>
      <c r="AV993" s="511"/>
      <c r="AW993" s="511"/>
      <c r="AX993" s="511"/>
      <c r="AY993" s="511"/>
      <c r="AZ993" s="511"/>
      <c r="BA993" s="511"/>
      <c r="BB993" s="511"/>
      <c r="BC993" s="511"/>
      <c r="BD993" s="511"/>
      <c r="BE993" s="511"/>
    </row>
    <row r="994" ht="15.75" customHeight="1">
      <c r="A994" s="511"/>
      <c r="B994" s="511"/>
      <c r="C994" s="511"/>
      <c r="D994" s="511"/>
      <c r="E994" s="511"/>
      <c r="F994" s="511"/>
      <c r="G994" s="511"/>
      <c r="H994" s="511"/>
      <c r="I994" s="511"/>
      <c r="J994" s="511"/>
      <c r="K994" s="511"/>
      <c r="L994" s="511"/>
      <c r="M994" s="511"/>
      <c r="N994" s="511"/>
      <c r="O994" s="511"/>
      <c r="P994" s="511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  <c r="AA994" s="511"/>
      <c r="AB994" s="511"/>
      <c r="AC994" s="511"/>
      <c r="AD994" s="511"/>
      <c r="AE994" s="511"/>
      <c r="AF994" s="511"/>
      <c r="AG994" s="511"/>
      <c r="AH994" s="511"/>
      <c r="AI994" s="511"/>
      <c r="AJ994" s="511"/>
      <c r="AK994" s="511"/>
      <c r="AL994" s="511"/>
      <c r="AM994" s="511"/>
      <c r="AN994" s="511"/>
      <c r="AO994" s="511"/>
      <c r="AP994" s="511"/>
      <c r="AQ994" s="511"/>
      <c r="AR994" s="511"/>
      <c r="AS994" s="511"/>
      <c r="AT994" s="511"/>
      <c r="AU994" s="511"/>
      <c r="AV994" s="511"/>
      <c r="AW994" s="511"/>
      <c r="AX994" s="511"/>
      <c r="AY994" s="511"/>
      <c r="AZ994" s="511"/>
      <c r="BA994" s="511"/>
      <c r="BB994" s="511"/>
      <c r="BC994" s="511"/>
      <c r="BD994" s="511"/>
      <c r="BE994" s="511"/>
    </row>
    <row r="995" ht="15.75" customHeight="1">
      <c r="A995" s="511"/>
      <c r="B995" s="511"/>
      <c r="C995" s="511"/>
      <c r="D995" s="511"/>
      <c r="E995" s="511"/>
      <c r="F995" s="511"/>
      <c r="G995" s="511"/>
      <c r="H995" s="511"/>
      <c r="I995" s="511"/>
      <c r="J995" s="511"/>
      <c r="K995" s="511"/>
      <c r="L995" s="511"/>
      <c r="M995" s="511"/>
      <c r="N995" s="511"/>
      <c r="O995" s="511"/>
      <c r="P995" s="511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  <c r="AA995" s="511"/>
      <c r="AB995" s="511"/>
      <c r="AC995" s="511"/>
      <c r="AD995" s="511"/>
      <c r="AE995" s="511"/>
      <c r="AF995" s="511"/>
      <c r="AG995" s="511"/>
      <c r="AH995" s="511"/>
      <c r="AI995" s="511"/>
      <c r="AJ995" s="511"/>
      <c r="AK995" s="511"/>
      <c r="AL995" s="511"/>
      <c r="AM995" s="511"/>
      <c r="AN995" s="511"/>
      <c r="AO995" s="511"/>
      <c r="AP995" s="511"/>
      <c r="AQ995" s="511"/>
      <c r="AR995" s="511"/>
      <c r="AS995" s="511"/>
      <c r="AT995" s="511"/>
      <c r="AU995" s="511"/>
      <c r="AV995" s="511"/>
      <c r="AW995" s="511"/>
      <c r="AX995" s="511"/>
      <c r="AY995" s="511"/>
      <c r="AZ995" s="511"/>
      <c r="BA995" s="511"/>
      <c r="BB995" s="511"/>
      <c r="BC995" s="511"/>
      <c r="BD995" s="511"/>
      <c r="BE995" s="511"/>
    </row>
    <row r="996" ht="15.75" customHeight="1">
      <c r="A996" s="511"/>
      <c r="B996" s="511"/>
      <c r="C996" s="511"/>
      <c r="D996" s="511"/>
      <c r="E996" s="511"/>
      <c r="F996" s="511"/>
      <c r="G996" s="511"/>
      <c r="H996" s="511"/>
      <c r="I996" s="511"/>
      <c r="J996" s="511"/>
      <c r="K996" s="511"/>
      <c r="L996" s="511"/>
      <c r="M996" s="511"/>
      <c r="N996" s="511"/>
      <c r="O996" s="511"/>
      <c r="P996" s="511"/>
      <c r="Q996" s="511"/>
      <c r="R996" s="511"/>
      <c r="S996" s="511"/>
      <c r="T996" s="511"/>
      <c r="U996" s="511"/>
      <c r="V996" s="511"/>
      <c r="W996" s="511"/>
      <c r="X996" s="511"/>
      <c r="Y996" s="511"/>
      <c r="Z996" s="511"/>
      <c r="AA996" s="511"/>
      <c r="AB996" s="511"/>
      <c r="AC996" s="511"/>
      <c r="AD996" s="511"/>
      <c r="AE996" s="511"/>
      <c r="AF996" s="511"/>
      <c r="AG996" s="511"/>
      <c r="AH996" s="511"/>
      <c r="AI996" s="511"/>
      <c r="AJ996" s="511"/>
      <c r="AK996" s="511"/>
      <c r="AL996" s="511"/>
      <c r="AM996" s="511"/>
      <c r="AN996" s="511"/>
      <c r="AO996" s="511"/>
      <c r="AP996" s="511"/>
      <c r="AQ996" s="511"/>
      <c r="AR996" s="511"/>
      <c r="AS996" s="511"/>
      <c r="AT996" s="511"/>
      <c r="AU996" s="511"/>
      <c r="AV996" s="511"/>
      <c r="AW996" s="511"/>
      <c r="AX996" s="511"/>
      <c r="AY996" s="511"/>
      <c r="AZ996" s="511"/>
      <c r="BA996" s="511"/>
      <c r="BB996" s="511"/>
      <c r="BC996" s="511"/>
      <c r="BD996" s="511"/>
      <c r="BE996" s="511"/>
    </row>
    <row r="997" ht="15.75" customHeight="1">
      <c r="A997" s="511"/>
      <c r="B997" s="511"/>
      <c r="C997" s="511"/>
      <c r="D997" s="511"/>
      <c r="E997" s="511"/>
      <c r="F997" s="511"/>
      <c r="G997" s="511"/>
      <c r="H997" s="511"/>
      <c r="I997" s="511"/>
      <c r="J997" s="511"/>
      <c r="K997" s="511"/>
      <c r="L997" s="511"/>
      <c r="M997" s="511"/>
      <c r="N997" s="511"/>
      <c r="O997" s="511"/>
      <c r="P997" s="511"/>
      <c r="Q997" s="511"/>
      <c r="R997" s="511"/>
      <c r="S997" s="511"/>
      <c r="T997" s="511"/>
      <c r="U997" s="511"/>
      <c r="V997" s="511"/>
      <c r="W997" s="511"/>
      <c r="X997" s="511"/>
      <c r="Y997" s="511"/>
      <c r="Z997" s="511"/>
      <c r="AA997" s="511"/>
      <c r="AB997" s="511"/>
      <c r="AC997" s="511"/>
      <c r="AD997" s="511"/>
      <c r="AE997" s="511"/>
      <c r="AF997" s="511"/>
      <c r="AG997" s="511"/>
      <c r="AH997" s="511"/>
      <c r="AI997" s="511"/>
      <c r="AJ997" s="511"/>
      <c r="AK997" s="511"/>
      <c r="AL997" s="511"/>
      <c r="AM997" s="511"/>
      <c r="AN997" s="511"/>
      <c r="AO997" s="511"/>
      <c r="AP997" s="511"/>
      <c r="AQ997" s="511"/>
      <c r="AR997" s="511"/>
      <c r="AS997" s="511"/>
      <c r="AT997" s="511"/>
      <c r="AU997" s="511"/>
      <c r="AV997" s="511"/>
      <c r="AW997" s="511"/>
      <c r="AX997" s="511"/>
      <c r="AY997" s="511"/>
      <c r="AZ997" s="511"/>
      <c r="BA997" s="511"/>
      <c r="BB997" s="511"/>
      <c r="BC997" s="511"/>
      <c r="BD997" s="511"/>
      <c r="BE997" s="511"/>
    </row>
    <row r="998" ht="15.75" customHeight="1">
      <c r="A998" s="511"/>
      <c r="B998" s="511"/>
      <c r="C998" s="511"/>
      <c r="D998" s="511"/>
      <c r="E998" s="511"/>
      <c r="F998" s="511"/>
      <c r="G998" s="511"/>
      <c r="H998" s="511"/>
      <c r="I998" s="511"/>
      <c r="J998" s="511"/>
      <c r="K998" s="511"/>
      <c r="L998" s="511"/>
      <c r="M998" s="511"/>
      <c r="N998" s="511"/>
      <c r="O998" s="511"/>
      <c r="P998" s="511"/>
      <c r="Q998" s="511"/>
      <c r="R998" s="511"/>
      <c r="S998" s="511"/>
      <c r="T998" s="511"/>
      <c r="U998" s="511"/>
      <c r="V998" s="511"/>
      <c r="W998" s="511"/>
      <c r="X998" s="511"/>
      <c r="Y998" s="511"/>
      <c r="Z998" s="511"/>
      <c r="AA998" s="511"/>
      <c r="AB998" s="511"/>
      <c r="AC998" s="511"/>
      <c r="AD998" s="511"/>
      <c r="AE998" s="511"/>
      <c r="AF998" s="511"/>
      <c r="AG998" s="511"/>
      <c r="AH998" s="511"/>
      <c r="AI998" s="511"/>
      <c r="AJ998" s="511"/>
      <c r="AK998" s="511"/>
      <c r="AL998" s="511"/>
      <c r="AM998" s="511"/>
      <c r="AN998" s="511"/>
      <c r="AO998" s="511"/>
      <c r="AP998" s="511"/>
      <c r="AQ998" s="511"/>
      <c r="AR998" s="511"/>
      <c r="AS998" s="511"/>
      <c r="AT998" s="511"/>
      <c r="AU998" s="511"/>
      <c r="AV998" s="511"/>
      <c r="AW998" s="511"/>
      <c r="AX998" s="511"/>
      <c r="AY998" s="511"/>
      <c r="AZ998" s="511"/>
      <c r="BA998" s="511"/>
      <c r="BB998" s="511"/>
      <c r="BC998" s="511"/>
      <c r="BD998" s="511"/>
      <c r="BE998" s="511"/>
    </row>
    <row r="999" ht="15.75" customHeight="1">
      <c r="A999" s="511"/>
      <c r="B999" s="511"/>
      <c r="C999" s="511"/>
      <c r="D999" s="511"/>
      <c r="E999" s="511"/>
      <c r="F999" s="511"/>
      <c r="G999" s="511"/>
      <c r="H999" s="511"/>
      <c r="I999" s="511"/>
      <c r="J999" s="511"/>
      <c r="K999" s="511"/>
      <c r="L999" s="511"/>
      <c r="M999" s="511"/>
      <c r="N999" s="511"/>
      <c r="O999" s="511"/>
      <c r="P999" s="511"/>
      <c r="Q999" s="511"/>
      <c r="R999" s="511"/>
      <c r="S999" s="511"/>
      <c r="T999" s="511"/>
      <c r="U999" s="511"/>
      <c r="V999" s="511"/>
      <c r="W999" s="511"/>
      <c r="X999" s="511"/>
      <c r="Y999" s="511"/>
      <c r="Z999" s="511"/>
      <c r="AA999" s="511"/>
      <c r="AB999" s="511"/>
      <c r="AC999" s="511"/>
      <c r="AD999" s="511"/>
      <c r="AE999" s="511"/>
      <c r="AF999" s="511"/>
      <c r="AG999" s="511"/>
      <c r="AH999" s="511"/>
      <c r="AI999" s="511"/>
      <c r="AJ999" s="511"/>
      <c r="AK999" s="511"/>
      <c r="AL999" s="511"/>
      <c r="AM999" s="511"/>
      <c r="AN999" s="511"/>
      <c r="AO999" s="511"/>
      <c r="AP999" s="511"/>
      <c r="AQ999" s="511"/>
      <c r="AR999" s="511"/>
      <c r="AS999" s="511"/>
      <c r="AT999" s="511"/>
      <c r="AU999" s="511"/>
      <c r="AV999" s="511"/>
      <c r="AW999" s="511"/>
      <c r="AX999" s="511"/>
      <c r="AY999" s="511"/>
      <c r="AZ999" s="511"/>
      <c r="BA999" s="511"/>
      <c r="BB999" s="511"/>
      <c r="BC999" s="511"/>
      <c r="BD999" s="511"/>
      <c r="BE999" s="511"/>
    </row>
    <row r="1000" ht="15.75" customHeight="1">
      <c r="A1000" s="511"/>
      <c r="B1000" s="511"/>
      <c r="C1000" s="511"/>
      <c r="D1000" s="511"/>
      <c r="E1000" s="511"/>
      <c r="F1000" s="511"/>
      <c r="G1000" s="511"/>
      <c r="H1000" s="511"/>
      <c r="I1000" s="511"/>
      <c r="J1000" s="511"/>
      <c r="K1000" s="511"/>
      <c r="L1000" s="511"/>
      <c r="M1000" s="511"/>
      <c r="N1000" s="511"/>
      <c r="O1000" s="511"/>
      <c r="P1000" s="511"/>
      <c r="Q1000" s="511"/>
      <c r="R1000" s="511"/>
      <c r="S1000" s="511"/>
      <c r="T1000" s="511"/>
      <c r="U1000" s="511"/>
      <c r="V1000" s="511"/>
      <c r="W1000" s="511"/>
      <c r="X1000" s="511"/>
      <c r="Y1000" s="511"/>
      <c r="Z1000" s="511"/>
      <c r="AA1000" s="511"/>
      <c r="AB1000" s="511"/>
      <c r="AC1000" s="511"/>
      <c r="AD1000" s="511"/>
      <c r="AE1000" s="511"/>
      <c r="AF1000" s="511"/>
      <c r="AG1000" s="511"/>
      <c r="AH1000" s="511"/>
      <c r="AI1000" s="511"/>
      <c r="AJ1000" s="511"/>
      <c r="AK1000" s="511"/>
      <c r="AL1000" s="511"/>
      <c r="AM1000" s="511"/>
      <c r="AN1000" s="511"/>
      <c r="AO1000" s="511"/>
      <c r="AP1000" s="511"/>
      <c r="AQ1000" s="511"/>
      <c r="AR1000" s="511"/>
      <c r="AS1000" s="511"/>
      <c r="AT1000" s="511"/>
      <c r="AU1000" s="511"/>
      <c r="AV1000" s="511"/>
      <c r="AW1000" s="511"/>
      <c r="AX1000" s="511"/>
      <c r="AY1000" s="511"/>
      <c r="AZ1000" s="511"/>
      <c r="BA1000" s="511"/>
      <c r="BB1000" s="511"/>
      <c r="BC1000" s="511"/>
      <c r="BD1000" s="511"/>
      <c r="BE1000" s="511"/>
    </row>
    <row r="1001" ht="15.75" customHeight="1">
      <c r="A1001" s="511"/>
      <c r="B1001" s="511"/>
      <c r="C1001" s="511"/>
      <c r="D1001" s="511"/>
      <c r="E1001" s="511"/>
      <c r="F1001" s="511"/>
      <c r="G1001" s="511"/>
      <c r="H1001" s="511"/>
      <c r="I1001" s="511"/>
      <c r="J1001" s="511"/>
      <c r="K1001" s="511"/>
      <c r="L1001" s="511"/>
      <c r="M1001" s="511"/>
      <c r="N1001" s="511"/>
      <c r="O1001" s="511"/>
      <c r="P1001" s="511"/>
      <c r="Q1001" s="511"/>
      <c r="R1001" s="511"/>
      <c r="S1001" s="511"/>
      <c r="T1001" s="511"/>
      <c r="U1001" s="511"/>
      <c r="V1001" s="511"/>
      <c r="W1001" s="511"/>
      <c r="X1001" s="511"/>
      <c r="Y1001" s="511"/>
      <c r="Z1001" s="511"/>
      <c r="AA1001" s="511"/>
      <c r="AB1001" s="511"/>
      <c r="AC1001" s="511"/>
      <c r="AD1001" s="511"/>
      <c r="AE1001" s="511"/>
      <c r="AF1001" s="511"/>
      <c r="AG1001" s="511"/>
      <c r="AH1001" s="511"/>
      <c r="AI1001" s="511"/>
      <c r="AJ1001" s="511"/>
      <c r="AK1001" s="511"/>
      <c r="AL1001" s="511"/>
      <c r="AM1001" s="511"/>
      <c r="AN1001" s="511"/>
      <c r="AO1001" s="511"/>
      <c r="AP1001" s="511"/>
      <c r="AQ1001" s="511"/>
      <c r="AR1001" s="511"/>
      <c r="AS1001" s="511"/>
      <c r="AT1001" s="511"/>
      <c r="AU1001" s="511"/>
      <c r="AV1001" s="511"/>
      <c r="AW1001" s="511"/>
      <c r="AX1001" s="511"/>
      <c r="AY1001" s="511"/>
      <c r="AZ1001" s="511"/>
      <c r="BA1001" s="511"/>
      <c r="BB1001" s="511"/>
      <c r="BC1001" s="511"/>
      <c r="BD1001" s="511"/>
      <c r="BE1001" s="511"/>
    </row>
    <row r="1002" ht="15.75" customHeight="1">
      <c r="A1002" s="511"/>
      <c r="B1002" s="511"/>
      <c r="C1002" s="511"/>
      <c r="D1002" s="511"/>
      <c r="E1002" s="511"/>
      <c r="F1002" s="511"/>
      <c r="G1002" s="511"/>
      <c r="H1002" s="511"/>
      <c r="I1002" s="511"/>
      <c r="J1002" s="511"/>
      <c r="K1002" s="511"/>
      <c r="L1002" s="511"/>
      <c r="M1002" s="511"/>
      <c r="N1002" s="511"/>
      <c r="O1002" s="511"/>
      <c r="P1002" s="511"/>
      <c r="Q1002" s="511"/>
      <c r="R1002" s="511"/>
      <c r="S1002" s="511"/>
      <c r="T1002" s="511"/>
      <c r="U1002" s="511"/>
      <c r="V1002" s="511"/>
      <c r="W1002" s="511"/>
      <c r="X1002" s="511"/>
      <c r="Y1002" s="511"/>
      <c r="Z1002" s="511"/>
      <c r="AA1002" s="511"/>
      <c r="AB1002" s="511"/>
      <c r="AC1002" s="511"/>
      <c r="AD1002" s="511"/>
      <c r="AE1002" s="511"/>
      <c r="AF1002" s="511"/>
      <c r="AG1002" s="511"/>
      <c r="AH1002" s="511"/>
      <c r="AI1002" s="511"/>
      <c r="AJ1002" s="511"/>
      <c r="AK1002" s="511"/>
      <c r="AL1002" s="511"/>
      <c r="AM1002" s="511"/>
      <c r="AN1002" s="511"/>
      <c r="AO1002" s="511"/>
      <c r="AP1002" s="511"/>
      <c r="AQ1002" s="511"/>
      <c r="AR1002" s="511"/>
      <c r="AS1002" s="511"/>
      <c r="AT1002" s="511"/>
      <c r="AU1002" s="511"/>
      <c r="AV1002" s="511"/>
      <c r="AW1002" s="511"/>
      <c r="AX1002" s="511"/>
      <c r="AY1002" s="511"/>
      <c r="AZ1002" s="511"/>
      <c r="BA1002" s="511"/>
      <c r="BB1002" s="511"/>
      <c r="BC1002" s="511"/>
      <c r="BD1002" s="511"/>
      <c r="BE1002" s="511"/>
    </row>
    <row r="1003" ht="15.75" customHeight="1">
      <c r="A1003" s="511"/>
      <c r="B1003" s="511"/>
      <c r="C1003" s="511"/>
      <c r="D1003" s="511"/>
      <c r="E1003" s="511"/>
      <c r="F1003" s="511"/>
      <c r="G1003" s="511"/>
      <c r="H1003" s="511"/>
      <c r="I1003" s="511"/>
      <c r="J1003" s="511"/>
      <c r="K1003" s="511"/>
      <c r="L1003" s="511"/>
      <c r="M1003" s="511"/>
      <c r="N1003" s="511"/>
      <c r="O1003" s="511"/>
      <c r="P1003" s="511"/>
      <c r="Q1003" s="511"/>
      <c r="R1003" s="511"/>
      <c r="S1003" s="511"/>
      <c r="T1003" s="511"/>
      <c r="U1003" s="511"/>
      <c r="V1003" s="511"/>
      <c r="W1003" s="511"/>
      <c r="X1003" s="511"/>
      <c r="Y1003" s="511"/>
      <c r="Z1003" s="511"/>
      <c r="AA1003" s="511"/>
      <c r="AB1003" s="511"/>
      <c r="AC1003" s="511"/>
      <c r="AD1003" s="511"/>
      <c r="AE1003" s="511"/>
      <c r="AF1003" s="511"/>
      <c r="AG1003" s="511"/>
      <c r="AH1003" s="511"/>
      <c r="AI1003" s="511"/>
      <c r="AJ1003" s="511"/>
      <c r="AK1003" s="511"/>
      <c r="AL1003" s="511"/>
      <c r="AM1003" s="511"/>
      <c r="AN1003" s="511"/>
      <c r="AO1003" s="511"/>
      <c r="AP1003" s="511"/>
      <c r="AQ1003" s="511"/>
      <c r="AR1003" s="511"/>
      <c r="AS1003" s="511"/>
      <c r="AT1003" s="511"/>
      <c r="AU1003" s="511"/>
      <c r="AV1003" s="511"/>
      <c r="AW1003" s="511"/>
      <c r="AX1003" s="511"/>
      <c r="AY1003" s="511"/>
      <c r="AZ1003" s="511"/>
      <c r="BA1003" s="511"/>
      <c r="BB1003" s="511"/>
      <c r="BC1003" s="511"/>
      <c r="BD1003" s="511"/>
      <c r="BE1003" s="511"/>
    </row>
    <row r="1004" ht="15.75" customHeight="1">
      <c r="A1004" s="511"/>
      <c r="B1004" s="511"/>
      <c r="C1004" s="511"/>
      <c r="D1004" s="511"/>
      <c r="E1004" s="511"/>
      <c r="F1004" s="511"/>
      <c r="G1004" s="511"/>
      <c r="H1004" s="511"/>
      <c r="I1004" s="511"/>
      <c r="J1004" s="511"/>
      <c r="K1004" s="511"/>
      <c r="L1004" s="511"/>
      <c r="M1004" s="511"/>
      <c r="N1004" s="511"/>
      <c r="O1004" s="511"/>
      <c r="P1004" s="511"/>
      <c r="Q1004" s="511"/>
      <c r="R1004" s="511"/>
      <c r="S1004" s="511"/>
      <c r="T1004" s="511"/>
      <c r="U1004" s="511"/>
      <c r="V1004" s="511"/>
      <c r="W1004" s="511"/>
      <c r="X1004" s="511"/>
      <c r="Y1004" s="511"/>
      <c r="Z1004" s="511"/>
      <c r="AA1004" s="511"/>
      <c r="AB1004" s="511"/>
      <c r="AC1004" s="511"/>
      <c r="AD1004" s="511"/>
      <c r="AE1004" s="511"/>
      <c r="AF1004" s="511"/>
      <c r="AG1004" s="511"/>
      <c r="AH1004" s="511"/>
      <c r="AI1004" s="511"/>
      <c r="AJ1004" s="511"/>
      <c r="AK1004" s="511"/>
      <c r="AL1004" s="511"/>
      <c r="AM1004" s="511"/>
      <c r="AN1004" s="511"/>
      <c r="AO1004" s="511"/>
      <c r="AP1004" s="511"/>
      <c r="AQ1004" s="511"/>
      <c r="AR1004" s="511"/>
      <c r="AS1004" s="511"/>
      <c r="AT1004" s="511"/>
      <c r="AU1004" s="511"/>
      <c r="AV1004" s="511"/>
      <c r="AW1004" s="511"/>
      <c r="AX1004" s="511"/>
      <c r="AY1004" s="511"/>
      <c r="AZ1004" s="511"/>
      <c r="BA1004" s="511"/>
      <c r="BB1004" s="511"/>
      <c r="BC1004" s="511"/>
      <c r="BD1004" s="511"/>
      <c r="BE1004" s="511"/>
    </row>
    <row r="1005" ht="15.75" customHeight="1">
      <c r="A1005" s="511"/>
      <c r="B1005" s="511"/>
      <c r="C1005" s="511"/>
      <c r="D1005" s="511"/>
      <c r="E1005" s="511"/>
      <c r="F1005" s="511"/>
      <c r="G1005" s="511"/>
      <c r="H1005" s="511"/>
      <c r="I1005" s="511"/>
      <c r="J1005" s="511"/>
      <c r="K1005" s="511"/>
      <c r="L1005" s="511"/>
      <c r="M1005" s="511"/>
      <c r="N1005" s="511"/>
      <c r="O1005" s="511"/>
      <c r="P1005" s="511"/>
      <c r="Q1005" s="511"/>
      <c r="R1005" s="511"/>
      <c r="S1005" s="511"/>
      <c r="T1005" s="511"/>
      <c r="U1005" s="511"/>
      <c r="V1005" s="511"/>
      <c r="W1005" s="511"/>
      <c r="X1005" s="511"/>
      <c r="Y1005" s="511"/>
      <c r="Z1005" s="511"/>
      <c r="AA1005" s="511"/>
      <c r="AB1005" s="511"/>
      <c r="AC1005" s="511"/>
      <c r="AD1005" s="511"/>
      <c r="AE1005" s="511"/>
      <c r="AF1005" s="511"/>
      <c r="AG1005" s="511"/>
      <c r="AH1005" s="511"/>
      <c r="AI1005" s="511"/>
      <c r="AJ1005" s="511"/>
      <c r="AK1005" s="511"/>
      <c r="AL1005" s="511"/>
      <c r="AM1005" s="511"/>
      <c r="AN1005" s="511"/>
      <c r="AO1005" s="511"/>
      <c r="AP1005" s="511"/>
      <c r="AQ1005" s="511"/>
      <c r="AR1005" s="511"/>
      <c r="AS1005" s="511"/>
      <c r="AT1005" s="511"/>
      <c r="AU1005" s="511"/>
      <c r="AV1005" s="511"/>
      <c r="AW1005" s="511"/>
      <c r="AX1005" s="511"/>
      <c r="AY1005" s="511"/>
      <c r="AZ1005" s="511"/>
      <c r="BA1005" s="511"/>
      <c r="BB1005" s="511"/>
      <c r="BC1005" s="511"/>
      <c r="BD1005" s="511"/>
      <c r="BE1005" s="511"/>
    </row>
    <row r="1006" ht="15.75" customHeight="1">
      <c r="A1006" s="511"/>
      <c r="B1006" s="511"/>
      <c r="C1006" s="511"/>
      <c r="D1006" s="511"/>
      <c r="E1006" s="511"/>
      <c r="F1006" s="511"/>
      <c r="G1006" s="511"/>
      <c r="H1006" s="511"/>
      <c r="I1006" s="511"/>
      <c r="J1006" s="511"/>
      <c r="K1006" s="511"/>
      <c r="L1006" s="511"/>
      <c r="M1006" s="511"/>
      <c r="N1006" s="511"/>
      <c r="O1006" s="511"/>
      <c r="P1006" s="511"/>
      <c r="Q1006" s="511"/>
      <c r="R1006" s="511"/>
      <c r="S1006" s="511"/>
      <c r="T1006" s="511"/>
      <c r="U1006" s="511"/>
      <c r="V1006" s="511"/>
      <c r="W1006" s="511"/>
      <c r="X1006" s="511"/>
      <c r="Y1006" s="511"/>
      <c r="Z1006" s="511"/>
      <c r="AA1006" s="511"/>
      <c r="AB1006" s="511"/>
      <c r="AC1006" s="511"/>
      <c r="AD1006" s="511"/>
      <c r="AE1006" s="511"/>
      <c r="AF1006" s="511"/>
      <c r="AG1006" s="511"/>
      <c r="AH1006" s="511"/>
      <c r="AI1006" s="511"/>
      <c r="AJ1006" s="511"/>
      <c r="AK1006" s="511"/>
      <c r="AL1006" s="511"/>
      <c r="AM1006" s="511"/>
      <c r="AN1006" s="511"/>
      <c r="AO1006" s="511"/>
      <c r="AP1006" s="511"/>
      <c r="AQ1006" s="511"/>
      <c r="AR1006" s="511"/>
      <c r="AS1006" s="511"/>
      <c r="AT1006" s="511"/>
      <c r="AU1006" s="511"/>
      <c r="AV1006" s="511"/>
      <c r="AW1006" s="511"/>
      <c r="AX1006" s="511"/>
      <c r="AY1006" s="511"/>
      <c r="AZ1006" s="511"/>
      <c r="BA1006" s="511"/>
      <c r="BB1006" s="511"/>
      <c r="BC1006" s="511"/>
      <c r="BD1006" s="511"/>
      <c r="BE1006" s="511"/>
    </row>
    <row r="1007" ht="15.75" customHeight="1">
      <c r="A1007" s="511"/>
      <c r="B1007" s="511"/>
      <c r="C1007" s="511"/>
      <c r="D1007" s="511"/>
      <c r="E1007" s="511"/>
      <c r="F1007" s="511"/>
      <c r="G1007" s="511"/>
      <c r="H1007" s="511"/>
      <c r="I1007" s="511"/>
      <c r="J1007" s="511"/>
      <c r="K1007" s="511"/>
      <c r="L1007" s="511"/>
      <c r="M1007" s="511"/>
      <c r="N1007" s="511"/>
      <c r="O1007" s="511"/>
      <c r="P1007" s="511"/>
      <c r="Q1007" s="511"/>
      <c r="R1007" s="511"/>
      <c r="S1007" s="511"/>
      <c r="T1007" s="511"/>
      <c r="U1007" s="511"/>
      <c r="V1007" s="511"/>
      <c r="W1007" s="511"/>
      <c r="X1007" s="511"/>
      <c r="Y1007" s="511"/>
      <c r="Z1007" s="511"/>
      <c r="AA1007" s="511"/>
      <c r="AB1007" s="511"/>
      <c r="AC1007" s="511"/>
      <c r="AD1007" s="511"/>
      <c r="AE1007" s="511"/>
      <c r="AF1007" s="511"/>
      <c r="AG1007" s="511"/>
      <c r="AH1007" s="511"/>
      <c r="AI1007" s="511"/>
      <c r="AJ1007" s="511"/>
      <c r="AK1007" s="511"/>
      <c r="AL1007" s="511"/>
      <c r="AM1007" s="511"/>
      <c r="AN1007" s="511"/>
      <c r="AO1007" s="511"/>
      <c r="AP1007" s="511"/>
      <c r="AQ1007" s="511"/>
      <c r="AR1007" s="511"/>
      <c r="AS1007" s="511"/>
      <c r="AT1007" s="511"/>
      <c r="AU1007" s="511"/>
      <c r="AV1007" s="511"/>
      <c r="AW1007" s="511"/>
      <c r="AX1007" s="511"/>
      <c r="AY1007" s="511"/>
      <c r="AZ1007" s="511"/>
      <c r="BA1007" s="511"/>
      <c r="BB1007" s="511"/>
      <c r="BC1007" s="511"/>
      <c r="BD1007" s="511"/>
      <c r="BE1007" s="511"/>
    </row>
    <row r="1008" ht="15.75" customHeight="1">
      <c r="A1008" s="511"/>
      <c r="B1008" s="511"/>
      <c r="C1008" s="511"/>
      <c r="D1008" s="511"/>
      <c r="E1008" s="511"/>
      <c r="F1008" s="511"/>
      <c r="G1008" s="511"/>
      <c r="H1008" s="511"/>
      <c r="I1008" s="511"/>
      <c r="J1008" s="511"/>
      <c r="K1008" s="511"/>
      <c r="L1008" s="511"/>
      <c r="M1008" s="511"/>
      <c r="N1008" s="511"/>
      <c r="O1008" s="511"/>
      <c r="P1008" s="511"/>
      <c r="Q1008" s="511"/>
      <c r="R1008" s="511"/>
      <c r="S1008" s="511"/>
      <c r="T1008" s="511"/>
      <c r="U1008" s="511"/>
      <c r="V1008" s="511"/>
      <c r="W1008" s="511"/>
      <c r="X1008" s="511"/>
      <c r="Y1008" s="511"/>
      <c r="Z1008" s="511"/>
      <c r="AA1008" s="511"/>
      <c r="AB1008" s="511"/>
      <c r="AC1008" s="511"/>
      <c r="AD1008" s="511"/>
      <c r="AE1008" s="511"/>
      <c r="AF1008" s="511"/>
      <c r="AG1008" s="511"/>
      <c r="AH1008" s="511"/>
      <c r="AI1008" s="511"/>
      <c r="AJ1008" s="511"/>
      <c r="AK1008" s="511"/>
      <c r="AL1008" s="511"/>
      <c r="AM1008" s="511"/>
      <c r="AN1008" s="511"/>
      <c r="AO1008" s="511"/>
      <c r="AP1008" s="511"/>
      <c r="AQ1008" s="511"/>
      <c r="AR1008" s="511"/>
      <c r="AS1008" s="511"/>
      <c r="AT1008" s="511"/>
      <c r="AU1008" s="511"/>
      <c r="AV1008" s="511"/>
      <c r="AW1008" s="511"/>
      <c r="AX1008" s="511"/>
      <c r="AY1008" s="511"/>
      <c r="AZ1008" s="511"/>
      <c r="BA1008" s="511"/>
      <c r="BB1008" s="511"/>
      <c r="BC1008" s="511"/>
      <c r="BD1008" s="511"/>
      <c r="BE1008" s="511"/>
    </row>
    <row r="1009" ht="15.75" customHeight="1">
      <c r="A1009" s="511"/>
      <c r="B1009" s="511"/>
      <c r="C1009" s="511"/>
      <c r="D1009" s="511"/>
      <c r="E1009" s="511"/>
      <c r="F1009" s="511"/>
      <c r="G1009" s="511"/>
      <c r="H1009" s="511"/>
      <c r="I1009" s="511"/>
      <c r="J1009" s="511"/>
      <c r="K1009" s="511"/>
      <c r="L1009" s="511"/>
      <c r="M1009" s="511"/>
      <c r="N1009" s="511"/>
      <c r="O1009" s="511"/>
      <c r="P1009" s="511"/>
      <c r="Q1009" s="511"/>
      <c r="R1009" s="511"/>
      <c r="S1009" s="511"/>
      <c r="T1009" s="511"/>
      <c r="U1009" s="511"/>
      <c r="V1009" s="511"/>
      <c r="W1009" s="511"/>
      <c r="X1009" s="511"/>
      <c r="Y1009" s="511"/>
      <c r="Z1009" s="511"/>
      <c r="AA1009" s="511"/>
      <c r="AB1009" s="511"/>
      <c r="AC1009" s="511"/>
      <c r="AD1009" s="511"/>
      <c r="AE1009" s="511"/>
      <c r="AF1009" s="511"/>
      <c r="AG1009" s="511"/>
      <c r="AH1009" s="511"/>
      <c r="AI1009" s="511"/>
      <c r="AJ1009" s="511"/>
      <c r="AK1009" s="511"/>
      <c r="AL1009" s="511"/>
      <c r="AM1009" s="511"/>
      <c r="AN1009" s="511"/>
      <c r="AO1009" s="511"/>
      <c r="AP1009" s="511"/>
      <c r="AQ1009" s="511"/>
      <c r="AR1009" s="511"/>
      <c r="AS1009" s="511"/>
      <c r="AT1009" s="511"/>
      <c r="AU1009" s="511"/>
      <c r="AV1009" s="511"/>
      <c r="AW1009" s="511"/>
      <c r="AX1009" s="511"/>
      <c r="AY1009" s="511"/>
      <c r="AZ1009" s="511"/>
      <c r="BA1009" s="511"/>
      <c r="BB1009" s="511"/>
      <c r="BC1009" s="511"/>
      <c r="BD1009" s="511"/>
      <c r="BE1009" s="511"/>
    </row>
    <row r="1010" ht="15.75" customHeight="1">
      <c r="A1010" s="511"/>
      <c r="B1010" s="511"/>
      <c r="C1010" s="511"/>
      <c r="D1010" s="511"/>
      <c r="E1010" s="511"/>
      <c r="F1010" s="511"/>
      <c r="G1010" s="511"/>
      <c r="H1010" s="511"/>
      <c r="I1010" s="511"/>
      <c r="J1010" s="511"/>
      <c r="K1010" s="511"/>
      <c r="L1010" s="511"/>
      <c r="M1010" s="511"/>
      <c r="N1010" s="511"/>
      <c r="O1010" s="511"/>
      <c r="P1010" s="511"/>
      <c r="Q1010" s="511"/>
      <c r="R1010" s="511"/>
      <c r="S1010" s="511"/>
      <c r="T1010" s="511"/>
      <c r="U1010" s="511"/>
      <c r="V1010" s="511"/>
      <c r="W1010" s="511"/>
      <c r="X1010" s="511"/>
      <c r="Y1010" s="511"/>
      <c r="Z1010" s="511"/>
      <c r="AA1010" s="511"/>
      <c r="AB1010" s="511"/>
      <c r="AC1010" s="511"/>
      <c r="AD1010" s="511"/>
      <c r="AE1010" s="511"/>
      <c r="AF1010" s="511"/>
      <c r="AG1010" s="511"/>
      <c r="AH1010" s="511"/>
      <c r="AI1010" s="511"/>
      <c r="AJ1010" s="511"/>
      <c r="AK1010" s="511"/>
      <c r="AL1010" s="511"/>
      <c r="AM1010" s="511"/>
      <c r="AN1010" s="511"/>
      <c r="AO1010" s="511"/>
      <c r="AP1010" s="511"/>
      <c r="AQ1010" s="511"/>
      <c r="AR1010" s="511"/>
      <c r="AS1010" s="511"/>
      <c r="AT1010" s="511"/>
      <c r="AU1010" s="511"/>
      <c r="AV1010" s="511"/>
      <c r="AW1010" s="511"/>
      <c r="AX1010" s="511"/>
      <c r="AY1010" s="511"/>
      <c r="AZ1010" s="511"/>
      <c r="BA1010" s="511"/>
      <c r="BB1010" s="511"/>
      <c r="BC1010" s="511"/>
      <c r="BD1010" s="511"/>
      <c r="BE1010" s="511"/>
    </row>
    <row r="1011" ht="15.75" customHeight="1">
      <c r="A1011" s="511"/>
      <c r="B1011" s="511"/>
      <c r="C1011" s="511"/>
      <c r="D1011" s="511"/>
      <c r="E1011" s="511"/>
      <c r="F1011" s="511"/>
      <c r="G1011" s="511"/>
      <c r="H1011" s="511"/>
      <c r="I1011" s="511"/>
      <c r="J1011" s="511"/>
      <c r="K1011" s="511"/>
      <c r="L1011" s="511"/>
      <c r="M1011" s="511"/>
      <c r="N1011" s="511"/>
      <c r="O1011" s="511"/>
      <c r="P1011" s="511"/>
      <c r="Q1011" s="511"/>
      <c r="R1011" s="511"/>
      <c r="S1011" s="511"/>
      <c r="T1011" s="511"/>
      <c r="U1011" s="511"/>
      <c r="V1011" s="511"/>
      <c r="W1011" s="511"/>
      <c r="X1011" s="511"/>
      <c r="Y1011" s="511"/>
      <c r="Z1011" s="511"/>
      <c r="AA1011" s="511"/>
      <c r="AB1011" s="511"/>
      <c r="AC1011" s="511"/>
      <c r="AD1011" s="511"/>
      <c r="AE1011" s="511"/>
      <c r="AF1011" s="511"/>
      <c r="AG1011" s="511"/>
      <c r="AH1011" s="511"/>
      <c r="AI1011" s="511"/>
      <c r="AJ1011" s="511"/>
      <c r="AK1011" s="511"/>
      <c r="AL1011" s="511"/>
      <c r="AM1011" s="511"/>
      <c r="AN1011" s="511"/>
      <c r="AO1011" s="511"/>
      <c r="AP1011" s="511"/>
      <c r="AQ1011" s="511"/>
      <c r="AR1011" s="511"/>
      <c r="AS1011" s="511"/>
      <c r="AT1011" s="511"/>
      <c r="AU1011" s="511"/>
      <c r="AV1011" s="511"/>
      <c r="AW1011" s="511"/>
      <c r="AX1011" s="511"/>
      <c r="AY1011" s="511"/>
      <c r="AZ1011" s="511"/>
      <c r="BA1011" s="511"/>
      <c r="BB1011" s="511"/>
      <c r="BC1011" s="511"/>
      <c r="BD1011" s="511"/>
      <c r="BE1011" s="511"/>
    </row>
    <row r="1012" ht="15.75" customHeight="1">
      <c r="A1012" s="511"/>
      <c r="B1012" s="511"/>
      <c r="C1012" s="511"/>
      <c r="D1012" s="511"/>
      <c r="E1012" s="511"/>
      <c r="F1012" s="511"/>
      <c r="G1012" s="511"/>
      <c r="H1012" s="511"/>
      <c r="I1012" s="511"/>
      <c r="J1012" s="511"/>
      <c r="K1012" s="511"/>
      <c r="L1012" s="511"/>
      <c r="M1012" s="511"/>
      <c r="N1012" s="511"/>
      <c r="O1012" s="511"/>
      <c r="P1012" s="511"/>
      <c r="Q1012" s="511"/>
      <c r="R1012" s="511"/>
      <c r="S1012" s="511"/>
      <c r="T1012" s="511"/>
      <c r="U1012" s="511"/>
      <c r="V1012" s="511"/>
      <c r="W1012" s="511"/>
      <c r="X1012" s="511"/>
      <c r="Y1012" s="511"/>
      <c r="Z1012" s="511"/>
      <c r="AA1012" s="511"/>
      <c r="AB1012" s="511"/>
      <c r="AC1012" s="511"/>
      <c r="AD1012" s="511"/>
      <c r="AE1012" s="511"/>
      <c r="AF1012" s="511"/>
      <c r="AG1012" s="511"/>
      <c r="AH1012" s="511"/>
      <c r="AI1012" s="511"/>
      <c r="AJ1012" s="511"/>
      <c r="AK1012" s="511"/>
      <c r="AL1012" s="511"/>
      <c r="AM1012" s="511"/>
      <c r="AN1012" s="511"/>
      <c r="AO1012" s="511"/>
      <c r="AP1012" s="511"/>
      <c r="AQ1012" s="511"/>
      <c r="AR1012" s="511"/>
      <c r="AS1012" s="511"/>
      <c r="AT1012" s="511"/>
      <c r="AU1012" s="511"/>
      <c r="AV1012" s="511"/>
      <c r="AW1012" s="511"/>
      <c r="AX1012" s="511"/>
      <c r="AY1012" s="511"/>
      <c r="AZ1012" s="511"/>
      <c r="BA1012" s="511"/>
      <c r="BB1012" s="511"/>
      <c r="BC1012" s="511"/>
      <c r="BD1012" s="511"/>
      <c r="BE1012" s="511"/>
    </row>
    <row r="1013" ht="15.75" customHeight="1">
      <c r="A1013" s="511"/>
      <c r="B1013" s="511"/>
      <c r="C1013" s="511"/>
      <c r="D1013" s="511"/>
      <c r="E1013" s="511"/>
      <c r="F1013" s="511"/>
      <c r="G1013" s="511"/>
      <c r="H1013" s="511"/>
      <c r="I1013" s="511"/>
      <c r="J1013" s="511"/>
      <c r="K1013" s="511"/>
      <c r="L1013" s="511"/>
      <c r="M1013" s="511"/>
      <c r="N1013" s="511"/>
      <c r="O1013" s="511"/>
      <c r="P1013" s="511"/>
      <c r="Q1013" s="511"/>
      <c r="R1013" s="511"/>
      <c r="S1013" s="511"/>
      <c r="T1013" s="511"/>
      <c r="U1013" s="511"/>
      <c r="V1013" s="511"/>
      <c r="W1013" s="511"/>
      <c r="X1013" s="511"/>
      <c r="Y1013" s="511"/>
      <c r="Z1013" s="511"/>
      <c r="AA1013" s="511"/>
      <c r="AB1013" s="511"/>
      <c r="AC1013" s="511"/>
      <c r="AD1013" s="511"/>
      <c r="AE1013" s="511"/>
      <c r="AF1013" s="511"/>
      <c r="AG1013" s="511"/>
      <c r="AH1013" s="511"/>
      <c r="AI1013" s="511"/>
      <c r="AJ1013" s="511"/>
      <c r="AK1013" s="511"/>
      <c r="AL1013" s="511"/>
      <c r="AM1013" s="511"/>
      <c r="AN1013" s="511"/>
      <c r="AO1013" s="511"/>
      <c r="AP1013" s="511"/>
      <c r="AQ1013" s="511"/>
      <c r="AR1013" s="511"/>
      <c r="AS1013" s="511"/>
      <c r="AT1013" s="511"/>
      <c r="AU1013" s="511"/>
      <c r="AV1013" s="511"/>
      <c r="AW1013" s="511"/>
      <c r="AX1013" s="511"/>
      <c r="AY1013" s="511"/>
      <c r="AZ1013" s="511"/>
      <c r="BA1013" s="511"/>
      <c r="BB1013" s="511"/>
      <c r="BC1013" s="511"/>
      <c r="BD1013" s="511"/>
      <c r="BE1013" s="511"/>
    </row>
    <row r="1014" ht="15.75" customHeight="1">
      <c r="A1014" s="511"/>
      <c r="B1014" s="511"/>
      <c r="C1014" s="511"/>
      <c r="D1014" s="511"/>
      <c r="E1014" s="511"/>
      <c r="F1014" s="511"/>
      <c r="G1014" s="511"/>
      <c r="H1014" s="511"/>
      <c r="I1014" s="511"/>
      <c r="J1014" s="511"/>
      <c r="K1014" s="511"/>
      <c r="L1014" s="511"/>
      <c r="M1014" s="511"/>
      <c r="N1014" s="511"/>
      <c r="O1014" s="511"/>
      <c r="P1014" s="511"/>
      <c r="Q1014" s="511"/>
      <c r="R1014" s="511"/>
      <c r="S1014" s="511"/>
      <c r="T1014" s="511"/>
      <c r="U1014" s="511"/>
      <c r="V1014" s="511"/>
      <c r="W1014" s="511"/>
      <c r="X1014" s="511"/>
      <c r="Y1014" s="511"/>
      <c r="Z1014" s="511"/>
      <c r="AA1014" s="511"/>
      <c r="AB1014" s="511"/>
      <c r="AC1014" s="511"/>
      <c r="AD1014" s="511"/>
      <c r="AE1014" s="511"/>
      <c r="AF1014" s="511"/>
      <c r="AG1014" s="511"/>
      <c r="AH1014" s="511"/>
      <c r="AI1014" s="511"/>
      <c r="AJ1014" s="511"/>
      <c r="AK1014" s="511"/>
      <c r="AL1014" s="511"/>
      <c r="AM1014" s="511"/>
      <c r="AN1014" s="511"/>
      <c r="AO1014" s="511"/>
      <c r="AP1014" s="511"/>
      <c r="AQ1014" s="511"/>
      <c r="AR1014" s="511"/>
      <c r="AS1014" s="511"/>
      <c r="AT1014" s="511"/>
      <c r="AU1014" s="511"/>
      <c r="AV1014" s="511"/>
      <c r="AW1014" s="511"/>
      <c r="AX1014" s="511"/>
      <c r="AY1014" s="511"/>
      <c r="AZ1014" s="511"/>
      <c r="BA1014" s="511"/>
      <c r="BB1014" s="511"/>
      <c r="BC1014" s="511"/>
      <c r="BD1014" s="511"/>
      <c r="BE1014" s="511"/>
    </row>
    <row r="1015" ht="15.75" customHeight="1">
      <c r="A1015" s="511"/>
      <c r="B1015" s="511"/>
      <c r="C1015" s="511"/>
      <c r="D1015" s="511"/>
      <c r="E1015" s="511"/>
      <c r="F1015" s="511"/>
      <c r="G1015" s="511"/>
      <c r="H1015" s="511"/>
      <c r="I1015" s="511"/>
      <c r="J1015" s="511"/>
      <c r="K1015" s="511"/>
      <c r="L1015" s="511"/>
      <c r="M1015" s="511"/>
      <c r="N1015" s="511"/>
      <c r="O1015" s="511"/>
      <c r="P1015" s="511"/>
      <c r="Q1015" s="511"/>
      <c r="R1015" s="511"/>
      <c r="S1015" s="511"/>
      <c r="T1015" s="511"/>
      <c r="U1015" s="511"/>
      <c r="V1015" s="511"/>
      <c r="W1015" s="511"/>
      <c r="X1015" s="511"/>
      <c r="Y1015" s="511"/>
      <c r="Z1015" s="511"/>
      <c r="AA1015" s="511"/>
      <c r="AB1015" s="511"/>
      <c r="AC1015" s="511"/>
      <c r="AD1015" s="511"/>
      <c r="AE1015" s="511"/>
      <c r="AF1015" s="511"/>
      <c r="AG1015" s="511"/>
      <c r="AH1015" s="511"/>
      <c r="AI1015" s="511"/>
      <c r="AJ1015" s="511"/>
      <c r="AK1015" s="511"/>
      <c r="AL1015" s="511"/>
      <c r="AM1015" s="511"/>
      <c r="AN1015" s="511"/>
      <c r="AO1015" s="511"/>
      <c r="AP1015" s="511"/>
      <c r="AQ1015" s="511"/>
      <c r="AR1015" s="511"/>
      <c r="AS1015" s="511"/>
      <c r="AT1015" s="511"/>
      <c r="AU1015" s="511"/>
      <c r="AV1015" s="511"/>
      <c r="AW1015" s="511"/>
      <c r="AX1015" s="511"/>
      <c r="AY1015" s="511"/>
      <c r="AZ1015" s="511"/>
      <c r="BA1015" s="511"/>
      <c r="BB1015" s="511"/>
      <c r="BC1015" s="511"/>
      <c r="BD1015" s="511"/>
      <c r="BE1015" s="511"/>
    </row>
    <row r="1016" ht="15.75" customHeight="1">
      <c r="A1016" s="511"/>
      <c r="B1016" s="511"/>
      <c r="C1016" s="511"/>
      <c r="D1016" s="511"/>
      <c r="E1016" s="511"/>
      <c r="F1016" s="511"/>
      <c r="G1016" s="511"/>
      <c r="H1016" s="511"/>
      <c r="I1016" s="511"/>
      <c r="J1016" s="511"/>
      <c r="K1016" s="511"/>
      <c r="L1016" s="511"/>
      <c r="M1016" s="511"/>
      <c r="N1016" s="511"/>
      <c r="O1016" s="511"/>
      <c r="P1016" s="511"/>
      <c r="Q1016" s="511"/>
      <c r="R1016" s="511"/>
      <c r="S1016" s="511"/>
      <c r="T1016" s="511"/>
      <c r="U1016" s="511"/>
      <c r="V1016" s="511"/>
      <c r="W1016" s="511"/>
      <c r="X1016" s="511"/>
      <c r="Y1016" s="511"/>
      <c r="Z1016" s="511"/>
      <c r="AA1016" s="511"/>
      <c r="AB1016" s="511"/>
      <c r="AC1016" s="511"/>
      <c r="AD1016" s="511"/>
      <c r="AE1016" s="511"/>
      <c r="AF1016" s="511"/>
      <c r="AG1016" s="511"/>
      <c r="AH1016" s="511"/>
      <c r="AI1016" s="511"/>
      <c r="AJ1016" s="511"/>
      <c r="AK1016" s="511"/>
      <c r="AL1016" s="511"/>
      <c r="AM1016" s="511"/>
      <c r="AN1016" s="511"/>
      <c r="AO1016" s="511"/>
      <c r="AP1016" s="511"/>
      <c r="AQ1016" s="511"/>
      <c r="AR1016" s="511"/>
      <c r="AS1016" s="511"/>
      <c r="AT1016" s="511"/>
      <c r="AU1016" s="511"/>
      <c r="AV1016" s="511"/>
      <c r="AW1016" s="511"/>
      <c r="AX1016" s="511"/>
      <c r="AY1016" s="511"/>
      <c r="AZ1016" s="511"/>
      <c r="BA1016" s="511"/>
      <c r="BB1016" s="511"/>
      <c r="BC1016" s="511"/>
      <c r="BD1016" s="511"/>
      <c r="BE1016" s="511"/>
    </row>
    <row r="1017" ht="15.75" customHeight="1">
      <c r="A1017" s="511"/>
      <c r="B1017" s="511"/>
      <c r="C1017" s="511"/>
      <c r="D1017" s="511"/>
      <c r="E1017" s="511"/>
      <c r="F1017" s="511"/>
      <c r="G1017" s="511"/>
      <c r="H1017" s="511"/>
      <c r="I1017" s="511"/>
      <c r="J1017" s="511"/>
      <c r="K1017" s="511"/>
      <c r="L1017" s="511"/>
      <c r="M1017" s="511"/>
      <c r="N1017" s="511"/>
      <c r="O1017" s="511"/>
      <c r="P1017" s="511"/>
      <c r="Q1017" s="511"/>
      <c r="R1017" s="511"/>
      <c r="S1017" s="511"/>
      <c r="T1017" s="511"/>
      <c r="U1017" s="511"/>
      <c r="V1017" s="511"/>
      <c r="W1017" s="511"/>
      <c r="X1017" s="511"/>
      <c r="Y1017" s="511"/>
      <c r="Z1017" s="511"/>
      <c r="AA1017" s="511"/>
      <c r="AB1017" s="511"/>
      <c r="AC1017" s="511"/>
      <c r="AD1017" s="511"/>
      <c r="AE1017" s="511"/>
      <c r="AF1017" s="511"/>
      <c r="AG1017" s="511"/>
      <c r="AH1017" s="511"/>
      <c r="AI1017" s="511"/>
      <c r="AJ1017" s="511"/>
      <c r="AK1017" s="511"/>
      <c r="AL1017" s="511"/>
      <c r="AM1017" s="511"/>
      <c r="AN1017" s="511"/>
      <c r="AO1017" s="511"/>
      <c r="AP1017" s="511"/>
      <c r="AQ1017" s="511"/>
      <c r="AR1017" s="511"/>
      <c r="AS1017" s="511"/>
      <c r="AT1017" s="511"/>
      <c r="AU1017" s="511"/>
      <c r="AV1017" s="511"/>
      <c r="AW1017" s="511"/>
      <c r="AX1017" s="511"/>
      <c r="AY1017" s="511"/>
      <c r="AZ1017" s="511"/>
      <c r="BA1017" s="511"/>
      <c r="BB1017" s="511"/>
      <c r="BC1017" s="511"/>
      <c r="BD1017" s="511"/>
      <c r="BE1017" s="511"/>
    </row>
    <row r="1018" ht="15.75" customHeight="1">
      <c r="A1018" s="511"/>
      <c r="B1018" s="511"/>
      <c r="C1018" s="511"/>
      <c r="D1018" s="511"/>
      <c r="E1018" s="511"/>
      <c r="F1018" s="511"/>
      <c r="G1018" s="511"/>
      <c r="H1018" s="511"/>
      <c r="I1018" s="511"/>
      <c r="J1018" s="511"/>
      <c r="K1018" s="511"/>
      <c r="L1018" s="511"/>
      <c r="M1018" s="511"/>
      <c r="N1018" s="511"/>
      <c r="O1018" s="511"/>
      <c r="P1018" s="511"/>
      <c r="Q1018" s="511"/>
      <c r="R1018" s="511"/>
      <c r="S1018" s="511"/>
      <c r="T1018" s="511"/>
      <c r="U1018" s="511"/>
      <c r="V1018" s="511"/>
      <c r="W1018" s="511"/>
      <c r="X1018" s="511"/>
      <c r="Y1018" s="511"/>
      <c r="Z1018" s="511"/>
      <c r="AA1018" s="511"/>
      <c r="AB1018" s="511"/>
      <c r="AC1018" s="511"/>
      <c r="AD1018" s="511"/>
      <c r="AE1018" s="511"/>
      <c r="AF1018" s="511"/>
      <c r="AG1018" s="511"/>
      <c r="AH1018" s="511"/>
      <c r="AI1018" s="511"/>
      <c r="AJ1018" s="511"/>
      <c r="AK1018" s="511"/>
      <c r="AL1018" s="511"/>
      <c r="AM1018" s="511"/>
      <c r="AN1018" s="511"/>
      <c r="AO1018" s="511"/>
      <c r="AP1018" s="511"/>
      <c r="AQ1018" s="511"/>
      <c r="AR1018" s="511"/>
      <c r="AS1018" s="511"/>
      <c r="AT1018" s="511"/>
      <c r="AU1018" s="511"/>
      <c r="AV1018" s="511"/>
      <c r="AW1018" s="511"/>
      <c r="AX1018" s="511"/>
      <c r="AY1018" s="511"/>
      <c r="AZ1018" s="511"/>
      <c r="BA1018" s="511"/>
      <c r="BB1018" s="511"/>
      <c r="BC1018" s="511"/>
      <c r="BD1018" s="511"/>
      <c r="BE1018" s="511"/>
    </row>
    <row r="1019" ht="15.75" customHeight="1">
      <c r="A1019" s="511"/>
      <c r="B1019" s="511"/>
      <c r="C1019" s="511"/>
      <c r="D1019" s="511"/>
      <c r="E1019" s="511"/>
      <c r="F1019" s="511"/>
      <c r="G1019" s="511"/>
      <c r="H1019" s="511"/>
      <c r="I1019" s="511"/>
      <c r="J1019" s="511"/>
      <c r="K1019" s="511"/>
      <c r="L1019" s="511"/>
      <c r="M1019" s="511"/>
      <c r="N1019" s="511"/>
      <c r="O1019" s="511"/>
      <c r="P1019" s="511"/>
      <c r="Q1019" s="511"/>
      <c r="R1019" s="511"/>
      <c r="S1019" s="511"/>
      <c r="T1019" s="511"/>
      <c r="U1019" s="511"/>
      <c r="V1019" s="511"/>
      <c r="W1019" s="511"/>
      <c r="X1019" s="511"/>
      <c r="Y1019" s="511"/>
      <c r="Z1019" s="511"/>
      <c r="AA1019" s="511"/>
      <c r="AB1019" s="511"/>
      <c r="AC1019" s="511"/>
      <c r="AD1019" s="511"/>
      <c r="AE1019" s="511"/>
      <c r="AF1019" s="511"/>
      <c r="AG1019" s="511"/>
      <c r="AH1019" s="511"/>
      <c r="AI1019" s="511"/>
      <c r="AJ1019" s="511"/>
      <c r="AK1019" s="511"/>
      <c r="AL1019" s="511"/>
      <c r="AM1019" s="511"/>
      <c r="AN1019" s="511"/>
      <c r="AO1019" s="511"/>
      <c r="AP1019" s="511"/>
      <c r="AQ1019" s="511"/>
      <c r="AR1019" s="511"/>
      <c r="AS1019" s="511"/>
      <c r="AT1019" s="511"/>
      <c r="AU1019" s="511"/>
      <c r="AV1019" s="511"/>
      <c r="AW1019" s="511"/>
      <c r="AX1019" s="511"/>
      <c r="AY1019" s="511"/>
      <c r="AZ1019" s="511"/>
      <c r="BA1019" s="511"/>
      <c r="BB1019" s="511"/>
      <c r="BC1019" s="511"/>
      <c r="BD1019" s="511"/>
      <c r="BE1019" s="511"/>
    </row>
    <row r="1020" ht="15.75" customHeight="1">
      <c r="A1020" s="511"/>
      <c r="B1020" s="511"/>
      <c r="C1020" s="511"/>
      <c r="D1020" s="511"/>
      <c r="E1020" s="511"/>
      <c r="F1020" s="511"/>
      <c r="G1020" s="511"/>
      <c r="H1020" s="511"/>
      <c r="I1020" s="511"/>
      <c r="J1020" s="511"/>
      <c r="K1020" s="511"/>
      <c r="L1020" s="511"/>
      <c r="M1020" s="511"/>
      <c r="N1020" s="511"/>
      <c r="O1020" s="511"/>
      <c r="P1020" s="511"/>
      <c r="Q1020" s="511"/>
      <c r="R1020" s="511"/>
      <c r="S1020" s="511"/>
      <c r="T1020" s="511"/>
      <c r="U1020" s="511"/>
      <c r="V1020" s="511"/>
      <c r="W1020" s="511"/>
      <c r="X1020" s="511"/>
      <c r="Y1020" s="511"/>
      <c r="Z1020" s="511"/>
      <c r="AA1020" s="511"/>
      <c r="AB1020" s="511"/>
      <c r="AC1020" s="511"/>
      <c r="AD1020" s="511"/>
      <c r="AE1020" s="511"/>
      <c r="AF1020" s="511"/>
      <c r="AG1020" s="511"/>
      <c r="AH1020" s="511"/>
      <c r="AI1020" s="511"/>
      <c r="AJ1020" s="511"/>
      <c r="AK1020" s="511"/>
      <c r="AL1020" s="511"/>
      <c r="AM1020" s="511"/>
      <c r="AN1020" s="511"/>
      <c r="AO1020" s="511"/>
      <c r="AP1020" s="511"/>
      <c r="AQ1020" s="511"/>
      <c r="AR1020" s="511"/>
      <c r="AS1020" s="511"/>
      <c r="AT1020" s="511"/>
      <c r="AU1020" s="511"/>
      <c r="AV1020" s="511"/>
      <c r="AW1020" s="511"/>
      <c r="AX1020" s="511"/>
      <c r="AY1020" s="511"/>
      <c r="AZ1020" s="511"/>
      <c r="BA1020" s="511"/>
      <c r="BB1020" s="511"/>
      <c r="BC1020" s="511"/>
      <c r="BD1020" s="511"/>
      <c r="BE1020" s="511"/>
    </row>
    <row r="1021" ht="15.75" customHeight="1">
      <c r="A1021" s="511"/>
      <c r="B1021" s="511"/>
      <c r="C1021" s="511"/>
      <c r="D1021" s="511"/>
      <c r="E1021" s="511"/>
      <c r="F1021" s="511"/>
      <c r="G1021" s="511"/>
      <c r="H1021" s="511"/>
      <c r="I1021" s="511"/>
      <c r="J1021" s="511"/>
      <c r="K1021" s="511"/>
      <c r="L1021" s="511"/>
      <c r="M1021" s="511"/>
      <c r="N1021" s="511"/>
      <c r="O1021" s="511"/>
      <c r="P1021" s="511"/>
      <c r="Q1021" s="511"/>
      <c r="R1021" s="511"/>
      <c r="S1021" s="511"/>
      <c r="T1021" s="511"/>
      <c r="U1021" s="511"/>
      <c r="V1021" s="511"/>
      <c r="W1021" s="511"/>
      <c r="X1021" s="511"/>
      <c r="Y1021" s="511"/>
      <c r="Z1021" s="511"/>
      <c r="AA1021" s="511"/>
      <c r="AB1021" s="511"/>
      <c r="AC1021" s="511"/>
      <c r="AD1021" s="511"/>
      <c r="AE1021" s="511"/>
      <c r="AF1021" s="511"/>
      <c r="AG1021" s="511"/>
      <c r="AH1021" s="511"/>
      <c r="AI1021" s="511"/>
      <c r="AJ1021" s="511"/>
      <c r="AK1021" s="511"/>
      <c r="AL1021" s="511"/>
      <c r="AM1021" s="511"/>
      <c r="AN1021" s="511"/>
      <c r="AO1021" s="511"/>
      <c r="AP1021" s="511"/>
      <c r="AQ1021" s="511"/>
      <c r="AR1021" s="511"/>
      <c r="AS1021" s="511"/>
      <c r="AT1021" s="511"/>
      <c r="AU1021" s="511"/>
      <c r="AV1021" s="511"/>
      <c r="AW1021" s="511"/>
      <c r="AX1021" s="511"/>
      <c r="AY1021" s="511"/>
      <c r="AZ1021" s="511"/>
      <c r="BA1021" s="511"/>
      <c r="BB1021" s="511"/>
      <c r="BC1021" s="511"/>
      <c r="BD1021" s="511"/>
      <c r="BE1021" s="511"/>
    </row>
    <row r="1022" ht="15.75" customHeight="1">
      <c r="A1022" s="511"/>
      <c r="B1022" s="511"/>
      <c r="C1022" s="511"/>
      <c r="D1022" s="511"/>
      <c r="E1022" s="511"/>
      <c r="F1022" s="511"/>
      <c r="G1022" s="511"/>
      <c r="H1022" s="511"/>
      <c r="I1022" s="511"/>
      <c r="J1022" s="511"/>
      <c r="K1022" s="511"/>
      <c r="L1022" s="511"/>
      <c r="M1022" s="511"/>
      <c r="N1022" s="511"/>
      <c r="O1022" s="511"/>
      <c r="P1022" s="511"/>
      <c r="Q1022" s="511"/>
      <c r="R1022" s="511"/>
      <c r="S1022" s="511"/>
      <c r="T1022" s="511"/>
      <c r="U1022" s="511"/>
      <c r="V1022" s="511"/>
      <c r="W1022" s="511"/>
      <c r="X1022" s="511"/>
      <c r="Y1022" s="511"/>
      <c r="Z1022" s="511"/>
      <c r="AA1022" s="511"/>
      <c r="AB1022" s="511"/>
      <c r="AC1022" s="511"/>
      <c r="AD1022" s="511"/>
      <c r="AE1022" s="511"/>
      <c r="AF1022" s="511"/>
      <c r="AG1022" s="511"/>
      <c r="AH1022" s="511"/>
      <c r="AI1022" s="511"/>
      <c r="AJ1022" s="511"/>
      <c r="AK1022" s="511"/>
      <c r="AL1022" s="511"/>
      <c r="AM1022" s="511"/>
      <c r="AN1022" s="511"/>
      <c r="AO1022" s="511"/>
      <c r="AP1022" s="511"/>
      <c r="AQ1022" s="511"/>
      <c r="AR1022" s="511"/>
      <c r="AS1022" s="511"/>
      <c r="AT1022" s="511"/>
      <c r="AU1022" s="511"/>
      <c r="AV1022" s="511"/>
      <c r="AW1022" s="511"/>
      <c r="AX1022" s="511"/>
      <c r="AY1022" s="511"/>
      <c r="AZ1022" s="511"/>
      <c r="BA1022" s="511"/>
      <c r="BB1022" s="511"/>
      <c r="BC1022" s="511"/>
      <c r="BD1022" s="511"/>
      <c r="BE1022" s="511"/>
    </row>
    <row r="1023" ht="15.75" customHeight="1">
      <c r="A1023" s="511"/>
      <c r="B1023" s="511"/>
      <c r="C1023" s="511"/>
      <c r="D1023" s="511"/>
      <c r="E1023" s="511"/>
      <c r="F1023" s="511"/>
      <c r="G1023" s="511"/>
      <c r="H1023" s="511"/>
      <c r="I1023" s="511"/>
      <c r="J1023" s="511"/>
      <c r="K1023" s="511"/>
      <c r="L1023" s="511"/>
      <c r="M1023" s="511"/>
      <c r="N1023" s="511"/>
      <c r="O1023" s="511"/>
      <c r="P1023" s="511"/>
      <c r="Q1023" s="511"/>
      <c r="R1023" s="511"/>
      <c r="S1023" s="511"/>
      <c r="T1023" s="511"/>
      <c r="U1023" s="511"/>
      <c r="V1023" s="511"/>
      <c r="W1023" s="511"/>
      <c r="X1023" s="511"/>
      <c r="Y1023" s="511"/>
      <c r="Z1023" s="511"/>
      <c r="AA1023" s="511"/>
      <c r="AB1023" s="511"/>
      <c r="AC1023" s="511"/>
      <c r="AD1023" s="511"/>
      <c r="AE1023" s="511"/>
      <c r="AF1023" s="511"/>
      <c r="AG1023" s="511"/>
      <c r="AH1023" s="511"/>
      <c r="AI1023" s="511"/>
      <c r="AJ1023" s="511"/>
      <c r="AK1023" s="511"/>
      <c r="AL1023" s="511"/>
      <c r="AM1023" s="511"/>
      <c r="AN1023" s="511"/>
      <c r="AO1023" s="511"/>
      <c r="AP1023" s="511"/>
      <c r="AQ1023" s="511"/>
      <c r="AR1023" s="511"/>
      <c r="AS1023" s="511"/>
      <c r="AT1023" s="511"/>
      <c r="AU1023" s="511"/>
      <c r="AV1023" s="511"/>
      <c r="AW1023" s="511"/>
      <c r="AX1023" s="511"/>
      <c r="AY1023" s="511"/>
      <c r="AZ1023" s="511"/>
      <c r="BA1023" s="511"/>
      <c r="BB1023" s="511"/>
      <c r="BC1023" s="511"/>
      <c r="BD1023" s="511"/>
      <c r="BE1023" s="511"/>
    </row>
    <row r="1024" ht="15.75" customHeight="1">
      <c r="A1024" s="511"/>
      <c r="B1024" s="511"/>
      <c r="C1024" s="511"/>
      <c r="D1024" s="511"/>
      <c r="E1024" s="511"/>
      <c r="F1024" s="511"/>
      <c r="G1024" s="511"/>
      <c r="H1024" s="511"/>
      <c r="I1024" s="511"/>
      <c r="J1024" s="511"/>
      <c r="K1024" s="511"/>
      <c r="L1024" s="511"/>
      <c r="M1024" s="511"/>
      <c r="N1024" s="511"/>
      <c r="O1024" s="511"/>
      <c r="P1024" s="511"/>
      <c r="Q1024" s="511"/>
      <c r="R1024" s="511"/>
      <c r="S1024" s="511"/>
      <c r="T1024" s="511"/>
      <c r="U1024" s="511"/>
      <c r="V1024" s="511"/>
      <c r="W1024" s="511"/>
      <c r="X1024" s="511"/>
      <c r="Y1024" s="511"/>
      <c r="Z1024" s="511"/>
      <c r="AA1024" s="511"/>
      <c r="AB1024" s="511"/>
      <c r="AC1024" s="511"/>
      <c r="AD1024" s="511"/>
      <c r="AE1024" s="511"/>
      <c r="AF1024" s="511"/>
      <c r="AG1024" s="511"/>
      <c r="AH1024" s="511"/>
      <c r="AI1024" s="511"/>
      <c r="AJ1024" s="511"/>
      <c r="AK1024" s="511"/>
      <c r="AL1024" s="511"/>
      <c r="AM1024" s="511"/>
      <c r="AN1024" s="511"/>
      <c r="AO1024" s="511"/>
      <c r="AP1024" s="511"/>
      <c r="AQ1024" s="511"/>
      <c r="AR1024" s="511"/>
      <c r="AS1024" s="511"/>
      <c r="AT1024" s="511"/>
      <c r="AU1024" s="511"/>
      <c r="AV1024" s="511"/>
      <c r="AW1024" s="511"/>
      <c r="AX1024" s="511"/>
      <c r="AY1024" s="511"/>
      <c r="AZ1024" s="511"/>
      <c r="BA1024" s="511"/>
      <c r="BB1024" s="511"/>
      <c r="BC1024" s="511"/>
      <c r="BD1024" s="511"/>
      <c r="BE1024" s="511"/>
    </row>
    <row r="1025" ht="15.75" customHeight="1">
      <c r="A1025" s="511"/>
      <c r="B1025" s="511"/>
      <c r="C1025" s="511"/>
      <c r="D1025" s="511"/>
      <c r="E1025" s="511"/>
      <c r="F1025" s="511"/>
      <c r="G1025" s="511"/>
      <c r="H1025" s="511"/>
      <c r="I1025" s="511"/>
      <c r="J1025" s="511"/>
      <c r="K1025" s="511"/>
      <c r="L1025" s="511"/>
      <c r="M1025" s="511"/>
      <c r="N1025" s="511"/>
      <c r="O1025" s="511"/>
      <c r="P1025" s="511"/>
      <c r="Q1025" s="511"/>
      <c r="R1025" s="511"/>
      <c r="S1025" s="511"/>
      <c r="T1025" s="511"/>
      <c r="U1025" s="511"/>
      <c r="V1025" s="511"/>
      <c r="W1025" s="511"/>
      <c r="X1025" s="511"/>
      <c r="Y1025" s="511"/>
      <c r="Z1025" s="511"/>
      <c r="AA1025" s="511"/>
      <c r="AB1025" s="511"/>
      <c r="AC1025" s="511"/>
      <c r="AD1025" s="511"/>
      <c r="AE1025" s="511"/>
      <c r="AF1025" s="511"/>
      <c r="AG1025" s="511"/>
      <c r="AH1025" s="511"/>
      <c r="AI1025" s="511"/>
      <c r="AJ1025" s="511"/>
      <c r="AK1025" s="511"/>
      <c r="AL1025" s="511"/>
      <c r="AM1025" s="511"/>
      <c r="AN1025" s="511"/>
      <c r="AO1025" s="511"/>
      <c r="AP1025" s="511"/>
      <c r="AQ1025" s="511"/>
      <c r="AR1025" s="511"/>
      <c r="AS1025" s="511"/>
      <c r="AT1025" s="511"/>
      <c r="AU1025" s="511"/>
      <c r="AV1025" s="511"/>
      <c r="AW1025" s="511"/>
      <c r="AX1025" s="511"/>
      <c r="AY1025" s="511"/>
      <c r="AZ1025" s="511"/>
      <c r="BA1025" s="511"/>
      <c r="BB1025" s="511"/>
      <c r="BC1025" s="511"/>
      <c r="BD1025" s="511"/>
      <c r="BE1025" s="511"/>
    </row>
    <row r="1026" ht="15.75" customHeight="1">
      <c r="A1026" s="511"/>
      <c r="B1026" s="511"/>
      <c r="C1026" s="511"/>
      <c r="D1026" s="511"/>
      <c r="E1026" s="511"/>
      <c r="F1026" s="511"/>
      <c r="G1026" s="511"/>
      <c r="H1026" s="511"/>
      <c r="I1026" s="511"/>
      <c r="J1026" s="511"/>
      <c r="K1026" s="511"/>
      <c r="L1026" s="511"/>
      <c r="M1026" s="511"/>
      <c r="N1026" s="511"/>
      <c r="O1026" s="511"/>
      <c r="P1026" s="511"/>
      <c r="Q1026" s="511"/>
      <c r="R1026" s="511"/>
      <c r="S1026" s="511"/>
      <c r="T1026" s="511"/>
      <c r="U1026" s="511"/>
      <c r="V1026" s="511"/>
      <c r="W1026" s="511"/>
      <c r="X1026" s="511"/>
      <c r="Y1026" s="511"/>
      <c r="Z1026" s="511"/>
      <c r="AA1026" s="511"/>
      <c r="AB1026" s="511"/>
      <c r="AC1026" s="511"/>
      <c r="AD1026" s="511"/>
      <c r="AE1026" s="511"/>
      <c r="AF1026" s="511"/>
      <c r="AG1026" s="511"/>
      <c r="AH1026" s="511"/>
      <c r="AI1026" s="511"/>
      <c r="AJ1026" s="511"/>
      <c r="AK1026" s="511"/>
      <c r="AL1026" s="511"/>
      <c r="AM1026" s="511"/>
      <c r="AN1026" s="511"/>
      <c r="AO1026" s="511"/>
      <c r="AP1026" s="511"/>
      <c r="AQ1026" s="511"/>
      <c r="AR1026" s="511"/>
      <c r="AS1026" s="511"/>
      <c r="AT1026" s="511"/>
      <c r="AU1026" s="511"/>
      <c r="AV1026" s="511"/>
      <c r="AW1026" s="511"/>
      <c r="AX1026" s="511"/>
      <c r="AY1026" s="511"/>
      <c r="AZ1026" s="511"/>
      <c r="BA1026" s="511"/>
      <c r="BB1026" s="511"/>
      <c r="BC1026" s="511"/>
      <c r="BD1026" s="511"/>
      <c r="BE1026" s="511"/>
    </row>
    <row r="1027" ht="15.75" customHeight="1">
      <c r="A1027" s="511"/>
      <c r="B1027" s="511"/>
      <c r="C1027" s="511"/>
      <c r="D1027" s="511"/>
      <c r="E1027" s="511"/>
      <c r="F1027" s="511"/>
      <c r="G1027" s="511"/>
      <c r="H1027" s="511"/>
      <c r="I1027" s="511"/>
      <c r="J1027" s="511"/>
      <c r="K1027" s="511"/>
      <c r="L1027" s="511"/>
      <c r="M1027" s="511"/>
      <c r="N1027" s="511"/>
      <c r="O1027" s="511"/>
      <c r="P1027" s="511"/>
      <c r="Q1027" s="511"/>
      <c r="R1027" s="511"/>
      <c r="S1027" s="511"/>
      <c r="T1027" s="511"/>
      <c r="U1027" s="511"/>
      <c r="V1027" s="511"/>
      <c r="W1027" s="511"/>
      <c r="X1027" s="511"/>
      <c r="Y1027" s="511"/>
      <c r="Z1027" s="511"/>
      <c r="AA1027" s="511"/>
      <c r="AB1027" s="511"/>
      <c r="AC1027" s="511"/>
      <c r="AD1027" s="511"/>
      <c r="AE1027" s="511"/>
      <c r="AF1027" s="511"/>
      <c r="AG1027" s="511"/>
      <c r="AH1027" s="511"/>
      <c r="AI1027" s="511"/>
      <c r="AJ1027" s="511"/>
      <c r="AK1027" s="511"/>
      <c r="AL1027" s="511"/>
      <c r="AM1027" s="511"/>
      <c r="AN1027" s="511"/>
      <c r="AO1027" s="511"/>
      <c r="AP1027" s="511"/>
      <c r="AQ1027" s="511"/>
      <c r="AR1027" s="511"/>
      <c r="AS1027" s="511"/>
      <c r="AT1027" s="511"/>
      <c r="AU1027" s="511"/>
      <c r="AV1027" s="511"/>
      <c r="AW1027" s="511"/>
      <c r="AX1027" s="511"/>
      <c r="AY1027" s="511"/>
      <c r="AZ1027" s="511"/>
      <c r="BA1027" s="511"/>
      <c r="BB1027" s="511"/>
      <c r="BC1027" s="511"/>
      <c r="BD1027" s="511"/>
      <c r="BE1027" s="511"/>
    </row>
    <row r="1028" ht="15.75" customHeight="1">
      <c r="A1028" s="511"/>
      <c r="B1028" s="511"/>
      <c r="C1028" s="511"/>
      <c r="D1028" s="511"/>
      <c r="E1028" s="511"/>
      <c r="F1028" s="511"/>
      <c r="G1028" s="511"/>
      <c r="H1028" s="511"/>
      <c r="I1028" s="511"/>
      <c r="J1028" s="511"/>
      <c r="K1028" s="511"/>
      <c r="L1028" s="511"/>
      <c r="M1028" s="511"/>
      <c r="N1028" s="511"/>
      <c r="O1028" s="511"/>
      <c r="P1028" s="511"/>
      <c r="Q1028" s="511"/>
      <c r="R1028" s="511"/>
      <c r="S1028" s="511"/>
      <c r="T1028" s="511"/>
      <c r="U1028" s="511"/>
      <c r="V1028" s="511"/>
      <c r="W1028" s="511"/>
      <c r="X1028" s="511"/>
      <c r="Y1028" s="511"/>
      <c r="Z1028" s="511"/>
      <c r="AA1028" s="511"/>
      <c r="AB1028" s="511"/>
      <c r="AC1028" s="511"/>
      <c r="AD1028" s="511"/>
      <c r="AE1028" s="511"/>
      <c r="AF1028" s="511"/>
      <c r="AG1028" s="511"/>
      <c r="AH1028" s="511"/>
      <c r="AI1028" s="511"/>
      <c r="AJ1028" s="511"/>
      <c r="AK1028" s="511"/>
      <c r="AL1028" s="511"/>
      <c r="AM1028" s="511"/>
      <c r="AN1028" s="511"/>
      <c r="AO1028" s="511"/>
      <c r="AP1028" s="511"/>
      <c r="AQ1028" s="511"/>
      <c r="AR1028" s="511"/>
      <c r="AS1028" s="511"/>
      <c r="AT1028" s="511"/>
      <c r="AU1028" s="511"/>
      <c r="AV1028" s="511"/>
      <c r="AW1028" s="511"/>
      <c r="AX1028" s="511"/>
      <c r="AY1028" s="511"/>
      <c r="AZ1028" s="511"/>
      <c r="BA1028" s="511"/>
      <c r="BB1028" s="511"/>
      <c r="BC1028" s="511"/>
      <c r="BD1028" s="511"/>
      <c r="BE1028" s="511"/>
    </row>
  </sheetData>
  <mergeCells count="10">
    <mergeCell ref="U375:V375"/>
    <mergeCell ref="U379:V380"/>
    <mergeCell ref="A1:V1"/>
    <mergeCell ref="A375:B375"/>
    <mergeCell ref="AS375:AT375"/>
    <mergeCell ref="A376:B376"/>
    <mergeCell ref="A377:B377"/>
    <mergeCell ref="A378:B378"/>
    <mergeCell ref="A379:B379"/>
    <mergeCell ref="AS379:AT380"/>
  </mergeCells>
  <printOptions/>
  <pageMargins bottom="0.75" footer="0.0" header="0.0" left="0.25" right="0.25" top="0.75"/>
  <pageSetup fitToHeight="0" paperSize="8" orientation="landscape"/>
  <drawing r:id="rId1"/>
</worksheet>
</file>